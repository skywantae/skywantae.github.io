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IC TRAY\2026\BC tồn kho 2026\"/>
    </mc:Choice>
  </mc:AlternateContent>
  <bookViews>
    <workbookView xWindow="-120" yWindow="-120" windowWidth="29040" windowHeight="15840" tabRatio="830" firstSheet="2" activeTab="4"/>
  </bookViews>
  <sheets>
    <sheet name="Nhập kho  입2" sheetId="1" state="hidden" r:id="rId1"/>
    <sheet name=" Xuất kho 출2" sheetId="2" state="hidden" r:id="rId2"/>
    <sheet name="Nhập kho  입" sheetId="26" r:id="rId3"/>
    <sheet name=" Xuất kho 출" sheetId="28" r:id="rId4"/>
    <sheet name="Tổng,SUMMARY" sheetId="23" r:id="rId5"/>
    <sheet name="Lot" sheetId="24" r:id="rId6"/>
    <sheet name="gia công" sheetId="17" r:id="rId7"/>
  </sheets>
  <externalReferences>
    <externalReference r:id="rId8"/>
  </externalReferences>
  <definedNames>
    <definedName name="_xlnm._FilterDatabase" localSheetId="3" hidden="1">' Xuất kho 출'!$A$5:$U$203</definedName>
    <definedName name="_xlnm._FilterDatabase" localSheetId="1" hidden="1">' Xuất kho 출2'!$A$3:$XFB$277</definedName>
    <definedName name="_xlnm._FilterDatabase" localSheetId="5" hidden="1">Lot!$A$1:$H$1441</definedName>
    <definedName name="_xlnm._FilterDatabase" localSheetId="2" hidden="1">'Nhập kho  입'!$A$5:$U$359</definedName>
    <definedName name="_xlnm._FilterDatabase" localSheetId="0" hidden="1">'Nhập kho  입2'!$A$4:$BQ$278</definedName>
    <definedName name="_xlnm._FilterDatabase" localSheetId="4" hidden="1">'Tổng,SUMMARY'!$A$4:$CG$273</definedName>
    <definedName name="_Key1" localSheetId="3" hidden="1">#REF!</definedName>
    <definedName name="_Key1" localSheetId="2" hidden="1">#REF!</definedName>
    <definedName name="_Key1" hidden="1">#REF!</definedName>
    <definedName name="_Key2" localSheetId="3" hidden="1">#REF!</definedName>
    <definedName name="_Key2" localSheetId="2" hidden="1">#REF!</definedName>
    <definedName name="_Key2" hidden="1">#REF!</definedName>
    <definedName name="_Order1" hidden="1">255</definedName>
    <definedName name="_Order2" hidden="1">255</definedName>
    <definedName name="_Sort" localSheetId="3" hidden="1">#REF!</definedName>
    <definedName name="_Sort" localSheetId="2" hidden="1">#REF!</definedName>
    <definedName name="_Sort" hidden="1">#REF!</definedName>
    <definedName name="CDAILY" hidden="1">#REF!</definedName>
    <definedName name="CDAILY1" hidden="1">#REF!</definedName>
    <definedName name="_xlnm.Print_Area" localSheetId="3">' Xuất kho 출'!$A$1:$F$1258</definedName>
    <definedName name="_xlnm.Print_Area" localSheetId="2">'Nhập kho  입'!$A$1:$F$1276</definedName>
    <definedName name="_xlnm.Print_Area" localSheetId="4">'Tổng,SUMMARY'!$A$1:$T$273</definedName>
    <definedName name="_xlnm.Print_Titles" localSheetId="3">' Xuất kho 출'!$5:$5</definedName>
    <definedName name="_xlnm.Print_Titles" localSheetId="2">'Nhập kho  입'!$5:$5</definedName>
    <definedName name="核对" hidden="1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5" i="17" l="1"/>
  <c r="E276" i="26" l="1"/>
  <c r="E271" i="26"/>
  <c r="D1476" i="24"/>
  <c r="K37" i="23"/>
  <c r="Q37" i="23" s="1"/>
  <c r="E1476" i="24" s="1"/>
  <c r="L37" i="23"/>
  <c r="D920" i="24" l="1"/>
  <c r="D277" i="24"/>
  <c r="B125" i="28" l="1"/>
  <c r="B126" i="28"/>
  <c r="B127" i="28"/>
  <c r="X32" i="17"/>
  <c r="E260" i="26" l="1"/>
  <c r="D1464" i="24"/>
  <c r="D1452" i="24"/>
  <c r="D1440" i="24"/>
  <c r="E250" i="26"/>
  <c r="D643" i="24"/>
  <c r="D692" i="24" s="1"/>
  <c r="E247" i="26"/>
  <c r="B246" i="26"/>
  <c r="B247" i="26"/>
  <c r="B248" i="26"/>
  <c r="B249" i="26"/>
  <c r="B250" i="26"/>
  <c r="B251" i="26"/>
  <c r="B252" i="26"/>
  <c r="B253" i="26"/>
  <c r="B254" i="26"/>
  <c r="B255" i="26"/>
  <c r="B256" i="26"/>
  <c r="E1450" i="24"/>
  <c r="D188" i="24" l="1"/>
  <c r="U23" i="17" l="1"/>
  <c r="U32" i="17"/>
  <c r="E210" i="26" l="1"/>
  <c r="E211" i="26" l="1"/>
  <c r="E209" i="26"/>
  <c r="E207" i="26"/>
  <c r="E206" i="26"/>
  <c r="E204" i="26"/>
  <c r="E193" i="26" l="1"/>
  <c r="S12" i="17" l="1"/>
  <c r="E189" i="26" l="1"/>
  <c r="R30" i="17"/>
  <c r="E175" i="26" l="1"/>
  <c r="B173" i="26"/>
  <c r="B174" i="26"/>
  <c r="B175" i="26"/>
  <c r="B176" i="26"/>
  <c r="B177" i="26"/>
  <c r="B178" i="26"/>
  <c r="E187" i="26" l="1"/>
  <c r="E186" i="26"/>
  <c r="E179" i="26"/>
  <c r="E180" i="26"/>
  <c r="E168" i="26" l="1"/>
  <c r="E171" i="26" l="1"/>
  <c r="E169" i="26"/>
  <c r="E170" i="26" l="1"/>
  <c r="E94" i="26" l="1"/>
  <c r="E149" i="26" l="1"/>
  <c r="E145" i="26"/>
  <c r="E148" i="26" l="1"/>
  <c r="E146" i="26"/>
  <c r="E144" i="26"/>
  <c r="N4" i="17" l="1"/>
  <c r="E139" i="26"/>
  <c r="D778" i="24" l="1"/>
  <c r="E138" i="26"/>
  <c r="E134" i="26"/>
  <c r="D718" i="24"/>
  <c r="E133" i="26"/>
  <c r="D160" i="24"/>
  <c r="E132" i="26"/>
  <c r="D1182" i="24"/>
  <c r="D1383" i="24" l="1"/>
  <c r="D1431" i="24" l="1"/>
  <c r="E103" i="26"/>
  <c r="D1424" i="24" l="1"/>
  <c r="D132" i="24"/>
  <c r="B98" i="26" l="1"/>
  <c r="B99" i="26"/>
  <c r="B100" i="26"/>
  <c r="B101" i="26"/>
  <c r="B102" i="26"/>
  <c r="E112" i="26"/>
  <c r="E110" i="26"/>
  <c r="E97" i="26" l="1"/>
  <c r="D1417" i="24"/>
  <c r="E96" i="26"/>
  <c r="E95" i="26"/>
  <c r="E92" i="26"/>
  <c r="E91" i="26"/>
  <c r="D1409" i="24"/>
  <c r="E88" i="26"/>
  <c r="E60" i="26" l="1"/>
  <c r="E86" i="26" l="1"/>
  <c r="E83" i="26" l="1"/>
  <c r="E82" i="26"/>
  <c r="E79" i="26"/>
  <c r="K11" i="17" l="1"/>
  <c r="D217" i="24"/>
  <c r="D1088" i="24" l="1"/>
  <c r="E72" i="26"/>
  <c r="R227" i="23" l="1"/>
  <c r="J4" i="17" l="1"/>
  <c r="E69" i="26" l="1"/>
  <c r="E67" i="26" l="1"/>
  <c r="E66" i="26"/>
  <c r="E65" i="26"/>
  <c r="E64" i="26"/>
  <c r="E50" i="26" l="1"/>
  <c r="E57" i="26" l="1"/>
  <c r="E55" i="26" l="1"/>
  <c r="D1395" i="24"/>
  <c r="E54" i="26"/>
  <c r="B33" i="26" l="1"/>
  <c r="E40" i="26"/>
  <c r="E41" i="26"/>
  <c r="E36" i="26" l="1"/>
  <c r="E44" i="26"/>
  <c r="E42" i="26"/>
  <c r="E11" i="28" l="1"/>
  <c r="AO35" i="17" l="1"/>
  <c r="AM10" i="17"/>
  <c r="E28" i="26"/>
  <c r="E25" i="26"/>
  <c r="E24" i="26"/>
  <c r="E35" i="17"/>
  <c r="F5" i="17"/>
  <c r="E16" i="26"/>
  <c r="D959" i="24"/>
  <c r="E15" i="26" l="1"/>
  <c r="E14" i="26"/>
  <c r="E9" i="26"/>
  <c r="E8" i="26"/>
  <c r="D450" i="24"/>
  <c r="E2" i="17" l="1"/>
  <c r="F2" i="17"/>
  <c r="E5" i="28" l="1"/>
  <c r="R233" i="23" l="1"/>
  <c r="R178" i="23" l="1"/>
  <c r="R243" i="23"/>
  <c r="R174" i="23"/>
  <c r="R196" i="23"/>
  <c r="R130" i="23"/>
  <c r="B349" i="26"/>
  <c r="B350" i="26"/>
  <c r="B351" i="26"/>
  <c r="B352" i="26"/>
  <c r="B353" i="26"/>
  <c r="B354" i="26"/>
  <c r="B355" i="26"/>
  <c r="B356" i="26"/>
  <c r="B357" i="26"/>
  <c r="B358" i="26"/>
  <c r="B359" i="26"/>
  <c r="R241" i="23" l="1"/>
  <c r="R127" i="23"/>
  <c r="R181" i="23"/>
  <c r="R160" i="23"/>
  <c r="B197" i="28"/>
  <c r="B198" i="28"/>
  <c r="B199" i="28"/>
  <c r="B200" i="28"/>
  <c r="B201" i="28"/>
  <c r="B202" i="28"/>
  <c r="B203" i="28"/>
  <c r="B189" i="28"/>
  <c r="B190" i="28"/>
  <c r="B191" i="28"/>
  <c r="B192" i="28"/>
  <c r="B193" i="28"/>
  <c r="B194" i="28"/>
  <c r="B195" i="28"/>
  <c r="B196" i="28"/>
  <c r="B177" i="28"/>
  <c r="B178" i="28"/>
  <c r="B179" i="28"/>
  <c r="B180" i="28"/>
  <c r="B181" i="28"/>
  <c r="B182" i="28"/>
  <c r="B183" i="28"/>
  <c r="B184" i="28"/>
  <c r="B185" i="28"/>
  <c r="B186" i="28"/>
  <c r="B187" i="28"/>
  <c r="B188" i="28"/>
  <c r="R91" i="23"/>
  <c r="R69" i="23"/>
  <c r="R18" i="23" l="1"/>
  <c r="R255" i="23"/>
  <c r="R248" i="23"/>
  <c r="R138" i="23"/>
  <c r="R206" i="23"/>
  <c r="R158" i="23"/>
  <c r="R193" i="23"/>
  <c r="R170" i="23"/>
  <c r="R186" i="23"/>
  <c r="R262" i="23"/>
  <c r="R157" i="23"/>
  <c r="R215" i="23"/>
  <c r="R92" i="23"/>
  <c r="R213" i="23"/>
  <c r="R19" i="23"/>
  <c r="R114" i="23"/>
  <c r="R210" i="23"/>
  <c r="R191" i="23"/>
  <c r="R238" i="23"/>
  <c r="R220" i="23"/>
  <c r="R148" i="23"/>
  <c r="R239" i="23"/>
  <c r="R266" i="23"/>
  <c r="R264" i="23"/>
  <c r="R117" i="23"/>
  <c r="R93" i="23"/>
  <c r="R57" i="23"/>
  <c r="R82" i="23"/>
  <c r="R128" i="23"/>
  <c r="R6" i="23"/>
  <c r="R10" i="23"/>
  <c r="R46" i="23"/>
  <c r="R123" i="23"/>
  <c r="R113" i="23"/>
  <c r="R232" i="23"/>
  <c r="R55" i="23"/>
  <c r="R258" i="23"/>
  <c r="R51" i="23"/>
  <c r="R120" i="23"/>
  <c r="R71" i="23"/>
  <c r="R115" i="23"/>
  <c r="R112" i="23"/>
  <c r="R125" i="23"/>
  <c r="R85" i="23"/>
  <c r="R62" i="23"/>
  <c r="R129" i="23"/>
  <c r="R269" i="23"/>
  <c r="R32" i="23"/>
  <c r="R39" i="23"/>
  <c r="R214" i="23"/>
  <c r="R221" i="23"/>
  <c r="R89" i="23"/>
  <c r="R100" i="23"/>
  <c r="R222" i="23"/>
  <c r="R15" i="23"/>
  <c r="R203" i="23"/>
  <c r="R70" i="23"/>
  <c r="R242" i="23"/>
  <c r="R56" i="23"/>
  <c r="R61" i="23"/>
  <c r="R83" i="23"/>
  <c r="R11" i="23"/>
  <c r="R257" i="23"/>
  <c r="R75" i="23"/>
  <c r="R132" i="23"/>
  <c r="R23" i="23"/>
  <c r="R41" i="23"/>
  <c r="R139" i="23"/>
  <c r="R237" i="23"/>
  <c r="R68" i="23"/>
  <c r="R105" i="23"/>
  <c r="R194" i="23"/>
  <c r="R22" i="23"/>
  <c r="R245" i="23"/>
  <c r="R36" i="23"/>
  <c r="R119" i="23"/>
  <c r="R54" i="23"/>
  <c r="R168" i="23"/>
  <c r="R244" i="23"/>
  <c r="R165" i="23"/>
  <c r="R13" i="23"/>
  <c r="R234" i="23"/>
  <c r="R208" i="23"/>
  <c r="R197" i="23"/>
  <c r="R212" i="23"/>
  <c r="R199" i="23"/>
  <c r="R121" i="23"/>
  <c r="R231" i="23"/>
  <c r="R169" i="23"/>
  <c r="R97" i="23"/>
  <c r="R240" i="23"/>
  <c r="R25" i="23"/>
  <c r="R80" i="23"/>
  <c r="R26" i="23"/>
  <c r="R43" i="23"/>
  <c r="R27" i="23"/>
  <c r="R29" i="23"/>
  <c r="R79" i="23"/>
  <c r="R24" i="23"/>
  <c r="R20" i="23" l="1"/>
  <c r="R200" i="23"/>
  <c r="R9" i="23"/>
  <c r="R47" i="23"/>
  <c r="R177" i="23"/>
  <c r="R230" i="23"/>
  <c r="R72" i="23"/>
  <c r="R50" i="23"/>
  <c r="R147" i="23"/>
  <c r="R33" i="23"/>
  <c r="R42" i="23"/>
  <c r="R40" i="23"/>
  <c r="R122" i="23"/>
  <c r="R98" i="23"/>
  <c r="R134" i="23"/>
  <c r="R58" i="23"/>
  <c r="R66" i="23"/>
  <c r="R101" i="23"/>
  <c r="R109" i="23"/>
  <c r="R94" i="23"/>
  <c r="R250" i="23"/>
  <c r="R21" i="23"/>
  <c r="B345" i="26" l="1"/>
  <c r="B346" i="26"/>
  <c r="B347" i="26"/>
  <c r="B348" i="26"/>
  <c r="B337" i="26" l="1"/>
  <c r="B338" i="26"/>
  <c r="B339" i="26"/>
  <c r="B340" i="26"/>
  <c r="B341" i="26"/>
  <c r="B342" i="26"/>
  <c r="B343" i="26"/>
  <c r="B344" i="26"/>
  <c r="B329" i="26"/>
  <c r="B330" i="26"/>
  <c r="B331" i="26"/>
  <c r="B332" i="26"/>
  <c r="B333" i="26"/>
  <c r="B334" i="26"/>
  <c r="B335" i="26"/>
  <c r="B336" i="26"/>
  <c r="B325" i="26"/>
  <c r="B326" i="26"/>
  <c r="B327" i="26"/>
  <c r="B328" i="26"/>
  <c r="B169" i="28"/>
  <c r="B170" i="28"/>
  <c r="B171" i="28"/>
  <c r="B172" i="28"/>
  <c r="B173" i="28"/>
  <c r="B174" i="28"/>
  <c r="B175" i="28"/>
  <c r="B176" i="28"/>
  <c r="B168" i="28"/>
  <c r="B308" i="26" l="1"/>
  <c r="B309" i="26"/>
  <c r="B310" i="26"/>
  <c r="B320" i="26"/>
  <c r="B321" i="26"/>
  <c r="B322" i="26"/>
  <c r="B323" i="26"/>
  <c r="B324" i="26"/>
  <c r="B316" i="26" l="1"/>
  <c r="B317" i="26"/>
  <c r="B318" i="26"/>
  <c r="B319" i="26"/>
  <c r="B163" i="28"/>
  <c r="B164" i="28"/>
  <c r="B165" i="28"/>
  <c r="B166" i="28"/>
  <c r="B167" i="28"/>
  <c r="B155" i="28" l="1"/>
  <c r="B156" i="28"/>
  <c r="B157" i="28"/>
  <c r="B158" i="28"/>
  <c r="B159" i="28"/>
  <c r="B160" i="28"/>
  <c r="B161" i="28"/>
  <c r="B162" i="28"/>
  <c r="D705" i="24"/>
  <c r="B311" i="26"/>
  <c r="B312" i="26"/>
  <c r="B313" i="26"/>
  <c r="B314" i="26"/>
  <c r="B315" i="26"/>
  <c r="B154" i="28" l="1"/>
  <c r="B307" i="26" l="1"/>
  <c r="D1381" i="24"/>
  <c r="E77" i="17" l="1"/>
  <c r="E67" i="17"/>
  <c r="B297" i="26" l="1"/>
  <c r="B298" i="26"/>
  <c r="B299" i="26"/>
  <c r="B300" i="26"/>
  <c r="B301" i="26"/>
  <c r="B302" i="26"/>
  <c r="B303" i="26"/>
  <c r="B304" i="26"/>
  <c r="B305" i="26"/>
  <c r="B306" i="26"/>
  <c r="B292" i="26" l="1"/>
  <c r="B293" i="26"/>
  <c r="B294" i="26"/>
  <c r="B295" i="26"/>
  <c r="B296" i="26"/>
  <c r="B291" i="26"/>
  <c r="B287" i="26" l="1"/>
  <c r="B288" i="26"/>
  <c r="B289" i="26"/>
  <c r="B290" i="26"/>
  <c r="B284" i="26"/>
  <c r="B285" i="26"/>
  <c r="B286" i="26"/>
  <c r="B281" i="26" l="1"/>
  <c r="B282" i="26"/>
  <c r="B283" i="26"/>
  <c r="B150" i="28"/>
  <c r="B151" i="28"/>
  <c r="B152" i="28"/>
  <c r="B153" i="28"/>
  <c r="B142" i="28" l="1"/>
  <c r="B143" i="28"/>
  <c r="B144" i="28"/>
  <c r="B145" i="28"/>
  <c r="B146" i="28"/>
  <c r="B147" i="28"/>
  <c r="B148" i="28"/>
  <c r="B149" i="28"/>
  <c r="D1373" i="24"/>
  <c r="B270" i="26"/>
  <c r="B271" i="26"/>
  <c r="B272" i="26"/>
  <c r="B273" i="26"/>
  <c r="B274" i="26"/>
  <c r="B275" i="26"/>
  <c r="B276" i="26"/>
  <c r="B277" i="26"/>
  <c r="B278" i="26"/>
  <c r="B279" i="26"/>
  <c r="B280" i="26"/>
  <c r="D1365" i="24" l="1"/>
  <c r="B269" i="26"/>
  <c r="B141" i="28"/>
  <c r="B139" i="28"/>
  <c r="B140" i="28"/>
  <c r="B124" i="28" l="1"/>
  <c r="B128" i="28"/>
  <c r="B129" i="28"/>
  <c r="B130" i="28"/>
  <c r="B131" i="28"/>
  <c r="B132" i="28"/>
  <c r="B133" i="28"/>
  <c r="B134" i="28"/>
  <c r="B135" i="28"/>
  <c r="B136" i="28"/>
  <c r="B137" i="28"/>
  <c r="B138" i="28"/>
  <c r="B121" i="28"/>
  <c r="D1348" i="24"/>
  <c r="D1331" i="24"/>
  <c r="B267" i="26"/>
  <c r="B268" i="26"/>
  <c r="B265" i="26"/>
  <c r="B266" i="26"/>
  <c r="D41" i="24"/>
  <c r="D19" i="17" l="1"/>
  <c r="D16" i="24" l="1"/>
  <c r="D24" i="24"/>
  <c r="D66" i="24"/>
  <c r="D83" i="24"/>
  <c r="D95" i="24"/>
  <c r="D111" i="24"/>
  <c r="D117" i="24"/>
  <c r="D198" i="24"/>
  <c r="D229" i="24"/>
  <c r="D244" i="24"/>
  <c r="D258" i="24"/>
  <c r="D274" i="24"/>
  <c r="D309" i="24"/>
  <c r="D328" i="24"/>
  <c r="D339" i="24"/>
  <c r="D369" i="24"/>
  <c r="D387" i="24"/>
  <c r="D398" i="24"/>
  <c r="D412" i="24"/>
  <c r="D421" i="24"/>
  <c r="D439" i="24"/>
  <c r="D468" i="24"/>
  <c r="D469" i="24"/>
  <c r="D476" i="24" s="1"/>
  <c r="D487" i="24"/>
  <c r="D501" i="24"/>
  <c r="D512" i="24"/>
  <c r="D522" i="24"/>
  <c r="D558" i="24"/>
  <c r="D563" i="24"/>
  <c r="D571" i="24"/>
  <c r="D588" i="24"/>
  <c r="D597" i="24"/>
  <c r="D612" i="24"/>
  <c r="D626" i="24"/>
  <c r="D642" i="24"/>
  <c r="D731" i="24"/>
  <c r="D749" i="24"/>
  <c r="D768" i="24"/>
  <c r="D791" i="24"/>
  <c r="D801" i="24"/>
  <c r="D811" i="24"/>
  <c r="D837" i="24"/>
  <c r="D846" i="24"/>
  <c r="D857" i="24"/>
  <c r="D860" i="24"/>
  <c r="D867" i="24" s="1"/>
  <c r="D870" i="24"/>
  <c r="D878" i="24" s="1"/>
  <c r="D888" i="24"/>
  <c r="D898" i="24"/>
  <c r="D908" i="24"/>
  <c r="D918" i="24"/>
  <c r="D922" i="24"/>
  <c r="D950" i="24"/>
  <c r="D971" i="24"/>
  <c r="D981" i="24"/>
  <c r="D992" i="24"/>
  <c r="D999" i="24"/>
  <c r="D1024" i="24"/>
  <c r="D1033" i="24"/>
  <c r="D1048" i="24"/>
  <c r="D1059" i="24"/>
  <c r="D1074" i="24"/>
  <c r="D1103" i="24"/>
  <c r="D1118" i="24"/>
  <c r="D1125" i="24"/>
  <c r="D1132" i="24"/>
  <c r="D1144" i="24"/>
  <c r="D1154" i="24"/>
  <c r="D1163" i="24"/>
  <c r="D1172" i="24"/>
  <c r="D1193" i="24"/>
  <c r="D1203" i="24"/>
  <c r="D1210" i="24"/>
  <c r="D1223" i="24"/>
  <c r="D1242" i="24"/>
  <c r="D1253" i="24"/>
  <c r="D1264" i="24"/>
  <c r="D1272" i="24"/>
  <c r="D1293" i="24"/>
  <c r="D1303" i="24"/>
  <c r="D1318" i="24"/>
  <c r="B261" i="26"/>
  <c r="B262" i="26"/>
  <c r="B263" i="26"/>
  <c r="B264" i="26"/>
  <c r="D285" i="24" l="1"/>
  <c r="D934" i="24"/>
  <c r="B260" i="26"/>
  <c r="B257" i="26"/>
  <c r="B258" i="26"/>
  <c r="B259" i="26"/>
  <c r="B119" i="28" l="1"/>
  <c r="B116" i="28" l="1"/>
  <c r="B117" i="28"/>
  <c r="B118" i="28"/>
  <c r="B243" i="26"/>
  <c r="B244" i="26"/>
  <c r="B245" i="26"/>
  <c r="B237" i="26" l="1"/>
  <c r="B238" i="26"/>
  <c r="B239" i="26"/>
  <c r="B240" i="26"/>
  <c r="B241" i="26"/>
  <c r="B242" i="26"/>
  <c r="B234" i="26" l="1"/>
  <c r="B235" i="26"/>
  <c r="B236" i="26"/>
  <c r="B114" i="28" l="1"/>
  <c r="B115" i="28"/>
  <c r="XEN285" i="23" l="1"/>
  <c r="XEN284" i="23"/>
  <c r="B109" i="28" l="1"/>
  <c r="B110" i="28"/>
  <c r="B111" i="28"/>
  <c r="B112" i="28"/>
  <c r="B113" i="28"/>
  <c r="B108" i="28"/>
  <c r="B102" i="28"/>
  <c r="B103" i="28"/>
  <c r="B104" i="28"/>
  <c r="B105" i="28"/>
  <c r="B106" i="28"/>
  <c r="B107" i="28"/>
  <c r="B216" i="26" l="1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14" i="26"/>
  <c r="B215" i="26"/>
  <c r="B209" i="26" l="1"/>
  <c r="B210" i="26"/>
  <c r="B211" i="26"/>
  <c r="B212" i="26"/>
  <c r="B213" i="26"/>
  <c r="B200" i="26" l="1"/>
  <c r="B201" i="26"/>
  <c r="B202" i="26"/>
  <c r="B203" i="26"/>
  <c r="B204" i="26"/>
  <c r="B205" i="26"/>
  <c r="B206" i="26"/>
  <c r="B207" i="26"/>
  <c r="B208" i="26"/>
  <c r="B96" i="28" l="1"/>
  <c r="B97" i="28"/>
  <c r="B98" i="28"/>
  <c r="B99" i="28"/>
  <c r="B100" i="28"/>
  <c r="B101" i="28"/>
  <c r="B84" i="28"/>
  <c r="B85" i="28"/>
  <c r="B86" i="28"/>
  <c r="B87" i="28"/>
  <c r="B88" i="28"/>
  <c r="B89" i="28"/>
  <c r="B90" i="28"/>
  <c r="B91" i="28"/>
  <c r="B92" i="28"/>
  <c r="B93" i="28"/>
  <c r="B94" i="28"/>
  <c r="B95" i="28"/>
  <c r="B193" i="26" l="1"/>
  <c r="B194" i="26"/>
  <c r="B195" i="26"/>
  <c r="B196" i="26"/>
  <c r="B197" i="26"/>
  <c r="B198" i="26"/>
  <c r="B199" i="26"/>
  <c r="B183" i="26" l="1"/>
  <c r="B184" i="26"/>
  <c r="B185" i="26"/>
  <c r="B186" i="26"/>
  <c r="B187" i="26"/>
  <c r="B188" i="26"/>
  <c r="B189" i="26"/>
  <c r="B190" i="26"/>
  <c r="B191" i="26"/>
  <c r="B192" i="26"/>
  <c r="B80" i="28" l="1"/>
  <c r="B81" i="28"/>
  <c r="B82" i="28"/>
  <c r="B83" i="28"/>
  <c r="B73" i="28" l="1"/>
  <c r="B74" i="28"/>
  <c r="B75" i="28"/>
  <c r="B76" i="28"/>
  <c r="B77" i="28"/>
  <c r="B78" i="28"/>
  <c r="B79" i="28"/>
  <c r="B182" i="26" l="1"/>
  <c r="B172" i="26" l="1"/>
  <c r="B179" i="26"/>
  <c r="B180" i="26"/>
  <c r="B181" i="26"/>
  <c r="B169" i="26"/>
  <c r="B170" i="26"/>
  <c r="B171" i="26"/>
  <c r="B160" i="26" l="1"/>
  <c r="B161" i="26"/>
  <c r="B162" i="26"/>
  <c r="B163" i="26"/>
  <c r="B164" i="26"/>
  <c r="B165" i="26"/>
  <c r="B166" i="26"/>
  <c r="B167" i="26"/>
  <c r="B168" i="26"/>
  <c r="B68" i="28" l="1"/>
  <c r="B69" i="28"/>
  <c r="B70" i="28"/>
  <c r="B71" i="28"/>
  <c r="B72" i="28"/>
  <c r="B158" i="26" l="1"/>
  <c r="B159" i="26"/>
  <c r="B151" i="26" l="1"/>
  <c r="B152" i="26"/>
  <c r="B153" i="26"/>
  <c r="B154" i="26"/>
  <c r="B155" i="26"/>
  <c r="B156" i="26"/>
  <c r="B157" i="26"/>
  <c r="B67" i="28" l="1"/>
  <c r="B147" i="26" l="1"/>
  <c r="B148" i="26"/>
  <c r="B149" i="26"/>
  <c r="B150" i="26"/>
  <c r="B144" i="26" l="1"/>
  <c r="B145" i="26"/>
  <c r="B146" i="26"/>
  <c r="B132" i="26" l="1"/>
  <c r="B133" i="26"/>
  <c r="B134" i="26"/>
  <c r="B135" i="26"/>
  <c r="B136" i="26"/>
  <c r="B137" i="26"/>
  <c r="B138" i="26"/>
  <c r="B139" i="26"/>
  <c r="B140" i="26"/>
  <c r="B141" i="26"/>
  <c r="B142" i="26"/>
  <c r="B143" i="26"/>
  <c r="B120" i="26" l="1"/>
  <c r="B121" i="26"/>
  <c r="B122" i="26"/>
  <c r="B123" i="26"/>
  <c r="B124" i="26"/>
  <c r="B125" i="26"/>
  <c r="B126" i="26"/>
  <c r="B127" i="26"/>
  <c r="B128" i="26"/>
  <c r="B129" i="26"/>
  <c r="B130" i="26"/>
  <c r="B131" i="26"/>
  <c r="B117" i="26" l="1"/>
  <c r="B118" i="26"/>
  <c r="B119" i="26"/>
  <c r="B53" i="28" l="1"/>
  <c r="B54" i="28"/>
  <c r="B55" i="28"/>
  <c r="B56" i="28"/>
  <c r="B57" i="28"/>
  <c r="B58" i="28"/>
  <c r="B59" i="28"/>
  <c r="B60" i="28"/>
  <c r="B61" i="28"/>
  <c r="B62" i="28"/>
  <c r="B63" i="28"/>
  <c r="B64" i="28"/>
  <c r="B65" i="28"/>
  <c r="B66" i="28"/>
  <c r="B107" i="26"/>
  <c r="B108" i="26"/>
  <c r="B109" i="26"/>
  <c r="B110" i="26"/>
  <c r="B111" i="26"/>
  <c r="B112" i="26"/>
  <c r="B113" i="26"/>
  <c r="B114" i="26"/>
  <c r="B115" i="26"/>
  <c r="B116" i="26"/>
  <c r="B52" i="28" l="1"/>
  <c r="B50" i="28"/>
  <c r="B51" i="28"/>
  <c r="B47" i="28"/>
  <c r="B48" i="28"/>
  <c r="B49" i="28"/>
  <c r="B41" i="28" l="1"/>
  <c r="B42" i="28"/>
  <c r="B43" i="28"/>
  <c r="B44" i="28"/>
  <c r="B45" i="28"/>
  <c r="B46" i="28"/>
  <c r="B91" i="26"/>
  <c r="B92" i="26"/>
  <c r="B93" i="26"/>
  <c r="B94" i="26"/>
  <c r="B95" i="26"/>
  <c r="B96" i="26"/>
  <c r="B97" i="26"/>
  <c r="B103" i="26"/>
  <c r="B104" i="26"/>
  <c r="B105" i="26"/>
  <c r="B106" i="26"/>
  <c r="B85" i="26"/>
  <c r="B86" i="26"/>
  <c r="B87" i="26"/>
  <c r="B88" i="26"/>
  <c r="B81" i="26" l="1"/>
  <c r="B82" i="26"/>
  <c r="B83" i="26"/>
  <c r="B84" i="26"/>
  <c r="D55" i="17"/>
  <c r="D54" i="17"/>
  <c r="F53" i="17"/>
  <c r="G53" i="17" s="1"/>
  <c r="H53" i="17" s="1"/>
  <c r="K53" i="17" s="1"/>
  <c r="L53" i="17" s="1"/>
  <c r="N53" i="17" s="1"/>
  <c r="P53" i="17" s="1"/>
  <c r="Q53" i="17" s="1"/>
  <c r="R53" i="17" s="1"/>
  <c r="S53" i="17" s="1"/>
  <c r="T53" i="17" s="1"/>
  <c r="U53" i="17" s="1"/>
  <c r="V53" i="17" s="1"/>
  <c r="W53" i="17" s="1"/>
  <c r="X53" i="17" s="1"/>
  <c r="Z53" i="17" s="1"/>
  <c r="AA53" i="17" s="1"/>
  <c r="AB53" i="17" s="1"/>
  <c r="AC53" i="17" s="1"/>
  <c r="AD53" i="17" s="1"/>
  <c r="AF53" i="17" s="1"/>
  <c r="AG53" i="17" s="1"/>
  <c r="AI53" i="17" s="1"/>
  <c r="AJ53" i="17" s="1"/>
  <c r="AK53" i="17" s="1"/>
  <c r="AL53" i="17" s="1"/>
  <c r="D50" i="17"/>
  <c r="E49" i="17"/>
  <c r="D49" i="17"/>
  <c r="C58" i="17" s="1"/>
  <c r="D58" i="17" s="1"/>
  <c r="F48" i="17"/>
  <c r="G48" i="17" s="1"/>
  <c r="H48" i="17" s="1"/>
  <c r="K48" i="17" s="1"/>
  <c r="L48" i="17" s="1"/>
  <c r="N48" i="17" s="1"/>
  <c r="P48" i="17" s="1"/>
  <c r="Q48" i="17" s="1"/>
  <c r="R48" i="17" s="1"/>
  <c r="S48" i="17" s="1"/>
  <c r="T48" i="17" s="1"/>
  <c r="U48" i="17" s="1"/>
  <c r="V48" i="17" s="1"/>
  <c r="W48" i="17" s="1"/>
  <c r="X48" i="17" s="1"/>
  <c r="Z48" i="17" s="1"/>
  <c r="AA48" i="17" s="1"/>
  <c r="AB48" i="17" s="1"/>
  <c r="AC48" i="17" s="1"/>
  <c r="AD48" i="17" s="1"/>
  <c r="AF48" i="17" s="1"/>
  <c r="AG48" i="17" s="1"/>
  <c r="AI48" i="17" s="1"/>
  <c r="AJ48" i="17" s="1"/>
  <c r="AK48" i="17" s="1"/>
  <c r="AL48" i="17" s="1"/>
  <c r="D44" i="17"/>
  <c r="D43" i="17"/>
  <c r="D42" i="17"/>
  <c r="D41" i="17"/>
  <c r="D40" i="17"/>
  <c r="D39" i="17"/>
  <c r="D38" i="17"/>
  <c r="E37" i="17"/>
  <c r="F37" i="17" s="1"/>
  <c r="G37" i="17" s="1"/>
  <c r="H37" i="17" s="1"/>
  <c r="I37" i="17" s="1"/>
  <c r="J37" i="17" s="1"/>
  <c r="K37" i="17" s="1"/>
  <c r="L37" i="17" s="1"/>
  <c r="M37" i="17" s="1"/>
  <c r="N37" i="17" s="1"/>
  <c r="O37" i="17" s="1"/>
  <c r="P37" i="17" s="1"/>
  <c r="Q37" i="17" s="1"/>
  <c r="R37" i="17" s="1"/>
  <c r="S37" i="17" s="1"/>
  <c r="T37" i="17" s="1"/>
  <c r="U37" i="17" s="1"/>
  <c r="V37" i="17" s="1"/>
  <c r="W37" i="17" s="1"/>
  <c r="X37" i="17" s="1"/>
  <c r="Y37" i="17" s="1"/>
  <c r="Z37" i="17" s="1"/>
  <c r="AA37" i="17" s="1"/>
  <c r="AB37" i="17" s="1"/>
  <c r="AC37" i="17" s="1"/>
  <c r="AD37" i="17" s="1"/>
  <c r="AE37" i="17" s="1"/>
  <c r="AF37" i="17" s="1"/>
  <c r="AG37" i="17" s="1"/>
  <c r="AH37" i="17" s="1"/>
  <c r="AI37" i="17" s="1"/>
  <c r="AJ37" i="17" s="1"/>
  <c r="AK37" i="17" s="1"/>
  <c r="AL37" i="17" s="1"/>
  <c r="AL35" i="17"/>
  <c r="AK35" i="17"/>
  <c r="AJ35" i="17"/>
  <c r="AI35" i="17"/>
  <c r="AH35" i="17"/>
  <c r="AG35" i="17"/>
  <c r="AF35" i="17"/>
  <c r="AE35" i="17"/>
  <c r="AD35" i="17"/>
  <c r="AC35" i="17"/>
  <c r="AB35" i="17"/>
  <c r="AA35" i="17"/>
  <c r="Z35" i="17"/>
  <c r="Y35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AM34" i="17"/>
  <c r="D34" i="17"/>
  <c r="AM33" i="17"/>
  <c r="D33" i="17"/>
  <c r="AM32" i="17"/>
  <c r="D32" i="17"/>
  <c r="AM31" i="17"/>
  <c r="D31" i="17"/>
  <c r="AM30" i="17"/>
  <c r="D30" i="17"/>
  <c r="AM29" i="17"/>
  <c r="D29" i="17"/>
  <c r="AM28" i="17"/>
  <c r="D28" i="17"/>
  <c r="AM27" i="17"/>
  <c r="D27" i="17"/>
  <c r="AM26" i="17"/>
  <c r="D26" i="17"/>
  <c r="AM25" i="17"/>
  <c r="D25" i="17"/>
  <c r="AM24" i="17"/>
  <c r="D24" i="17"/>
  <c r="AM23" i="17"/>
  <c r="D23" i="17"/>
  <c r="AM22" i="17"/>
  <c r="D22" i="17"/>
  <c r="AM21" i="17"/>
  <c r="D21" i="17"/>
  <c r="D20" i="17"/>
  <c r="AM19" i="17"/>
  <c r="AN19" i="17" s="1"/>
  <c r="AM18" i="17"/>
  <c r="D18" i="17"/>
  <c r="AM17" i="17"/>
  <c r="D17" i="17"/>
  <c r="AM16" i="17"/>
  <c r="D16" i="17"/>
  <c r="AM15" i="17"/>
  <c r="D15" i="17"/>
  <c r="AM14" i="17"/>
  <c r="D14" i="17"/>
  <c r="AM13" i="17"/>
  <c r="D13" i="17"/>
  <c r="AM12" i="17"/>
  <c r="D12" i="17"/>
  <c r="AM11" i="17"/>
  <c r="D11" i="17"/>
  <c r="D10" i="17"/>
  <c r="AN10" i="17" s="1"/>
  <c r="AM9" i="17"/>
  <c r="D9" i="17"/>
  <c r="AM8" i="17"/>
  <c r="D8" i="17"/>
  <c r="AM7" i="17"/>
  <c r="D7" i="17"/>
  <c r="AM6" i="17"/>
  <c r="D6" i="17"/>
  <c r="AM5" i="17"/>
  <c r="D5" i="17"/>
  <c r="AM4" i="17"/>
  <c r="D4" i="17"/>
  <c r="AM3" i="17"/>
  <c r="D3" i="17"/>
  <c r="G2" i="17"/>
  <c r="H2" i="17" s="1"/>
  <c r="I2" i="17" s="1"/>
  <c r="J2" i="17" s="1"/>
  <c r="K2" i="17" s="1"/>
  <c r="L2" i="17" s="1"/>
  <c r="M2" i="17" s="1"/>
  <c r="N2" i="17" s="1"/>
  <c r="O2" i="17" s="1"/>
  <c r="P2" i="17" s="1"/>
  <c r="Q2" i="17" s="1"/>
  <c r="R2" i="17" s="1"/>
  <c r="S2" i="17" s="1"/>
  <c r="T2" i="17" s="1"/>
  <c r="U2" i="17" s="1"/>
  <c r="V2" i="17" s="1"/>
  <c r="W2" i="17" s="1"/>
  <c r="X2" i="17" s="1"/>
  <c r="Y2" i="17" s="1"/>
  <c r="Z2" i="17" s="1"/>
  <c r="AA2" i="17" s="1"/>
  <c r="AB2" i="17" s="1"/>
  <c r="AC2" i="17" s="1"/>
  <c r="AD2" i="17" s="1"/>
  <c r="AE2" i="17" s="1"/>
  <c r="AF2" i="17" s="1"/>
  <c r="AG2" i="17" s="1"/>
  <c r="AH2" i="17" s="1"/>
  <c r="AI2" i="17" s="1"/>
  <c r="AJ2" i="17" s="1"/>
  <c r="AK2" i="17" s="1"/>
  <c r="AL2" i="17" s="1"/>
  <c r="E888" i="24"/>
  <c r="E878" i="24"/>
  <c r="E857" i="24"/>
  <c r="E563" i="24"/>
  <c r="E522" i="24"/>
  <c r="E487" i="24"/>
  <c r="E476" i="24"/>
  <c r="E398" i="24"/>
  <c r="E339" i="24"/>
  <c r="E229" i="24"/>
  <c r="E95" i="24"/>
  <c r="N273" i="23"/>
  <c r="M273" i="23"/>
  <c r="J273" i="23"/>
  <c r="L272" i="23"/>
  <c r="K272" i="23"/>
  <c r="L271" i="23"/>
  <c r="K271" i="23"/>
  <c r="L270" i="23"/>
  <c r="K270" i="23"/>
  <c r="L269" i="23"/>
  <c r="K269" i="23"/>
  <c r="L268" i="23"/>
  <c r="K268" i="23"/>
  <c r="L267" i="23"/>
  <c r="K267" i="23"/>
  <c r="L266" i="23"/>
  <c r="K266" i="23"/>
  <c r="L265" i="23"/>
  <c r="K265" i="23"/>
  <c r="L264" i="23"/>
  <c r="K264" i="23"/>
  <c r="L263" i="23"/>
  <c r="K263" i="23"/>
  <c r="L262" i="23"/>
  <c r="L261" i="23"/>
  <c r="K261" i="23"/>
  <c r="L260" i="23"/>
  <c r="K260" i="23"/>
  <c r="L259" i="23"/>
  <c r="K259" i="23"/>
  <c r="L258" i="23"/>
  <c r="K258" i="23"/>
  <c r="L257" i="23"/>
  <c r="K257" i="23"/>
  <c r="L256" i="23"/>
  <c r="K256" i="23"/>
  <c r="L255" i="23"/>
  <c r="L254" i="23"/>
  <c r="K254" i="23"/>
  <c r="L253" i="23"/>
  <c r="K253" i="23"/>
  <c r="L252" i="23"/>
  <c r="K252" i="23"/>
  <c r="L251" i="23"/>
  <c r="K251" i="23"/>
  <c r="L250" i="23"/>
  <c r="K250" i="23"/>
  <c r="L249" i="23"/>
  <c r="K249" i="23"/>
  <c r="L248" i="23"/>
  <c r="L247" i="23"/>
  <c r="K247" i="23"/>
  <c r="L246" i="23"/>
  <c r="K246" i="23"/>
  <c r="L245" i="23"/>
  <c r="K245" i="23"/>
  <c r="L244" i="23"/>
  <c r="K244" i="23"/>
  <c r="L243" i="23"/>
  <c r="K243" i="23"/>
  <c r="L242" i="23"/>
  <c r="K242" i="23"/>
  <c r="L241" i="23"/>
  <c r="K241" i="23"/>
  <c r="L240" i="23"/>
  <c r="K240" i="23"/>
  <c r="L239" i="23"/>
  <c r="K239" i="23"/>
  <c r="L238" i="23"/>
  <c r="K238" i="23"/>
  <c r="L237" i="23"/>
  <c r="K237" i="23"/>
  <c r="L236" i="23"/>
  <c r="K236" i="23"/>
  <c r="L235" i="23"/>
  <c r="K235" i="23"/>
  <c r="L234" i="23"/>
  <c r="K234" i="23"/>
  <c r="L233" i="23"/>
  <c r="L232" i="23"/>
  <c r="K232" i="23"/>
  <c r="L231" i="23"/>
  <c r="K231" i="23"/>
  <c r="L230" i="23"/>
  <c r="K230" i="23"/>
  <c r="L229" i="23"/>
  <c r="K229" i="23"/>
  <c r="L228" i="23"/>
  <c r="L227" i="23"/>
  <c r="K227" i="23"/>
  <c r="L226" i="23"/>
  <c r="K226" i="23"/>
  <c r="L225" i="23"/>
  <c r="K225" i="23"/>
  <c r="L224" i="23"/>
  <c r="K224" i="23"/>
  <c r="L223" i="23"/>
  <c r="K223" i="23"/>
  <c r="L222" i="23"/>
  <c r="K222" i="23"/>
  <c r="L221" i="23"/>
  <c r="K221" i="23"/>
  <c r="L220" i="23"/>
  <c r="K220" i="23"/>
  <c r="L219" i="23"/>
  <c r="K219" i="23"/>
  <c r="L218" i="23"/>
  <c r="K218" i="23"/>
  <c r="L217" i="23"/>
  <c r="K217" i="23"/>
  <c r="L216" i="23"/>
  <c r="K216" i="23"/>
  <c r="L215" i="23"/>
  <c r="K215" i="23"/>
  <c r="L214" i="23"/>
  <c r="K214" i="23"/>
  <c r="L213" i="23"/>
  <c r="K213" i="23"/>
  <c r="L212" i="23"/>
  <c r="K212" i="23"/>
  <c r="L211" i="23"/>
  <c r="K211" i="23"/>
  <c r="L210" i="23"/>
  <c r="K210" i="23"/>
  <c r="L209" i="23"/>
  <c r="K209" i="23"/>
  <c r="L208" i="23"/>
  <c r="L207" i="23"/>
  <c r="K207" i="23"/>
  <c r="L206" i="23"/>
  <c r="K206" i="23"/>
  <c r="L205" i="23"/>
  <c r="K205" i="23"/>
  <c r="L204" i="23"/>
  <c r="K204" i="23"/>
  <c r="L203" i="23"/>
  <c r="K203" i="23"/>
  <c r="L202" i="23"/>
  <c r="K202" i="23"/>
  <c r="L201" i="23"/>
  <c r="K201" i="23"/>
  <c r="L200" i="23"/>
  <c r="K200" i="23"/>
  <c r="L199" i="23"/>
  <c r="K199" i="23"/>
  <c r="L198" i="23"/>
  <c r="K198" i="23"/>
  <c r="L197" i="23"/>
  <c r="K197" i="23"/>
  <c r="L196" i="23"/>
  <c r="K196" i="23"/>
  <c r="L195" i="23"/>
  <c r="K195" i="23"/>
  <c r="L194" i="23"/>
  <c r="K194" i="23"/>
  <c r="L193" i="23"/>
  <c r="K193" i="23"/>
  <c r="L192" i="23"/>
  <c r="K192" i="23"/>
  <c r="L191" i="23"/>
  <c r="K191" i="23"/>
  <c r="L190" i="23"/>
  <c r="K190" i="23"/>
  <c r="L189" i="23"/>
  <c r="K189" i="23"/>
  <c r="L188" i="23"/>
  <c r="K188" i="23"/>
  <c r="L187" i="23"/>
  <c r="K187" i="23"/>
  <c r="L186" i="23"/>
  <c r="K186" i="23"/>
  <c r="L185" i="23"/>
  <c r="K185" i="23"/>
  <c r="L184" i="23"/>
  <c r="K184" i="23"/>
  <c r="L183" i="23"/>
  <c r="K183" i="23"/>
  <c r="L182" i="23"/>
  <c r="K182" i="23"/>
  <c r="L181" i="23"/>
  <c r="K181" i="23"/>
  <c r="L180" i="23"/>
  <c r="K180" i="23"/>
  <c r="L179" i="23"/>
  <c r="K179" i="23"/>
  <c r="L178" i="23"/>
  <c r="K178" i="23"/>
  <c r="L177" i="23"/>
  <c r="K177" i="23"/>
  <c r="L176" i="23"/>
  <c r="K176" i="23"/>
  <c r="L175" i="23"/>
  <c r="K175" i="23"/>
  <c r="L174" i="23"/>
  <c r="K174" i="23"/>
  <c r="L173" i="23"/>
  <c r="K173" i="23"/>
  <c r="L172" i="23"/>
  <c r="K172" i="23"/>
  <c r="L171" i="23"/>
  <c r="K171" i="23"/>
  <c r="L170" i="23"/>
  <c r="K170" i="23"/>
  <c r="L169" i="23"/>
  <c r="K169" i="23"/>
  <c r="L168" i="23"/>
  <c r="K168" i="23"/>
  <c r="L167" i="23"/>
  <c r="K167" i="23"/>
  <c r="L166" i="23"/>
  <c r="K166" i="23"/>
  <c r="L165" i="23"/>
  <c r="K165" i="23"/>
  <c r="L164" i="23"/>
  <c r="K164" i="23"/>
  <c r="L163" i="23"/>
  <c r="K163" i="23"/>
  <c r="L162" i="23"/>
  <c r="K162" i="23"/>
  <c r="L161" i="23"/>
  <c r="K161" i="23"/>
  <c r="L160" i="23"/>
  <c r="K160" i="23"/>
  <c r="L159" i="23"/>
  <c r="K159" i="23"/>
  <c r="L158" i="23"/>
  <c r="K158" i="23"/>
  <c r="L157" i="23"/>
  <c r="K157" i="23"/>
  <c r="L156" i="23"/>
  <c r="K156" i="23"/>
  <c r="L155" i="23"/>
  <c r="K155" i="23"/>
  <c r="L154" i="23"/>
  <c r="K154" i="23"/>
  <c r="L153" i="23"/>
  <c r="K153" i="23"/>
  <c r="L152" i="23"/>
  <c r="K152" i="23"/>
  <c r="L151" i="23"/>
  <c r="K151" i="23"/>
  <c r="L150" i="23"/>
  <c r="K150" i="23"/>
  <c r="L149" i="23"/>
  <c r="K149" i="23"/>
  <c r="L148" i="23"/>
  <c r="K148" i="23"/>
  <c r="L147" i="23"/>
  <c r="K147" i="23"/>
  <c r="L146" i="23"/>
  <c r="K146" i="23"/>
  <c r="L145" i="23"/>
  <c r="K145" i="23"/>
  <c r="L144" i="23"/>
  <c r="K144" i="23"/>
  <c r="L143" i="23"/>
  <c r="K143" i="23"/>
  <c r="L142" i="23"/>
  <c r="K142" i="23"/>
  <c r="L141" i="23"/>
  <c r="K141" i="23"/>
  <c r="L140" i="23"/>
  <c r="K140" i="23"/>
  <c r="L139" i="23"/>
  <c r="K139" i="23"/>
  <c r="L138" i="23"/>
  <c r="L137" i="23"/>
  <c r="K137" i="23"/>
  <c r="L136" i="23"/>
  <c r="K136" i="23"/>
  <c r="L135" i="23"/>
  <c r="K135" i="23"/>
  <c r="L134" i="23"/>
  <c r="K134" i="23"/>
  <c r="L133" i="23"/>
  <c r="K133" i="23"/>
  <c r="L132" i="23"/>
  <c r="K132" i="23"/>
  <c r="L131" i="23"/>
  <c r="K131" i="23"/>
  <c r="L130" i="23"/>
  <c r="K130" i="23"/>
  <c r="L129" i="23"/>
  <c r="K129" i="23"/>
  <c r="L128" i="23"/>
  <c r="K128" i="23"/>
  <c r="L127" i="23"/>
  <c r="K127" i="23"/>
  <c r="L126" i="23"/>
  <c r="K126" i="23"/>
  <c r="L125" i="23"/>
  <c r="K125" i="23"/>
  <c r="L124" i="23"/>
  <c r="K124" i="23"/>
  <c r="L123" i="23"/>
  <c r="K123" i="23"/>
  <c r="L122" i="23"/>
  <c r="K122" i="23"/>
  <c r="L121" i="23"/>
  <c r="K121" i="23"/>
  <c r="L120" i="23"/>
  <c r="K120" i="23"/>
  <c r="L119" i="23"/>
  <c r="K119" i="23"/>
  <c r="L118" i="23"/>
  <c r="K118" i="23"/>
  <c r="L117" i="23"/>
  <c r="L116" i="23"/>
  <c r="K116" i="23"/>
  <c r="L115" i="23"/>
  <c r="K115" i="23"/>
  <c r="L114" i="23"/>
  <c r="L113" i="23"/>
  <c r="K113" i="23"/>
  <c r="L112" i="23"/>
  <c r="K112" i="23"/>
  <c r="L111" i="23"/>
  <c r="K111" i="23"/>
  <c r="L110" i="23"/>
  <c r="K110" i="23"/>
  <c r="L109" i="23"/>
  <c r="K109" i="23"/>
  <c r="L108" i="23"/>
  <c r="K108" i="23"/>
  <c r="L107" i="23"/>
  <c r="K107" i="23"/>
  <c r="L106" i="23"/>
  <c r="K106" i="23"/>
  <c r="L105" i="23"/>
  <c r="K105" i="23"/>
  <c r="L104" i="23"/>
  <c r="K104" i="23"/>
  <c r="L103" i="23"/>
  <c r="K103" i="23"/>
  <c r="L102" i="23"/>
  <c r="K102" i="23"/>
  <c r="L101" i="23"/>
  <c r="K101" i="23"/>
  <c r="L100" i="23"/>
  <c r="K100" i="23"/>
  <c r="L99" i="23"/>
  <c r="K99" i="23"/>
  <c r="L98" i="23"/>
  <c r="K98" i="23"/>
  <c r="L97" i="23"/>
  <c r="L96" i="23"/>
  <c r="K96" i="23"/>
  <c r="L95" i="23"/>
  <c r="L94" i="23"/>
  <c r="K94" i="23"/>
  <c r="L93" i="23"/>
  <c r="K93" i="23"/>
  <c r="L92" i="23"/>
  <c r="L91" i="23"/>
  <c r="K91" i="23"/>
  <c r="L90" i="23"/>
  <c r="K90" i="23"/>
  <c r="L89" i="23"/>
  <c r="K89" i="23"/>
  <c r="L88" i="23"/>
  <c r="K88" i="23"/>
  <c r="L87" i="23"/>
  <c r="K87" i="23"/>
  <c r="L86" i="23"/>
  <c r="K86" i="23"/>
  <c r="L85" i="23"/>
  <c r="K85" i="23"/>
  <c r="L84" i="23"/>
  <c r="K84" i="23"/>
  <c r="L83" i="23"/>
  <c r="K83" i="23"/>
  <c r="L82" i="23"/>
  <c r="K82" i="23"/>
  <c r="L81" i="23"/>
  <c r="K81" i="23"/>
  <c r="L80" i="23"/>
  <c r="K80" i="23"/>
  <c r="L79" i="23"/>
  <c r="K79" i="23"/>
  <c r="L78" i="23"/>
  <c r="K78" i="23"/>
  <c r="L77" i="23"/>
  <c r="K77" i="23"/>
  <c r="L76" i="23"/>
  <c r="K76" i="23"/>
  <c r="L75" i="23"/>
  <c r="K75" i="23"/>
  <c r="L74" i="23"/>
  <c r="K74" i="23"/>
  <c r="L73" i="23"/>
  <c r="K73" i="23"/>
  <c r="L72" i="23"/>
  <c r="K72" i="23"/>
  <c r="L71" i="23"/>
  <c r="K71" i="23"/>
  <c r="L70" i="23"/>
  <c r="K70" i="23"/>
  <c r="L69" i="23"/>
  <c r="K69" i="23"/>
  <c r="L68" i="23"/>
  <c r="K68" i="23"/>
  <c r="L67" i="23"/>
  <c r="K67" i="23"/>
  <c r="L66" i="23"/>
  <c r="K66" i="23"/>
  <c r="L65" i="23"/>
  <c r="K65" i="23"/>
  <c r="L64" i="23"/>
  <c r="K64" i="23"/>
  <c r="L63" i="23"/>
  <c r="K63" i="23"/>
  <c r="L62" i="23"/>
  <c r="K62" i="23"/>
  <c r="L61" i="23"/>
  <c r="K61" i="23"/>
  <c r="L60" i="23"/>
  <c r="K60" i="23"/>
  <c r="L59" i="23"/>
  <c r="K59" i="23"/>
  <c r="L58" i="23"/>
  <c r="K58" i="23"/>
  <c r="L57" i="23"/>
  <c r="K57" i="23"/>
  <c r="L56" i="23"/>
  <c r="K56" i="23"/>
  <c r="L55" i="23"/>
  <c r="K55" i="23"/>
  <c r="L54" i="23"/>
  <c r="K54" i="23"/>
  <c r="L53" i="23"/>
  <c r="K53" i="23"/>
  <c r="L52" i="23"/>
  <c r="K52" i="23"/>
  <c r="L51" i="23"/>
  <c r="K51" i="23"/>
  <c r="L50" i="23"/>
  <c r="K50" i="23"/>
  <c r="L49" i="23"/>
  <c r="K49" i="23"/>
  <c r="L48" i="23"/>
  <c r="K48" i="23"/>
  <c r="L47" i="23"/>
  <c r="K47" i="23"/>
  <c r="L46" i="23"/>
  <c r="K46" i="23"/>
  <c r="L45" i="23"/>
  <c r="K45" i="23"/>
  <c r="L44" i="23"/>
  <c r="K44" i="23"/>
  <c r="L43" i="23"/>
  <c r="K43" i="23"/>
  <c r="L42" i="23"/>
  <c r="K42" i="23"/>
  <c r="L41" i="23"/>
  <c r="K41" i="23"/>
  <c r="L40" i="23"/>
  <c r="K40" i="23"/>
  <c r="L39" i="23"/>
  <c r="K39" i="23"/>
  <c r="L38" i="23"/>
  <c r="K38" i="23"/>
  <c r="L36" i="23"/>
  <c r="K36" i="23"/>
  <c r="L35" i="23"/>
  <c r="K35" i="23"/>
  <c r="L34" i="23"/>
  <c r="K34" i="23"/>
  <c r="L33" i="23"/>
  <c r="K33" i="23"/>
  <c r="L32" i="23"/>
  <c r="K32" i="23"/>
  <c r="L31" i="23"/>
  <c r="K31" i="23"/>
  <c r="L30" i="23"/>
  <c r="K30" i="23"/>
  <c r="L29" i="23"/>
  <c r="K29" i="23"/>
  <c r="L28" i="23"/>
  <c r="K28" i="23"/>
  <c r="L27" i="23"/>
  <c r="L26" i="23"/>
  <c r="K26" i="23"/>
  <c r="L25" i="23"/>
  <c r="K25" i="23"/>
  <c r="L24" i="23"/>
  <c r="K24" i="23"/>
  <c r="L23" i="23"/>
  <c r="K23" i="23"/>
  <c r="L22" i="23"/>
  <c r="K22" i="23"/>
  <c r="L21" i="23"/>
  <c r="L20" i="23"/>
  <c r="K20" i="23"/>
  <c r="L19" i="23"/>
  <c r="K19" i="23"/>
  <c r="L18" i="23"/>
  <c r="K18" i="23"/>
  <c r="L17" i="23"/>
  <c r="K17" i="23"/>
  <c r="L16" i="23"/>
  <c r="K16" i="23"/>
  <c r="L15" i="23"/>
  <c r="K15" i="23"/>
  <c r="L14" i="23"/>
  <c r="K14" i="23"/>
  <c r="L13" i="23"/>
  <c r="L12" i="23"/>
  <c r="K12" i="23"/>
  <c r="L11" i="23"/>
  <c r="K11" i="23"/>
  <c r="L10" i="23"/>
  <c r="K10" i="23"/>
  <c r="L9" i="23"/>
  <c r="K9" i="23"/>
  <c r="L8" i="23"/>
  <c r="K8" i="23"/>
  <c r="L7" i="23"/>
  <c r="K7" i="23"/>
  <c r="L6" i="23"/>
  <c r="K6" i="23"/>
  <c r="L5" i="23"/>
  <c r="K5" i="23"/>
  <c r="B1282" i="28"/>
  <c r="B1281" i="28"/>
  <c r="B1280" i="28"/>
  <c r="B1279" i="28"/>
  <c r="B1278" i="28"/>
  <c r="B1277" i="28"/>
  <c r="B1276" i="28"/>
  <c r="B1275" i="28"/>
  <c r="B1274" i="28"/>
  <c r="B1273" i="28"/>
  <c r="B1272" i="28"/>
  <c r="B1271" i="28"/>
  <c r="B1270" i="28"/>
  <c r="B1269" i="28"/>
  <c r="B1268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B1300" i="26"/>
  <c r="B1299" i="26"/>
  <c r="B1298" i="26"/>
  <c r="B1297" i="26"/>
  <c r="B1296" i="26"/>
  <c r="B1295" i="26"/>
  <c r="B1294" i="26"/>
  <c r="B1293" i="26"/>
  <c r="B1292" i="26"/>
  <c r="B1291" i="26"/>
  <c r="B1290" i="26"/>
  <c r="B1289" i="26"/>
  <c r="B1288" i="26"/>
  <c r="B1287" i="26"/>
  <c r="B1286" i="26"/>
  <c r="B90" i="26"/>
  <c r="B89" i="26"/>
  <c r="B80" i="26"/>
  <c r="B79" i="26"/>
  <c r="B78" i="26"/>
  <c r="B77" i="26"/>
  <c r="AM20" i="17"/>
  <c r="B76" i="26"/>
  <c r="B75" i="26"/>
  <c r="K13" i="23"/>
  <c r="B74" i="26"/>
  <c r="K27" i="23"/>
  <c r="B73" i="26"/>
  <c r="K95" i="23"/>
  <c r="B72" i="26"/>
  <c r="B71" i="26"/>
  <c r="B70" i="26"/>
  <c r="B69" i="26"/>
  <c r="K228" i="23"/>
  <c r="B68" i="26"/>
  <c r="B67" i="26"/>
  <c r="B66" i="26"/>
  <c r="B65" i="26"/>
  <c r="K92" i="23"/>
  <c r="B64" i="26"/>
  <c r="B63" i="26"/>
  <c r="B62" i="26"/>
  <c r="B61" i="26"/>
  <c r="B60" i="26"/>
  <c r="K262" i="23"/>
  <c r="B59" i="26"/>
  <c r="B58" i="26"/>
  <c r="B57" i="26"/>
  <c r="B56" i="26"/>
  <c r="B55" i="26"/>
  <c r="B54" i="26"/>
  <c r="B53" i="26"/>
  <c r="B52" i="26"/>
  <c r="K138" i="23"/>
  <c r="B51" i="26"/>
  <c r="B50" i="26"/>
  <c r="B49" i="26"/>
  <c r="B48" i="26"/>
  <c r="B47" i="26"/>
  <c r="B46" i="26"/>
  <c r="B45" i="26"/>
  <c r="B44" i="26"/>
  <c r="B43" i="26"/>
  <c r="B42" i="26"/>
  <c r="B41" i="26"/>
  <c r="B40" i="26"/>
  <c r="K208" i="23"/>
  <c r="B39" i="26"/>
  <c r="B38" i="26"/>
  <c r="B37" i="26"/>
  <c r="B36" i="26"/>
  <c r="B35" i="26"/>
  <c r="B34" i="26"/>
  <c r="K248" i="23"/>
  <c r="B32" i="26"/>
  <c r="K97" i="23"/>
  <c r="B31" i="26"/>
  <c r="B30" i="26"/>
  <c r="K117" i="23"/>
  <c r="B29" i="26"/>
  <c r="B28" i="26"/>
  <c r="B27" i="26"/>
  <c r="B26" i="26"/>
  <c r="B25" i="26"/>
  <c r="B24" i="26"/>
  <c r="B23" i="26"/>
  <c r="B22" i="26"/>
  <c r="B21" i="26"/>
  <c r="B20" i="26"/>
  <c r="B19" i="26"/>
  <c r="B18" i="26"/>
  <c r="B17" i="26"/>
  <c r="B16" i="26"/>
  <c r="B15" i="26"/>
  <c r="B14" i="26"/>
  <c r="B13" i="26"/>
  <c r="B12" i="26"/>
  <c r="B11" i="26"/>
  <c r="B10" i="26"/>
  <c r="B9" i="26"/>
  <c r="B8" i="26"/>
  <c r="B7" i="26"/>
  <c r="B6" i="26"/>
  <c r="AI274" i="2"/>
  <c r="AH274" i="2"/>
  <c r="AH1" i="2" s="1"/>
  <c r="AG274" i="2"/>
  <c r="AF274" i="2"/>
  <c r="AF1" i="2" s="1"/>
  <c r="AE274" i="2"/>
  <c r="AD274" i="2"/>
  <c r="AD1" i="2" s="1"/>
  <c r="AC274" i="2"/>
  <c r="AB274" i="2"/>
  <c r="AB1" i="2" s="1"/>
  <c r="AA274" i="2"/>
  <c r="AA1" i="2" s="1"/>
  <c r="Z274" i="2"/>
  <c r="Y274" i="2"/>
  <c r="X274" i="2"/>
  <c r="X1" i="2" s="1"/>
  <c r="W274" i="2"/>
  <c r="V274" i="2"/>
  <c r="V1" i="2" s="1"/>
  <c r="U274" i="2"/>
  <c r="T274" i="2"/>
  <c r="T1" i="2" s="1"/>
  <c r="S274" i="2"/>
  <c r="R274" i="2"/>
  <c r="R1" i="2" s="1"/>
  <c r="Q274" i="2"/>
  <c r="Q1" i="2" s="1"/>
  <c r="P274" i="2"/>
  <c r="P1" i="2" s="1"/>
  <c r="O274" i="2"/>
  <c r="O1" i="2" s="1"/>
  <c r="N274" i="2"/>
  <c r="M274" i="2"/>
  <c r="L274" i="2"/>
  <c r="L1" i="2" s="1"/>
  <c r="K274" i="2"/>
  <c r="J274" i="2"/>
  <c r="J1" i="2" s="1"/>
  <c r="I274" i="2"/>
  <c r="H274" i="2"/>
  <c r="H1" i="2" s="1"/>
  <c r="G274" i="2"/>
  <c r="F274" i="2"/>
  <c r="F1" i="2" s="1"/>
  <c r="E274" i="2"/>
  <c r="E1" i="2" s="1"/>
  <c r="D273" i="2"/>
  <c r="D272" i="2"/>
  <c r="D271" i="2"/>
  <c r="D270" i="2"/>
  <c r="D269" i="2"/>
  <c r="D268" i="2"/>
  <c r="D267" i="2"/>
  <c r="D266" i="2"/>
  <c r="D265" i="2"/>
  <c r="D264" i="2"/>
  <c r="D263" i="2"/>
  <c r="AK263" i="2" s="1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AK249" i="2" s="1"/>
  <c r="AK248" i="2"/>
  <c r="D248" i="2"/>
  <c r="AK247" i="2"/>
  <c r="D247" i="2"/>
  <c r="D246" i="2"/>
  <c r="AK246" i="2" s="1"/>
  <c r="D245" i="2"/>
  <c r="AK244" i="2"/>
  <c r="D244" i="2"/>
  <c r="AK243" i="2"/>
  <c r="D243" i="2"/>
  <c r="D242" i="2"/>
  <c r="AK241" i="2"/>
  <c r="D241" i="2"/>
  <c r="AK240" i="2"/>
  <c r="D240" i="2"/>
  <c r="D239" i="2"/>
  <c r="AK239" i="2" s="1"/>
  <c r="D238" i="2"/>
  <c r="AK238" i="2" s="1"/>
  <c r="AK237" i="2"/>
  <c r="D237" i="2"/>
  <c r="D236" i="2"/>
  <c r="AK236" i="2" s="1"/>
  <c r="AK235" i="2"/>
  <c r="D235" i="2"/>
  <c r="AK234" i="2"/>
  <c r="D234" i="2"/>
  <c r="D233" i="2"/>
  <c r="AK233" i="2" s="1"/>
  <c r="D232" i="2"/>
  <c r="D231" i="2"/>
  <c r="AK231" i="2" s="1"/>
  <c r="AK230" i="2"/>
  <c r="D230" i="2"/>
  <c r="D229" i="2"/>
  <c r="AK229" i="2" s="1"/>
  <c r="D228" i="2"/>
  <c r="AK228" i="2" s="1"/>
  <c r="D227" i="2"/>
  <c r="AK227" i="2" s="1"/>
  <c r="AK226" i="2"/>
  <c r="D226" i="2"/>
  <c r="D225" i="2"/>
  <c r="AK225" i="2" s="1"/>
  <c r="AK224" i="2"/>
  <c r="D224" i="2"/>
  <c r="D223" i="2"/>
  <c r="AK223" i="2" s="1"/>
  <c r="D222" i="2"/>
  <c r="AK222" i="2" s="1"/>
  <c r="D221" i="2"/>
  <c r="AK221" i="2" s="1"/>
  <c r="D220" i="2"/>
  <c r="AK220" i="2" s="1"/>
  <c r="D219" i="2"/>
  <c r="AK219" i="2" s="1"/>
  <c r="AK218" i="2"/>
  <c r="D218" i="2"/>
  <c r="D217" i="2"/>
  <c r="AK217" i="2" s="1"/>
  <c r="D216" i="2"/>
  <c r="AK216" i="2" s="1"/>
  <c r="D215" i="2"/>
  <c r="AK215" i="2" s="1"/>
  <c r="AK214" i="2"/>
  <c r="D214" i="2"/>
  <c r="AK213" i="2"/>
  <c r="D213" i="2"/>
  <c r="AK212" i="2"/>
  <c r="D212" i="2"/>
  <c r="D211" i="2"/>
  <c r="AK211" i="2" s="1"/>
  <c r="D210" i="2"/>
  <c r="AK209" i="2"/>
  <c r="D209" i="2"/>
  <c r="AK208" i="2"/>
  <c r="D208" i="2"/>
  <c r="AK207" i="2"/>
  <c r="D207" i="2"/>
  <c r="AK206" i="2"/>
  <c r="D206" i="2"/>
  <c r="D205" i="2"/>
  <c r="AK205" i="2" s="1"/>
  <c r="AK204" i="2"/>
  <c r="D204" i="2"/>
  <c r="AK203" i="2"/>
  <c r="D203" i="2"/>
  <c r="D202" i="2"/>
  <c r="AK202" i="2" s="1"/>
  <c r="D201" i="2"/>
  <c r="AK201" i="2" s="1"/>
  <c r="AK200" i="2"/>
  <c r="D200" i="2"/>
  <c r="D199" i="2"/>
  <c r="AK199" i="2" s="1"/>
  <c r="AK198" i="2"/>
  <c r="D198" i="2"/>
  <c r="AK197" i="2"/>
  <c r="D197" i="2"/>
  <c r="D196" i="2"/>
  <c r="AK196" i="2" s="1"/>
  <c r="AK195" i="2"/>
  <c r="D195" i="2"/>
  <c r="AK194" i="2"/>
  <c r="D194" i="2"/>
  <c r="D193" i="2"/>
  <c r="AK193" i="2" s="1"/>
  <c r="AK192" i="2"/>
  <c r="D192" i="2"/>
  <c r="AK191" i="2"/>
  <c r="D191" i="2"/>
  <c r="AK190" i="2"/>
  <c r="D190" i="2"/>
  <c r="D189" i="2"/>
  <c r="AK189" i="2" s="1"/>
  <c r="AK188" i="2"/>
  <c r="D188" i="2"/>
  <c r="D187" i="2"/>
  <c r="AK187" i="2" s="1"/>
  <c r="AK186" i="2"/>
  <c r="D186" i="2"/>
  <c r="AK185" i="2"/>
  <c r="D185" i="2"/>
  <c r="D184" i="2"/>
  <c r="AK183" i="2"/>
  <c r="D183" i="2"/>
  <c r="D182" i="2"/>
  <c r="AK181" i="2"/>
  <c r="D181" i="2"/>
  <c r="D180" i="2"/>
  <c r="AK180" i="2" s="1"/>
  <c r="AK179" i="2"/>
  <c r="D179" i="2"/>
  <c r="AK178" i="2"/>
  <c r="D178" i="2"/>
  <c r="D177" i="2"/>
  <c r="AK177" i="2" s="1"/>
  <c r="D176" i="2"/>
  <c r="D175" i="2"/>
  <c r="AK175" i="2" s="1"/>
  <c r="D174" i="2"/>
  <c r="D173" i="2"/>
  <c r="AK173" i="2" s="1"/>
  <c r="AK172" i="2"/>
  <c r="D172" i="2"/>
  <c r="AK171" i="2"/>
  <c r="D171" i="2"/>
  <c r="D170" i="2"/>
  <c r="AK170" i="2" s="1"/>
  <c r="AK169" i="2"/>
  <c r="D169" i="2"/>
  <c r="AK168" i="2"/>
  <c r="D168" i="2"/>
  <c r="D167" i="2"/>
  <c r="AK167" i="2" s="1"/>
  <c r="AK166" i="2"/>
  <c r="D166" i="2"/>
  <c r="AK165" i="2"/>
  <c r="D165" i="2"/>
  <c r="D164" i="2"/>
  <c r="AK164" i="2" s="1"/>
  <c r="D163" i="2"/>
  <c r="AK163" i="2" s="1"/>
  <c r="D162" i="2"/>
  <c r="AK161" i="2"/>
  <c r="D161" i="2"/>
  <c r="D160" i="2"/>
  <c r="AK160" i="2" s="1"/>
  <c r="D159" i="2"/>
  <c r="AK159" i="2" s="1"/>
  <c r="D158" i="2"/>
  <c r="D157" i="2"/>
  <c r="AK156" i="2"/>
  <c r="D156" i="2"/>
  <c r="D155" i="2"/>
  <c r="AK155" i="2" s="1"/>
  <c r="D154" i="2"/>
  <c r="D153" i="2"/>
  <c r="AK153" i="2" s="1"/>
  <c r="AK152" i="2"/>
  <c r="D152" i="2"/>
  <c r="AK151" i="2"/>
  <c r="D151" i="2"/>
  <c r="AK150" i="2"/>
  <c r="D150" i="2"/>
  <c r="AK149" i="2"/>
  <c r="D149" i="2"/>
  <c r="AK148" i="2"/>
  <c r="D148" i="2"/>
  <c r="D147" i="2"/>
  <c r="AK147" i="2" s="1"/>
  <c r="AK146" i="2"/>
  <c r="D146" i="2"/>
  <c r="AK145" i="2"/>
  <c r="D145" i="2"/>
  <c r="D144" i="2"/>
  <c r="AK144" i="2" s="1"/>
  <c r="D143" i="2"/>
  <c r="AK143" i="2" s="1"/>
  <c r="AK142" i="2"/>
  <c r="D142" i="2"/>
  <c r="D141" i="2"/>
  <c r="AK141" i="2" s="1"/>
  <c r="AK140" i="2"/>
  <c r="D140" i="2"/>
  <c r="AK139" i="2"/>
  <c r="D139" i="2"/>
  <c r="AK138" i="2"/>
  <c r="D138" i="2"/>
  <c r="AK137" i="2"/>
  <c r="D137" i="2"/>
  <c r="AK136" i="2"/>
  <c r="D136" i="2"/>
  <c r="D135" i="2"/>
  <c r="AK135" i="2" s="1"/>
  <c r="AK134" i="2"/>
  <c r="D134" i="2"/>
  <c r="AK133" i="2"/>
  <c r="D133" i="2"/>
  <c r="D132" i="2"/>
  <c r="AK132" i="2" s="1"/>
  <c r="D131" i="2"/>
  <c r="AK131" i="2" s="1"/>
  <c r="D130" i="2"/>
  <c r="AK129" i="2"/>
  <c r="D129" i="2"/>
  <c r="D128" i="2"/>
  <c r="AK128" i="2" s="1"/>
  <c r="D127" i="2"/>
  <c r="AK127" i="2" s="1"/>
  <c r="D126" i="2"/>
  <c r="AK126" i="2" s="1"/>
  <c r="D125" i="2"/>
  <c r="D124" i="2"/>
  <c r="AK124" i="2" s="1"/>
  <c r="AK123" i="2"/>
  <c r="D123" i="2"/>
  <c r="D122" i="2"/>
  <c r="AK122" i="2" s="1"/>
  <c r="AK121" i="2"/>
  <c r="D121" i="2"/>
  <c r="AK120" i="2"/>
  <c r="D120" i="2"/>
  <c r="D119" i="2"/>
  <c r="AK119" i="2" s="1"/>
  <c r="AK118" i="2"/>
  <c r="D118" i="2"/>
  <c r="AK117" i="2"/>
  <c r="D117" i="2"/>
  <c r="D116" i="2"/>
  <c r="AK116" i="2" s="1"/>
  <c r="AK115" i="2"/>
  <c r="D115" i="2"/>
  <c r="AK114" i="2"/>
  <c r="D114" i="2"/>
  <c r="D113" i="2"/>
  <c r="AK113" i="2" s="1"/>
  <c r="AK112" i="2"/>
  <c r="D112" i="2"/>
  <c r="AK111" i="2"/>
  <c r="D111" i="2"/>
  <c r="D110" i="2"/>
  <c r="AK110" i="2" s="1"/>
  <c r="AK109" i="2"/>
  <c r="D109" i="2"/>
  <c r="AK108" i="2"/>
  <c r="D108" i="2"/>
  <c r="D107" i="2"/>
  <c r="AK107" i="2" s="1"/>
  <c r="D106" i="2"/>
  <c r="AK106" i="2" s="1"/>
  <c r="AK105" i="2"/>
  <c r="D105" i="2"/>
  <c r="D104" i="2"/>
  <c r="AK104" i="2" s="1"/>
  <c r="AK103" i="2"/>
  <c r="D103" i="2"/>
  <c r="AK102" i="2"/>
  <c r="D102" i="2"/>
  <c r="AK101" i="2"/>
  <c r="D101" i="2"/>
  <c r="D100" i="2"/>
  <c r="AK100" i="2" s="1"/>
  <c r="AK99" i="2"/>
  <c r="D99" i="2"/>
  <c r="D98" i="2"/>
  <c r="AK98" i="2" s="1"/>
  <c r="AK97" i="2"/>
  <c r="D97" i="2"/>
  <c r="AK96" i="2"/>
  <c r="D96" i="2"/>
  <c r="D95" i="2"/>
  <c r="AK95" i="2" s="1"/>
  <c r="D94" i="2"/>
  <c r="AK94" i="2" s="1"/>
  <c r="AK93" i="2"/>
  <c r="D93" i="2"/>
  <c r="D92" i="2"/>
  <c r="AK92" i="2" s="1"/>
  <c r="AK91" i="2"/>
  <c r="D91" i="2"/>
  <c r="AK90" i="2"/>
  <c r="D90" i="2"/>
  <c r="AK89" i="2"/>
  <c r="D89" i="2"/>
  <c r="AK88" i="2"/>
  <c r="D88" i="2"/>
  <c r="AK87" i="2"/>
  <c r="D87" i="2"/>
  <c r="D86" i="2"/>
  <c r="AK86" i="2" s="1"/>
  <c r="AK85" i="2"/>
  <c r="D85" i="2"/>
  <c r="AK84" i="2"/>
  <c r="D84" i="2"/>
  <c r="D83" i="2"/>
  <c r="AK83" i="2" s="1"/>
  <c r="D82" i="2"/>
  <c r="AK82" i="2" s="1"/>
  <c r="AK81" i="2"/>
  <c r="D81" i="2"/>
  <c r="D80" i="2"/>
  <c r="AK80" i="2" s="1"/>
  <c r="AK79" i="2"/>
  <c r="D79" i="2"/>
  <c r="AK78" i="2"/>
  <c r="D78" i="2"/>
  <c r="AK77" i="2"/>
  <c r="D77" i="2"/>
  <c r="AK76" i="2"/>
  <c r="D76" i="2"/>
  <c r="AK75" i="2"/>
  <c r="D75" i="2"/>
  <c r="D74" i="2"/>
  <c r="AK74" i="2" s="1"/>
  <c r="AK73" i="2"/>
  <c r="D73" i="2"/>
  <c r="AK72" i="2"/>
  <c r="D72" i="2"/>
  <c r="D71" i="2"/>
  <c r="AK71" i="2" s="1"/>
  <c r="D70" i="2"/>
  <c r="AK70" i="2" s="1"/>
  <c r="AK69" i="2"/>
  <c r="D69" i="2"/>
  <c r="D68" i="2"/>
  <c r="AK68" i="2" s="1"/>
  <c r="AK67" i="2"/>
  <c r="D67" i="2"/>
  <c r="AK66" i="2"/>
  <c r="D66" i="2"/>
  <c r="D65" i="2"/>
  <c r="AK65" i="2" s="1"/>
  <c r="AK64" i="2"/>
  <c r="D64" i="2"/>
  <c r="AK63" i="2"/>
  <c r="D63" i="2"/>
  <c r="D62" i="2"/>
  <c r="AK62" i="2" s="1"/>
  <c r="AK61" i="2"/>
  <c r="D61" i="2"/>
  <c r="AK60" i="2"/>
  <c r="D60" i="2"/>
  <c r="AK59" i="2"/>
  <c r="D59" i="2"/>
  <c r="D58" i="2"/>
  <c r="AK58" i="2" s="1"/>
  <c r="AK57" i="2"/>
  <c r="D57" i="2"/>
  <c r="D56" i="2"/>
  <c r="AK56" i="2" s="1"/>
  <c r="AK55" i="2"/>
  <c r="D55" i="2"/>
  <c r="AK54" i="2"/>
  <c r="D54" i="2"/>
  <c r="AK53" i="2"/>
  <c r="D53" i="2"/>
  <c r="D52" i="2"/>
  <c r="AK52" i="2" s="1"/>
  <c r="AK51" i="2"/>
  <c r="D51" i="2"/>
  <c r="D50" i="2"/>
  <c r="AK50" i="2" s="1"/>
  <c r="AK49" i="2"/>
  <c r="D49" i="2"/>
  <c r="AK48" i="2"/>
  <c r="D48" i="2"/>
  <c r="D47" i="2"/>
  <c r="AK47" i="2" s="1"/>
  <c r="AK46" i="2"/>
  <c r="D46" i="2"/>
  <c r="AK45" i="2"/>
  <c r="D45" i="2"/>
  <c r="D44" i="2"/>
  <c r="AK44" i="2" s="1"/>
  <c r="AK43" i="2"/>
  <c r="D43" i="2"/>
  <c r="AK42" i="2"/>
  <c r="D42" i="2"/>
  <c r="D41" i="2"/>
  <c r="AK41" i="2" s="1"/>
  <c r="AK40" i="2"/>
  <c r="D40" i="2"/>
  <c r="D39" i="2"/>
  <c r="AK38" i="2"/>
  <c r="D38" i="2"/>
  <c r="D37" i="2"/>
  <c r="AK37" i="2" s="1"/>
  <c r="D36" i="2"/>
  <c r="AK36" i="2" s="1"/>
  <c r="D35" i="2"/>
  <c r="AK35" i="2" s="1"/>
  <c r="AK34" i="2"/>
  <c r="D34" i="2"/>
  <c r="D33" i="2"/>
  <c r="AK33" i="2" s="1"/>
  <c r="AK32" i="2"/>
  <c r="D32" i="2"/>
  <c r="D31" i="2"/>
  <c r="AK31" i="2" s="1"/>
  <c r="D30" i="2"/>
  <c r="AK30" i="2" s="1"/>
  <c r="D29" i="2"/>
  <c r="AK29" i="2" s="1"/>
  <c r="D28" i="2"/>
  <c r="AK28" i="2" s="1"/>
  <c r="D27" i="2"/>
  <c r="AK27" i="2" s="1"/>
  <c r="AK26" i="2"/>
  <c r="D26" i="2"/>
  <c r="D25" i="2"/>
  <c r="AK25" i="2" s="1"/>
  <c r="D24" i="2"/>
  <c r="AK24" i="2" s="1"/>
  <c r="D23" i="2"/>
  <c r="AK23" i="2" s="1"/>
  <c r="D22" i="2"/>
  <c r="AK22" i="2" s="1"/>
  <c r="AK21" i="2"/>
  <c r="D21" i="2"/>
  <c r="AK20" i="2"/>
  <c r="D20" i="2"/>
  <c r="D19" i="2"/>
  <c r="AK19" i="2" s="1"/>
  <c r="D18" i="2"/>
  <c r="AK18" i="2" s="1"/>
  <c r="D17" i="2"/>
  <c r="AK17" i="2" s="1"/>
  <c r="D16" i="2"/>
  <c r="AK16" i="2" s="1"/>
  <c r="AK15" i="2"/>
  <c r="D15" i="2"/>
  <c r="AK14" i="2"/>
  <c r="D14" i="2"/>
  <c r="D13" i="2"/>
  <c r="AK13" i="2" s="1"/>
  <c r="D12" i="2"/>
  <c r="AK12" i="2" s="1"/>
  <c r="D11" i="2"/>
  <c r="AK11" i="2" s="1"/>
  <c r="AK10" i="2"/>
  <c r="D10" i="2"/>
  <c r="D9" i="2"/>
  <c r="AK9" i="2" s="1"/>
  <c r="AK8" i="2"/>
  <c r="D8" i="2"/>
  <c r="D7" i="2"/>
  <c r="AK7" i="2" s="1"/>
  <c r="D6" i="2"/>
  <c r="AK6" i="2" s="1"/>
  <c r="D5" i="2"/>
  <c r="AK5" i="2" s="1"/>
  <c r="D4" i="2"/>
  <c r="AK4" i="2" s="1"/>
  <c r="G3" i="2"/>
  <c r="H3" i="2" s="1"/>
  <c r="I3" i="2" s="1"/>
  <c r="J3" i="2" s="1"/>
  <c r="K3" i="2" s="1"/>
  <c r="F3" i="2"/>
  <c r="AI1" i="2"/>
  <c r="AG1" i="2"/>
  <c r="AE1" i="2"/>
  <c r="AC1" i="2"/>
  <c r="Z1" i="2"/>
  <c r="Y1" i="2"/>
  <c r="W1" i="2"/>
  <c r="U1" i="2"/>
  <c r="S1" i="2"/>
  <c r="N1" i="2"/>
  <c r="M1" i="2"/>
  <c r="K1" i="2"/>
  <c r="I1" i="2"/>
  <c r="G1" i="2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K275" i="1"/>
  <c r="I275" i="1"/>
  <c r="H275" i="1"/>
  <c r="G275" i="1"/>
  <c r="F275" i="1"/>
  <c r="E275" i="1"/>
  <c r="C275" i="1"/>
  <c r="D274" i="1"/>
  <c r="D273" i="1"/>
  <c r="D272" i="1"/>
  <c r="D271" i="1"/>
  <c r="J270" i="1"/>
  <c r="D270" i="1"/>
  <c r="D269" i="1"/>
  <c r="D268" i="1"/>
  <c r="D267" i="1"/>
  <c r="BP266" i="1"/>
  <c r="BQ266" i="1" s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BP250" i="1"/>
  <c r="BQ250" i="1" s="1"/>
  <c r="D250" i="1"/>
  <c r="BP249" i="1"/>
  <c r="BQ249" i="1" s="1"/>
  <c r="D249" i="1"/>
  <c r="BP248" i="1"/>
  <c r="BQ248" i="1" s="1"/>
  <c r="BO248" i="1"/>
  <c r="D248" i="1"/>
  <c r="D247" i="1"/>
  <c r="BP246" i="1"/>
  <c r="BO246" i="1"/>
  <c r="D246" i="1"/>
  <c r="BP245" i="1"/>
  <c r="BQ245" i="1" s="1"/>
  <c r="D245" i="1"/>
  <c r="D244" i="1"/>
  <c r="BP243" i="1"/>
  <c r="D243" i="1"/>
  <c r="BP242" i="1"/>
  <c r="D242" i="1"/>
  <c r="BP241" i="1"/>
  <c r="D241" i="1"/>
  <c r="BP240" i="1"/>
  <c r="BQ240" i="1" s="1"/>
  <c r="D240" i="1"/>
  <c r="BP239" i="1"/>
  <c r="D239" i="1"/>
  <c r="BP238" i="1"/>
  <c r="D238" i="1"/>
  <c r="BP237" i="1"/>
  <c r="D237" i="1"/>
  <c r="BP236" i="1"/>
  <c r="BQ236" i="1" s="1"/>
  <c r="D236" i="1"/>
  <c r="BP235" i="1"/>
  <c r="D235" i="1"/>
  <c r="D234" i="1"/>
  <c r="BP233" i="1"/>
  <c r="D233" i="1"/>
  <c r="BP232" i="1"/>
  <c r="D232" i="1"/>
  <c r="BP231" i="1"/>
  <c r="BQ231" i="1" s="1"/>
  <c r="D231" i="1"/>
  <c r="BP230" i="1"/>
  <c r="D230" i="1"/>
  <c r="BP229" i="1"/>
  <c r="BQ229" i="1" s="1"/>
  <c r="D229" i="1"/>
  <c r="BP228" i="1"/>
  <c r="BQ228" i="1" s="1"/>
  <c r="D228" i="1"/>
  <c r="BP227" i="1"/>
  <c r="D227" i="1"/>
  <c r="BP226" i="1"/>
  <c r="D226" i="1"/>
  <c r="BP225" i="1"/>
  <c r="BQ225" i="1" s="1"/>
  <c r="D225" i="1"/>
  <c r="BP224" i="1"/>
  <c r="D224" i="1"/>
  <c r="BP223" i="1"/>
  <c r="BQ223" i="1" s="1"/>
  <c r="D223" i="1"/>
  <c r="BP222" i="1"/>
  <c r="BQ222" i="1" s="1"/>
  <c r="D222" i="1"/>
  <c r="BP221" i="1"/>
  <c r="D221" i="1"/>
  <c r="BP220" i="1"/>
  <c r="D220" i="1"/>
  <c r="BP219" i="1"/>
  <c r="BQ219" i="1" s="1"/>
  <c r="L219" i="1"/>
  <c r="J219" i="1"/>
  <c r="D219" i="1"/>
  <c r="BP218" i="1"/>
  <c r="BQ218" i="1" s="1"/>
  <c r="D218" i="1"/>
  <c r="BP217" i="1"/>
  <c r="BQ217" i="1" s="1"/>
  <c r="D217" i="1"/>
  <c r="BP216" i="1"/>
  <c r="D216" i="1"/>
  <c r="D215" i="1"/>
  <c r="BP214" i="1"/>
  <c r="BQ214" i="1" s="1"/>
  <c r="D214" i="1"/>
  <c r="BP213" i="1"/>
  <c r="D213" i="1"/>
  <c r="BP212" i="1"/>
  <c r="D212" i="1"/>
  <c r="BP211" i="1"/>
  <c r="D211" i="1"/>
  <c r="BP210" i="1"/>
  <c r="D210" i="1"/>
  <c r="BP209" i="1"/>
  <c r="BQ209" i="1" s="1"/>
  <c r="D209" i="1"/>
  <c r="BP208" i="1"/>
  <c r="BQ208" i="1" s="1"/>
  <c r="D208" i="1"/>
  <c r="BP207" i="1"/>
  <c r="BQ207" i="1" s="1"/>
  <c r="D207" i="1"/>
  <c r="BP206" i="1"/>
  <c r="D206" i="1"/>
  <c r="BP205" i="1"/>
  <c r="D205" i="1"/>
  <c r="BP204" i="1"/>
  <c r="D204" i="1"/>
  <c r="BP203" i="1"/>
  <c r="D203" i="1"/>
  <c r="BP202" i="1"/>
  <c r="BQ202" i="1" s="1"/>
  <c r="D202" i="1"/>
  <c r="BP201" i="1"/>
  <c r="D201" i="1"/>
  <c r="BP200" i="1"/>
  <c r="D200" i="1"/>
  <c r="BP199" i="1"/>
  <c r="D199" i="1"/>
  <c r="BP198" i="1"/>
  <c r="D198" i="1"/>
  <c r="BP197" i="1"/>
  <c r="J197" i="1"/>
  <c r="D197" i="1" s="1"/>
  <c r="BP196" i="1"/>
  <c r="D196" i="1"/>
  <c r="BP195" i="1"/>
  <c r="BQ195" i="1" s="1"/>
  <c r="D195" i="1"/>
  <c r="BP194" i="1"/>
  <c r="BQ194" i="1" s="1"/>
  <c r="D194" i="1"/>
  <c r="BP193" i="1"/>
  <c r="BQ193" i="1" s="1"/>
  <c r="D193" i="1"/>
  <c r="BP192" i="1"/>
  <c r="BQ192" i="1" s="1"/>
  <c r="BO192" i="1"/>
  <c r="D192" i="1"/>
  <c r="BP191" i="1"/>
  <c r="D191" i="1"/>
  <c r="BP190" i="1"/>
  <c r="BQ190" i="1" s="1"/>
  <c r="D190" i="1"/>
  <c r="BP189" i="1"/>
  <c r="D189" i="1"/>
  <c r="BP188" i="1"/>
  <c r="BQ188" i="1" s="1"/>
  <c r="D188" i="1"/>
  <c r="BP187" i="1"/>
  <c r="BQ187" i="1" s="1"/>
  <c r="D187" i="1"/>
  <c r="D186" i="1"/>
  <c r="BP185" i="1"/>
  <c r="BQ185" i="1" s="1"/>
  <c r="D185" i="1"/>
  <c r="D184" i="1"/>
  <c r="BP183" i="1"/>
  <c r="D183" i="1"/>
  <c r="BP182" i="1"/>
  <c r="BQ182" i="1" s="1"/>
  <c r="L182" i="1"/>
  <c r="D182" i="1" s="1"/>
  <c r="BP181" i="1"/>
  <c r="BQ181" i="1" s="1"/>
  <c r="BO181" i="1"/>
  <c r="D181" i="1"/>
  <c r="BP180" i="1"/>
  <c r="BQ180" i="1" s="1"/>
  <c r="D180" i="1"/>
  <c r="BP179" i="1"/>
  <c r="BQ179" i="1" s="1"/>
  <c r="D179" i="1"/>
  <c r="D178" i="1"/>
  <c r="BP177" i="1"/>
  <c r="D177" i="1"/>
  <c r="D176" i="1"/>
  <c r="BP175" i="1"/>
  <c r="BO175" i="1"/>
  <c r="D175" i="1"/>
  <c r="BP174" i="1"/>
  <c r="BQ174" i="1" s="1"/>
  <c r="D174" i="1"/>
  <c r="BP173" i="1"/>
  <c r="BQ173" i="1" s="1"/>
  <c r="D173" i="1"/>
  <c r="BP172" i="1"/>
  <c r="D172" i="1"/>
  <c r="BP171" i="1"/>
  <c r="BO171" i="1"/>
  <c r="D171" i="1"/>
  <c r="BP170" i="1"/>
  <c r="BQ170" i="1" s="1"/>
  <c r="D170" i="1"/>
  <c r="BP169" i="1"/>
  <c r="BQ169" i="1" s="1"/>
  <c r="D169" i="1"/>
  <c r="BP168" i="1"/>
  <c r="D168" i="1"/>
  <c r="BP167" i="1"/>
  <c r="BO167" i="1"/>
  <c r="D167" i="1"/>
  <c r="BP166" i="1"/>
  <c r="BQ166" i="1" s="1"/>
  <c r="D166" i="1"/>
  <c r="BP165" i="1"/>
  <c r="BQ165" i="1" s="1"/>
  <c r="D165" i="1"/>
  <c r="D164" i="1"/>
  <c r="BP163" i="1"/>
  <c r="BQ163" i="1" s="1"/>
  <c r="D163" i="1"/>
  <c r="BP162" i="1"/>
  <c r="D162" i="1"/>
  <c r="BP161" i="1"/>
  <c r="BQ161" i="1" s="1"/>
  <c r="D161" i="1"/>
  <c r="D160" i="1"/>
  <c r="D159" i="1"/>
  <c r="BP158" i="1"/>
  <c r="D158" i="1"/>
  <c r="BP157" i="1"/>
  <c r="BO157" i="1"/>
  <c r="D157" i="1"/>
  <c r="D156" i="1"/>
  <c r="BP155" i="1"/>
  <c r="BQ155" i="1" s="1"/>
  <c r="D155" i="1"/>
  <c r="BP154" i="1"/>
  <c r="BQ154" i="1" s="1"/>
  <c r="D154" i="1"/>
  <c r="BP153" i="1"/>
  <c r="BQ153" i="1" s="1"/>
  <c r="D153" i="1"/>
  <c r="BP152" i="1"/>
  <c r="BQ152" i="1" s="1"/>
  <c r="BO152" i="1"/>
  <c r="D152" i="1"/>
  <c r="BP151" i="1"/>
  <c r="L151" i="1"/>
  <c r="J151" i="1"/>
  <c r="BP150" i="1"/>
  <c r="D150" i="1"/>
  <c r="BP149" i="1"/>
  <c r="D149" i="1"/>
  <c r="BP148" i="1"/>
  <c r="D148" i="1"/>
  <c r="BP147" i="1"/>
  <c r="BQ147" i="1" s="1"/>
  <c r="D147" i="1"/>
  <c r="BP146" i="1"/>
  <c r="D146" i="1"/>
  <c r="BP145" i="1"/>
  <c r="D145" i="1"/>
  <c r="BP144" i="1"/>
  <c r="D144" i="1"/>
  <c r="BP143" i="1"/>
  <c r="BQ143" i="1" s="1"/>
  <c r="D143" i="1"/>
  <c r="BP142" i="1"/>
  <c r="D142" i="1"/>
  <c r="BP141" i="1"/>
  <c r="D141" i="1"/>
  <c r="BP140" i="1"/>
  <c r="BO140" i="1"/>
  <c r="D140" i="1"/>
  <c r="BP139" i="1"/>
  <c r="BQ139" i="1" s="1"/>
  <c r="D139" i="1"/>
  <c r="BP138" i="1"/>
  <c r="D138" i="1"/>
  <c r="BP137" i="1"/>
  <c r="D137" i="1"/>
  <c r="BP136" i="1"/>
  <c r="BO136" i="1"/>
  <c r="D136" i="1"/>
  <c r="BP135" i="1"/>
  <c r="BQ135" i="1" s="1"/>
  <c r="BO135" i="1"/>
  <c r="D135" i="1"/>
  <c r="BP134" i="1"/>
  <c r="D134" i="1"/>
  <c r="BP133" i="1"/>
  <c r="D133" i="1"/>
  <c r="D132" i="1"/>
  <c r="BP131" i="1"/>
  <c r="BQ131" i="1" s="1"/>
  <c r="BO131" i="1"/>
  <c r="D131" i="1"/>
  <c r="BP130" i="1"/>
  <c r="BQ130" i="1" s="1"/>
  <c r="D130" i="1"/>
  <c r="BP129" i="1"/>
  <c r="BQ129" i="1" s="1"/>
  <c r="BO129" i="1"/>
  <c r="D129" i="1"/>
  <c r="BP128" i="1"/>
  <c r="D128" i="1"/>
  <c r="D127" i="1"/>
  <c r="BP126" i="1"/>
  <c r="BQ126" i="1" s="1"/>
  <c r="BO126" i="1"/>
  <c r="D126" i="1"/>
  <c r="BP125" i="1"/>
  <c r="D125" i="1"/>
  <c r="BP124" i="1"/>
  <c r="D124" i="1"/>
  <c r="BP123" i="1"/>
  <c r="BQ123" i="1" s="1"/>
  <c r="D123" i="1"/>
  <c r="BP122" i="1"/>
  <c r="BQ122" i="1" s="1"/>
  <c r="BO122" i="1"/>
  <c r="D122" i="1"/>
  <c r="BP121" i="1"/>
  <c r="D121" i="1"/>
  <c r="BP120" i="1"/>
  <c r="BQ120" i="1" s="1"/>
  <c r="D120" i="1"/>
  <c r="BP119" i="1"/>
  <c r="BO119" i="1"/>
  <c r="D119" i="1"/>
  <c r="BP118" i="1"/>
  <c r="BO118" i="1"/>
  <c r="D118" i="1"/>
  <c r="BP117" i="1"/>
  <c r="D117" i="1"/>
  <c r="BP116" i="1"/>
  <c r="BQ116" i="1" s="1"/>
  <c r="D116" i="1"/>
  <c r="BP115" i="1"/>
  <c r="BQ115" i="1" s="1"/>
  <c r="D115" i="1"/>
  <c r="BP114" i="1"/>
  <c r="BQ114" i="1" s="1"/>
  <c r="BO114" i="1"/>
  <c r="D114" i="1"/>
  <c r="BP113" i="1"/>
  <c r="D113" i="1"/>
  <c r="BP112" i="1"/>
  <c r="BQ112" i="1" s="1"/>
  <c r="D112" i="1"/>
  <c r="BP111" i="1"/>
  <c r="BQ111" i="1" s="1"/>
  <c r="D111" i="1"/>
  <c r="BP110" i="1"/>
  <c r="BQ110" i="1" s="1"/>
  <c r="D110" i="1"/>
  <c r="BP109" i="1"/>
  <c r="BQ109" i="1" s="1"/>
  <c r="D109" i="1"/>
  <c r="BP108" i="1"/>
  <c r="BQ108" i="1" s="1"/>
  <c r="BO108" i="1"/>
  <c r="D108" i="1"/>
  <c r="BP107" i="1"/>
  <c r="BO107" i="1"/>
  <c r="D107" i="1"/>
  <c r="BP106" i="1"/>
  <c r="BQ106" i="1" s="1"/>
  <c r="BO106" i="1"/>
  <c r="D106" i="1"/>
  <c r="BP105" i="1"/>
  <c r="BQ105" i="1" s="1"/>
  <c r="D105" i="1"/>
  <c r="BP104" i="1"/>
  <c r="L104" i="1"/>
  <c r="D104" i="1"/>
  <c r="BP103" i="1"/>
  <c r="BO103" i="1"/>
  <c r="D103" i="1"/>
  <c r="BP102" i="1"/>
  <c r="BQ102" i="1" s="1"/>
  <c r="BO102" i="1"/>
  <c r="D102" i="1"/>
  <c r="BP101" i="1"/>
  <c r="D101" i="1"/>
  <c r="BP100" i="1"/>
  <c r="BQ100" i="1" s="1"/>
  <c r="D100" i="1"/>
  <c r="BP99" i="1"/>
  <c r="BO99" i="1"/>
  <c r="D99" i="1"/>
  <c r="BP98" i="1"/>
  <c r="BQ98" i="1" s="1"/>
  <c r="BO98" i="1"/>
  <c r="D98" i="1"/>
  <c r="BP97" i="1"/>
  <c r="D97" i="1"/>
  <c r="BP96" i="1"/>
  <c r="D96" i="1"/>
  <c r="BP95" i="1"/>
  <c r="BQ95" i="1" s="1"/>
  <c r="BO95" i="1"/>
  <c r="D95" i="1"/>
  <c r="BP94" i="1"/>
  <c r="BQ94" i="1" s="1"/>
  <c r="BO94" i="1"/>
  <c r="D94" i="1"/>
  <c r="BP93" i="1"/>
  <c r="D93" i="1"/>
  <c r="BP92" i="1"/>
  <c r="BQ92" i="1" s="1"/>
  <c r="D92" i="1"/>
  <c r="BP91" i="1"/>
  <c r="BO91" i="1"/>
  <c r="D91" i="1"/>
  <c r="BP90" i="1"/>
  <c r="BO90" i="1"/>
  <c r="D90" i="1"/>
  <c r="BP89" i="1"/>
  <c r="D89" i="1"/>
  <c r="BP88" i="1"/>
  <c r="BQ88" i="1" s="1"/>
  <c r="D88" i="1"/>
  <c r="BP87" i="1"/>
  <c r="BQ87" i="1" s="1"/>
  <c r="D87" i="1"/>
  <c r="BP86" i="1"/>
  <c r="BQ86" i="1" s="1"/>
  <c r="BO86" i="1"/>
  <c r="D86" i="1"/>
  <c r="BP85" i="1"/>
  <c r="D85" i="1"/>
  <c r="BP84" i="1"/>
  <c r="BQ84" i="1" s="1"/>
  <c r="D84" i="1"/>
  <c r="BP83" i="1"/>
  <c r="BQ83" i="1" s="1"/>
  <c r="BO83" i="1"/>
  <c r="D83" i="1"/>
  <c r="BP82" i="1"/>
  <c r="D82" i="1"/>
  <c r="BP81" i="1"/>
  <c r="D81" i="1"/>
  <c r="BP80" i="1"/>
  <c r="D80" i="1"/>
  <c r="BP79" i="1"/>
  <c r="BO79" i="1"/>
  <c r="D79" i="1"/>
  <c r="BP78" i="1"/>
  <c r="BQ78" i="1" s="1"/>
  <c r="BO78" i="1"/>
  <c r="D78" i="1"/>
  <c r="BP77" i="1"/>
  <c r="D77" i="1"/>
  <c r="BP76" i="1"/>
  <c r="BQ76" i="1" s="1"/>
  <c r="D76" i="1"/>
  <c r="BP75" i="1"/>
  <c r="BO75" i="1"/>
  <c r="D75" i="1"/>
  <c r="BP74" i="1"/>
  <c r="BQ74" i="1" s="1"/>
  <c r="BO74" i="1"/>
  <c r="D74" i="1"/>
  <c r="BP73" i="1"/>
  <c r="D73" i="1"/>
  <c r="BP72" i="1"/>
  <c r="D72" i="1"/>
  <c r="BP71" i="1"/>
  <c r="BQ71" i="1" s="1"/>
  <c r="BO71" i="1"/>
  <c r="D71" i="1"/>
  <c r="BP70" i="1"/>
  <c r="BO70" i="1"/>
  <c r="D70" i="1"/>
  <c r="BP69" i="1"/>
  <c r="D69" i="1"/>
  <c r="BP68" i="1"/>
  <c r="BQ68" i="1" s="1"/>
  <c r="D68" i="1"/>
  <c r="BP67" i="1"/>
  <c r="BO67" i="1"/>
  <c r="D67" i="1"/>
  <c r="BP66" i="1"/>
  <c r="BO66" i="1"/>
  <c r="D66" i="1"/>
  <c r="BP65" i="1"/>
  <c r="D65" i="1"/>
  <c r="BP64" i="1"/>
  <c r="BQ64" i="1" s="1"/>
  <c r="D64" i="1"/>
  <c r="BP63" i="1"/>
  <c r="BQ63" i="1" s="1"/>
  <c r="D63" i="1"/>
  <c r="BP62" i="1"/>
  <c r="BO62" i="1"/>
  <c r="D62" i="1"/>
  <c r="BP61" i="1"/>
  <c r="D61" i="1"/>
  <c r="BP60" i="1"/>
  <c r="BQ60" i="1" s="1"/>
  <c r="D60" i="1"/>
  <c r="BP59" i="1"/>
  <c r="BQ59" i="1" s="1"/>
  <c r="BO59" i="1"/>
  <c r="D59" i="1"/>
  <c r="BP58" i="1"/>
  <c r="D58" i="1"/>
  <c r="BP57" i="1"/>
  <c r="D57" i="1"/>
  <c r="BP56" i="1"/>
  <c r="D56" i="1"/>
  <c r="BP55" i="1"/>
  <c r="BO55" i="1"/>
  <c r="D55" i="1"/>
  <c r="BP54" i="1"/>
  <c r="BQ54" i="1" s="1"/>
  <c r="BO54" i="1"/>
  <c r="D54" i="1"/>
  <c r="BP53" i="1"/>
  <c r="D53" i="1"/>
  <c r="BP52" i="1"/>
  <c r="BO52" i="1"/>
  <c r="D52" i="1"/>
  <c r="BP51" i="1"/>
  <c r="BO51" i="1"/>
  <c r="D51" i="1"/>
  <c r="BP50" i="1"/>
  <c r="BQ50" i="1" s="1"/>
  <c r="BO50" i="1"/>
  <c r="D50" i="1"/>
  <c r="BP49" i="1"/>
  <c r="D49" i="1"/>
  <c r="BP48" i="1"/>
  <c r="BO48" i="1"/>
  <c r="D48" i="1"/>
  <c r="BP47" i="1"/>
  <c r="BO47" i="1"/>
  <c r="D47" i="1"/>
  <c r="BP46" i="1"/>
  <c r="BQ46" i="1" s="1"/>
  <c r="BO46" i="1"/>
  <c r="D46" i="1"/>
  <c r="BP45" i="1"/>
  <c r="D45" i="1"/>
  <c r="BP44" i="1"/>
  <c r="BO44" i="1"/>
  <c r="D44" i="1"/>
  <c r="BP43" i="1"/>
  <c r="BO43" i="1"/>
  <c r="D43" i="1"/>
  <c r="BP42" i="1"/>
  <c r="BO42" i="1"/>
  <c r="D42" i="1"/>
  <c r="D41" i="1"/>
  <c r="BP40" i="1"/>
  <c r="D40" i="1"/>
  <c r="BP39" i="1"/>
  <c r="BO39" i="1"/>
  <c r="D39" i="1"/>
  <c r="BP38" i="1"/>
  <c r="BO38" i="1"/>
  <c r="D38" i="1"/>
  <c r="BP37" i="1"/>
  <c r="BQ37" i="1" s="1"/>
  <c r="BO37" i="1"/>
  <c r="D37" i="1"/>
  <c r="BP36" i="1"/>
  <c r="BO36" i="1"/>
  <c r="D36" i="1"/>
  <c r="BP35" i="1"/>
  <c r="BO35" i="1"/>
  <c r="D35" i="1"/>
  <c r="BP34" i="1"/>
  <c r="BO34" i="1"/>
  <c r="D34" i="1"/>
  <c r="BP33" i="1"/>
  <c r="BQ33" i="1" s="1"/>
  <c r="BO33" i="1"/>
  <c r="D33" i="1"/>
  <c r="BP32" i="1"/>
  <c r="BO32" i="1"/>
  <c r="D32" i="1"/>
  <c r="BP31" i="1"/>
  <c r="BO31" i="1"/>
  <c r="D31" i="1"/>
  <c r="BP30" i="1"/>
  <c r="BO30" i="1"/>
  <c r="D30" i="1"/>
  <c r="BP29" i="1"/>
  <c r="BQ29" i="1" s="1"/>
  <c r="BO29" i="1"/>
  <c r="D29" i="1"/>
  <c r="BP28" i="1"/>
  <c r="BO28" i="1"/>
  <c r="L28" i="1"/>
  <c r="BO243" i="1" s="1"/>
  <c r="D28" i="1"/>
  <c r="BP27" i="1"/>
  <c r="BQ27" i="1" s="1"/>
  <c r="BO27" i="1"/>
  <c r="D27" i="1"/>
  <c r="BP26" i="1"/>
  <c r="BO26" i="1"/>
  <c r="D26" i="1"/>
  <c r="BP25" i="1"/>
  <c r="BQ25" i="1" s="1"/>
  <c r="BO25" i="1"/>
  <c r="D25" i="1"/>
  <c r="BP24" i="1"/>
  <c r="BO24" i="1"/>
  <c r="D24" i="1"/>
  <c r="BP23" i="1"/>
  <c r="BQ23" i="1" s="1"/>
  <c r="BO23" i="1"/>
  <c r="D23" i="1"/>
  <c r="BP22" i="1"/>
  <c r="BO22" i="1"/>
  <c r="D22" i="1"/>
  <c r="BP21" i="1"/>
  <c r="BQ21" i="1" s="1"/>
  <c r="BO21" i="1"/>
  <c r="D21" i="1"/>
  <c r="D20" i="1"/>
  <c r="BP19" i="1"/>
  <c r="BO19" i="1"/>
  <c r="D19" i="1"/>
  <c r="BP18" i="1"/>
  <c r="BO18" i="1"/>
  <c r="D18" i="1"/>
  <c r="BP17" i="1"/>
  <c r="BO17" i="1"/>
  <c r="D17" i="1"/>
  <c r="BP16" i="1"/>
  <c r="BO16" i="1"/>
  <c r="D16" i="1"/>
  <c r="BP15" i="1"/>
  <c r="BO15" i="1"/>
  <c r="D15" i="1"/>
  <c r="BP14" i="1"/>
  <c r="BO14" i="1"/>
  <c r="D14" i="1"/>
  <c r="BP13" i="1"/>
  <c r="BO13" i="1"/>
  <c r="D13" i="1"/>
  <c r="BP12" i="1"/>
  <c r="BO12" i="1"/>
  <c r="D12" i="1"/>
  <c r="BP11" i="1"/>
  <c r="BO11" i="1"/>
  <c r="D11" i="1"/>
  <c r="BP10" i="1"/>
  <c r="BO10" i="1"/>
  <c r="D10" i="1"/>
  <c r="BP9" i="1"/>
  <c r="BO9" i="1"/>
  <c r="D9" i="1"/>
  <c r="BP8" i="1"/>
  <c r="BO8" i="1"/>
  <c r="D8" i="1"/>
  <c r="BP7" i="1"/>
  <c r="BO7" i="1"/>
  <c r="D7" i="1"/>
  <c r="BP6" i="1"/>
  <c r="BO6" i="1"/>
  <c r="D6" i="1"/>
  <c r="BP5" i="1"/>
  <c r="BO5" i="1"/>
  <c r="D5" i="1"/>
  <c r="G3" i="1"/>
  <c r="I3" i="1" s="1"/>
  <c r="K3" i="1" s="1"/>
  <c r="M3" i="1" s="1"/>
  <c r="O3" i="1" s="1"/>
  <c r="Q3" i="1" s="1"/>
  <c r="S3" i="1" s="1"/>
  <c r="U3" i="1" s="1"/>
  <c r="W3" i="1" s="1"/>
  <c r="Y3" i="1" s="1"/>
  <c r="AA3" i="1" s="1"/>
  <c r="AC3" i="1" s="1"/>
  <c r="AE3" i="1" s="1"/>
  <c r="AG3" i="1" s="1"/>
  <c r="AI3" i="1" s="1"/>
  <c r="AK3" i="1" s="1"/>
  <c r="AM3" i="1" s="1"/>
  <c r="AO3" i="1" s="1"/>
  <c r="AQ3" i="1" s="1"/>
  <c r="AS3" i="1" s="1"/>
  <c r="AU3" i="1" s="1"/>
  <c r="AW3" i="1" s="1"/>
  <c r="AY3" i="1" s="1"/>
  <c r="BA3" i="1" s="1"/>
  <c r="BC3" i="1" s="1"/>
  <c r="BE3" i="1" s="1"/>
  <c r="BG3" i="1" s="1"/>
  <c r="BI3" i="1" s="1"/>
  <c r="BK3" i="1" s="1"/>
  <c r="BM3" i="1" s="1"/>
  <c r="E3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K2" i="1"/>
  <c r="I2" i="1"/>
  <c r="H2" i="1"/>
  <c r="G2" i="1"/>
  <c r="F2" i="1"/>
  <c r="AN25" i="17" l="1"/>
  <c r="AN29" i="17"/>
  <c r="XFB3" i="2"/>
  <c r="L3" i="2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D1" i="2"/>
  <c r="BQ55" i="1"/>
  <c r="BQ162" i="1"/>
  <c r="BQ227" i="1"/>
  <c r="BQ47" i="1"/>
  <c r="BQ56" i="1"/>
  <c r="BQ75" i="1"/>
  <c r="BQ80" i="1"/>
  <c r="BQ99" i="1"/>
  <c r="BO128" i="1"/>
  <c r="BO133" i="1"/>
  <c r="BO137" i="1"/>
  <c r="BO141" i="1"/>
  <c r="BO145" i="1"/>
  <c r="BO149" i="1"/>
  <c r="BO163" i="1"/>
  <c r="BQ233" i="1"/>
  <c r="BO238" i="1"/>
  <c r="BO242" i="1"/>
  <c r="BQ79" i="1"/>
  <c r="BQ103" i="1"/>
  <c r="BQ51" i="1"/>
  <c r="BQ30" i="1"/>
  <c r="BQ34" i="1"/>
  <c r="BQ38" i="1"/>
  <c r="BQ6" i="1"/>
  <c r="BQ10" i="1"/>
  <c r="BQ14" i="1"/>
  <c r="BQ18" i="1"/>
  <c r="BQ43" i="1"/>
  <c r="BQ66" i="1"/>
  <c r="BQ90" i="1"/>
  <c r="BO104" i="1"/>
  <c r="BQ118" i="1"/>
  <c r="BO123" i="1"/>
  <c r="BQ128" i="1"/>
  <c r="BO153" i="1"/>
  <c r="BO158" i="1"/>
  <c r="BO168" i="1"/>
  <c r="BO172" i="1"/>
  <c r="BO182" i="1"/>
  <c r="BO266" i="1"/>
  <c r="D275" i="1"/>
  <c r="BQ31" i="1"/>
  <c r="BQ35" i="1"/>
  <c r="BQ39" i="1"/>
  <c r="BO134" i="1"/>
  <c r="BO138" i="1"/>
  <c r="BO142" i="1"/>
  <c r="BO146" i="1"/>
  <c r="BO150" i="1"/>
  <c r="BO189" i="1"/>
  <c r="BO235" i="1"/>
  <c r="BO239" i="1"/>
  <c r="BQ151" i="1"/>
  <c r="BQ140" i="1"/>
  <c r="BQ144" i="1"/>
  <c r="BQ148" i="1"/>
  <c r="BQ237" i="1"/>
  <c r="BQ198" i="1"/>
  <c r="BQ221" i="1"/>
  <c r="BQ7" i="1"/>
  <c r="BQ11" i="1"/>
  <c r="BQ15" i="1"/>
  <c r="BQ19" i="1"/>
  <c r="BO249" i="1"/>
  <c r="BO202" i="1"/>
  <c r="BO187" i="1"/>
  <c r="BO154" i="1"/>
  <c r="BO130" i="1"/>
  <c r="BO109" i="1"/>
  <c r="BO105" i="1"/>
  <c r="BO61" i="1"/>
  <c r="BO53" i="1"/>
  <c r="BO45" i="1"/>
  <c r="L2" i="1"/>
  <c r="BO191" i="1"/>
  <c r="BO177" i="1"/>
  <c r="BO125" i="1"/>
  <c r="BO121" i="1"/>
  <c r="BO117" i="1"/>
  <c r="BO113" i="1"/>
  <c r="BO101" i="1"/>
  <c r="BO97" i="1"/>
  <c r="BO93" i="1"/>
  <c r="BO89" i="1"/>
  <c r="BO85" i="1"/>
  <c r="BO81" i="1"/>
  <c r="BO77" i="1"/>
  <c r="BO73" i="1"/>
  <c r="BO69" i="1"/>
  <c r="BO65" i="1"/>
  <c r="BO57" i="1"/>
  <c r="BO49" i="1"/>
  <c r="BO190" i="1"/>
  <c r="BO185" i="1"/>
  <c r="BO124" i="1"/>
  <c r="BO120" i="1"/>
  <c r="BO116" i="1"/>
  <c r="BO112" i="1"/>
  <c r="BO100" i="1"/>
  <c r="BO96" i="1"/>
  <c r="BO92" i="1"/>
  <c r="BO88" i="1"/>
  <c r="BO84" i="1"/>
  <c r="BO80" i="1"/>
  <c r="BO76" i="1"/>
  <c r="BO72" i="1"/>
  <c r="BO68" i="1"/>
  <c r="BO64" i="1"/>
  <c r="BO60" i="1"/>
  <c r="BO56" i="1"/>
  <c r="BO233" i="1"/>
  <c r="BO180" i="1"/>
  <c r="BQ44" i="1"/>
  <c r="BO58" i="1"/>
  <c r="BQ67" i="1"/>
  <c r="BQ72" i="1"/>
  <c r="BO82" i="1"/>
  <c r="BQ91" i="1"/>
  <c r="BQ96" i="1"/>
  <c r="BQ119" i="1"/>
  <c r="BQ124" i="1"/>
  <c r="BO165" i="1"/>
  <c r="BO169" i="1"/>
  <c r="BO173" i="1"/>
  <c r="BO183" i="1"/>
  <c r="BQ206" i="1"/>
  <c r="BQ212" i="1"/>
  <c r="BQ107" i="1"/>
  <c r="BQ136" i="1"/>
  <c r="BQ203" i="1"/>
  <c r="BQ232" i="1"/>
  <c r="J2" i="1"/>
  <c r="BQ22" i="1"/>
  <c r="BQ26" i="1"/>
  <c r="BQ52" i="1"/>
  <c r="BQ104" i="1"/>
  <c r="BQ48" i="1"/>
  <c r="BQ62" i="1"/>
  <c r="BQ24" i="1"/>
  <c r="BO40" i="1"/>
  <c r="BQ58" i="1"/>
  <c r="BO63" i="1"/>
  <c r="BQ82" i="1"/>
  <c r="BO87" i="1"/>
  <c r="BO110" i="1"/>
  <c r="BO115" i="1"/>
  <c r="D151" i="1"/>
  <c r="D1" i="1" s="1"/>
  <c r="BO179" i="1"/>
  <c r="BQ183" i="1"/>
  <c r="BQ201" i="1"/>
  <c r="BQ5" i="1"/>
  <c r="BQ9" i="1"/>
  <c r="BQ13" i="1"/>
  <c r="BQ17" i="1"/>
  <c r="BQ70" i="1"/>
  <c r="BO139" i="1"/>
  <c r="BO143" i="1"/>
  <c r="BO147" i="1"/>
  <c r="BO155" i="1"/>
  <c r="BO161" i="1"/>
  <c r="BO236" i="1"/>
  <c r="BO240" i="1"/>
  <c r="D274" i="2"/>
  <c r="BQ42" i="1"/>
  <c r="BQ241" i="1"/>
  <c r="BQ216" i="1"/>
  <c r="BO151" i="1"/>
  <c r="BO166" i="1"/>
  <c r="BO170" i="1"/>
  <c r="BO174" i="1"/>
  <c r="BO245" i="1"/>
  <c r="BO250" i="1"/>
  <c r="J275" i="1"/>
  <c r="BO144" i="1"/>
  <c r="BO148" i="1"/>
  <c r="BO162" i="1"/>
  <c r="BQ197" i="1"/>
  <c r="BO203" i="1"/>
  <c r="BQ220" i="1"/>
  <c r="BQ226" i="1"/>
  <c r="BO232" i="1"/>
  <c r="BO237" i="1"/>
  <c r="BO241" i="1"/>
  <c r="L275" i="1"/>
  <c r="BQ189" i="1"/>
  <c r="BQ199" i="1"/>
  <c r="BQ204" i="1"/>
  <c r="BQ210" i="1"/>
  <c r="BQ246" i="1"/>
  <c r="BQ133" i="1"/>
  <c r="BQ137" i="1"/>
  <c r="BQ141" i="1"/>
  <c r="BQ145" i="1"/>
  <c r="BQ149" i="1"/>
  <c r="BQ157" i="1"/>
  <c r="BQ167" i="1"/>
  <c r="BQ171" i="1"/>
  <c r="BQ175" i="1"/>
  <c r="BQ200" i="1"/>
  <c r="BQ205" i="1"/>
  <c r="BQ211" i="1"/>
  <c r="BQ238" i="1"/>
  <c r="BQ242" i="1"/>
  <c r="BQ28" i="1"/>
  <c r="BQ32" i="1"/>
  <c r="BQ36" i="1"/>
  <c r="BQ40" i="1"/>
  <c r="BQ134" i="1"/>
  <c r="BQ138" i="1"/>
  <c r="BQ142" i="1"/>
  <c r="BQ146" i="1"/>
  <c r="BQ150" i="1"/>
  <c r="BQ158" i="1"/>
  <c r="BQ168" i="1"/>
  <c r="BQ172" i="1"/>
  <c r="BQ196" i="1"/>
  <c r="BQ224" i="1"/>
  <c r="BQ230" i="1"/>
  <c r="BQ235" i="1"/>
  <c r="BQ239" i="1"/>
  <c r="BQ243" i="1"/>
  <c r="BQ8" i="1"/>
  <c r="BQ12" i="1"/>
  <c r="BQ16" i="1"/>
  <c r="BQ45" i="1"/>
  <c r="BQ49" i="1"/>
  <c r="BQ53" i="1"/>
  <c r="BQ57" i="1"/>
  <c r="BQ61" i="1"/>
  <c r="BQ65" i="1"/>
  <c r="BQ69" i="1"/>
  <c r="BQ73" i="1"/>
  <c r="BQ77" i="1"/>
  <c r="BQ81" i="1"/>
  <c r="BQ85" i="1"/>
  <c r="BQ89" i="1"/>
  <c r="BQ93" i="1"/>
  <c r="BQ97" i="1"/>
  <c r="BQ101" i="1"/>
  <c r="BQ113" i="1"/>
  <c r="BQ117" i="1"/>
  <c r="BQ121" i="1"/>
  <c r="BQ125" i="1"/>
  <c r="BQ177" i="1"/>
  <c r="BQ191" i="1"/>
  <c r="AN9" i="17"/>
  <c r="AN18" i="17"/>
  <c r="AM35" i="17"/>
  <c r="D35" i="17"/>
  <c r="C35" i="17" s="1"/>
  <c r="AN33" i="17"/>
  <c r="AN32" i="17"/>
  <c r="AN21" i="17"/>
  <c r="AN8" i="17"/>
  <c r="AN13" i="17"/>
  <c r="AN17" i="17"/>
  <c r="AN26" i="17"/>
  <c r="AN30" i="17"/>
  <c r="AN34" i="17"/>
  <c r="AN14" i="17"/>
  <c r="AN27" i="17"/>
  <c r="AN15" i="17"/>
  <c r="K255" i="23"/>
  <c r="Q255" i="23" s="1"/>
  <c r="E692" i="24" s="1"/>
  <c r="F692" i="24" s="1"/>
  <c r="K233" i="23"/>
  <c r="Q233" i="23" s="1"/>
  <c r="E5" i="26"/>
  <c r="K21" i="23"/>
  <c r="K114" i="23"/>
  <c r="Q114" i="23" s="1"/>
  <c r="T114" i="23" s="1"/>
  <c r="AN7" i="17"/>
  <c r="AN12" i="17"/>
  <c r="AN11" i="17"/>
  <c r="AN4" i="17"/>
  <c r="AN20" i="17"/>
  <c r="AN23" i="17"/>
  <c r="AN16" i="17"/>
  <c r="AN31" i="17"/>
  <c r="AN22" i="17"/>
  <c r="AN28" i="17"/>
  <c r="AN5" i="17"/>
  <c r="F229" i="24"/>
  <c r="Q220" i="23"/>
  <c r="E1024" i="24" s="1"/>
  <c r="F1024" i="24" s="1"/>
  <c r="Q252" i="23"/>
  <c r="AN6" i="17"/>
  <c r="Q10" i="23"/>
  <c r="T10" i="23" s="1"/>
  <c r="Q147" i="23"/>
  <c r="T147" i="23" s="1"/>
  <c r="Q195" i="23"/>
  <c r="T195" i="23" s="1"/>
  <c r="Q219" i="23"/>
  <c r="T219" i="23" s="1"/>
  <c r="Q243" i="23"/>
  <c r="E111" i="24" s="1"/>
  <c r="Q251" i="23"/>
  <c r="T251" i="23" s="1"/>
  <c r="Q259" i="23"/>
  <c r="T259" i="23" s="1"/>
  <c r="Q105" i="23"/>
  <c r="T105" i="23" s="1"/>
  <c r="Q121" i="23"/>
  <c r="Q161" i="23"/>
  <c r="Q169" i="23"/>
  <c r="T169" i="23" s="1"/>
  <c r="Q201" i="23"/>
  <c r="T201" i="23" s="1"/>
  <c r="Q209" i="23"/>
  <c r="T209" i="23" s="1"/>
  <c r="Q11" i="23"/>
  <c r="T11" i="23" s="1"/>
  <c r="Q19" i="23"/>
  <c r="Q27" i="23"/>
  <c r="Q35" i="23"/>
  <c r="T35" i="23" s="1"/>
  <c r="Q44" i="23"/>
  <c r="T44" i="23" s="1"/>
  <c r="Q68" i="23"/>
  <c r="T68" i="23" s="1"/>
  <c r="Q76" i="23"/>
  <c r="T76" i="23" s="1"/>
  <c r="Q84" i="23"/>
  <c r="T84" i="23" s="1"/>
  <c r="Q92" i="23"/>
  <c r="E1125" i="24" s="1"/>
  <c r="Q116" i="23"/>
  <c r="T116" i="23" s="1"/>
  <c r="Q140" i="23"/>
  <c r="T140" i="23" s="1"/>
  <c r="Q260" i="23"/>
  <c r="T260" i="23" s="1"/>
  <c r="Q9" i="23"/>
  <c r="T9" i="23" s="1"/>
  <c r="Q122" i="23"/>
  <c r="T122" i="23" s="1"/>
  <c r="Q130" i="23"/>
  <c r="F76" i="17" s="1"/>
  <c r="G76" i="17" s="1"/>
  <c r="Q138" i="23"/>
  <c r="E898" i="24" s="1"/>
  <c r="F898" i="24" s="1"/>
  <c r="Q226" i="23"/>
  <c r="T226" i="23" s="1"/>
  <c r="Q234" i="23"/>
  <c r="Q242" i="23"/>
  <c r="T242" i="23" s="1"/>
  <c r="Q250" i="23"/>
  <c r="T250" i="23" s="1"/>
  <c r="Q181" i="23"/>
  <c r="T181" i="23" s="1"/>
  <c r="Q189" i="23"/>
  <c r="T189" i="23" s="1"/>
  <c r="Q29" i="23"/>
  <c r="E24" i="24" s="1"/>
  <c r="Q38" i="23"/>
  <c r="T38" i="23" s="1"/>
  <c r="Q46" i="23"/>
  <c r="E571" i="24" s="1"/>
  <c r="Q62" i="23"/>
  <c r="T62" i="23" s="1"/>
  <c r="Q102" i="23"/>
  <c r="T102" i="23" s="1"/>
  <c r="Q110" i="23"/>
  <c r="T110" i="23" s="1"/>
  <c r="Q142" i="23"/>
  <c r="T142" i="23" s="1"/>
  <c r="Q182" i="23"/>
  <c r="T182" i="23" s="1"/>
  <c r="Q198" i="23"/>
  <c r="T198" i="23" s="1"/>
  <c r="Q214" i="23"/>
  <c r="T214" i="23" s="1"/>
  <c r="Q222" i="23"/>
  <c r="E117" i="24" s="1"/>
  <c r="Q246" i="23"/>
  <c r="E1132" i="24" s="1"/>
  <c r="Q262" i="23"/>
  <c r="E1118" i="24" s="1"/>
  <c r="F1118" i="24" s="1"/>
  <c r="Q270" i="23"/>
  <c r="Q97" i="23"/>
  <c r="T97" i="23" s="1"/>
  <c r="Q129" i="23"/>
  <c r="T129" i="23" s="1"/>
  <c r="Q137" i="23"/>
  <c r="T137" i="23" s="1"/>
  <c r="Q153" i="23"/>
  <c r="T153" i="23" s="1"/>
  <c r="Q268" i="23"/>
  <c r="T268" i="23" s="1"/>
  <c r="Q14" i="23"/>
  <c r="Q63" i="23"/>
  <c r="T63" i="23" s="1"/>
  <c r="Q151" i="23"/>
  <c r="T151" i="23" s="1"/>
  <c r="Q159" i="23"/>
  <c r="T159" i="23" s="1"/>
  <c r="Q167" i="23"/>
  <c r="T167" i="23" s="1"/>
  <c r="Q175" i="23"/>
  <c r="Q199" i="23"/>
  <c r="E1048" i="24" s="1"/>
  <c r="F1048" i="24" s="1"/>
  <c r="Q207" i="23"/>
  <c r="T207" i="23" s="1"/>
  <c r="Q215" i="23"/>
  <c r="T215" i="23" s="1"/>
  <c r="Q15" i="23"/>
  <c r="Q23" i="23"/>
  <c r="Q31" i="23"/>
  <c r="T31" i="23" s="1"/>
  <c r="Q40" i="23"/>
  <c r="T40" i="23" s="1"/>
  <c r="Q48" i="23"/>
  <c r="T48" i="23" s="1"/>
  <c r="Q64" i="23"/>
  <c r="T64" i="23" s="1"/>
  <c r="Q96" i="23"/>
  <c r="T96" i="23" s="1"/>
  <c r="Q104" i="23"/>
  <c r="T104" i="23" s="1"/>
  <c r="Q112" i="23"/>
  <c r="T112" i="23" s="1"/>
  <c r="Q120" i="23"/>
  <c r="T120" i="23" s="1"/>
  <c r="Q128" i="23"/>
  <c r="T128" i="23" s="1"/>
  <c r="Q144" i="23"/>
  <c r="T144" i="23" s="1"/>
  <c r="Q224" i="23"/>
  <c r="T224" i="23" s="1"/>
  <c r="Q232" i="23"/>
  <c r="T232" i="23" s="1"/>
  <c r="Q240" i="23"/>
  <c r="Q256" i="23"/>
  <c r="Q272" i="23"/>
  <c r="T272" i="23" s="1"/>
  <c r="AN24" i="17"/>
  <c r="Q218" i="23"/>
  <c r="T218" i="23" s="1"/>
  <c r="Q67" i="23"/>
  <c r="T67" i="23" s="1"/>
  <c r="Q75" i="23"/>
  <c r="T75" i="23" s="1"/>
  <c r="Q83" i="23"/>
  <c r="Q91" i="23"/>
  <c r="E1163" i="24" s="1"/>
  <c r="Q115" i="23"/>
  <c r="E468" i="24" s="1"/>
  <c r="Q123" i="23"/>
  <c r="Q131" i="23"/>
  <c r="T131" i="23" s="1"/>
  <c r="Q139" i="23"/>
  <c r="Q152" i="23"/>
  <c r="E1440" i="24" s="1"/>
  <c r="F1440" i="24" s="1"/>
  <c r="Q160" i="23"/>
  <c r="Q168" i="23"/>
  <c r="T168" i="23" s="1"/>
  <c r="Q176" i="23"/>
  <c r="T176" i="23" s="1"/>
  <c r="Q200" i="23"/>
  <c r="Q208" i="23"/>
  <c r="T208" i="23" s="1"/>
  <c r="Q216" i="23"/>
  <c r="T216" i="23" s="1"/>
  <c r="Q221" i="23"/>
  <c r="T221" i="23" s="1"/>
  <c r="Q245" i="23"/>
  <c r="T245" i="23" s="1"/>
  <c r="Q261" i="23"/>
  <c r="Q269" i="23"/>
  <c r="L273" i="23"/>
  <c r="Q87" i="23"/>
  <c r="T87" i="23" s="1"/>
  <c r="Q103" i="23"/>
  <c r="Q111" i="23"/>
  <c r="T111" i="23" s="1"/>
  <c r="Q143" i="23"/>
  <c r="T143" i="23" s="1"/>
  <c r="Q180" i="23"/>
  <c r="T180" i="23" s="1"/>
  <c r="Q196" i="23"/>
  <c r="E421" i="24" s="1"/>
  <c r="Q225" i="23"/>
  <c r="T225" i="23" s="1"/>
  <c r="Q241" i="23"/>
  <c r="F72" i="17" s="1"/>
  <c r="G72" i="17" s="1"/>
  <c r="Q257" i="23"/>
  <c r="Q82" i="23"/>
  <c r="T82" i="23" s="1"/>
  <c r="Q20" i="23"/>
  <c r="T20" i="23" s="1"/>
  <c r="Q28" i="23"/>
  <c r="T28" i="23" s="1"/>
  <c r="Q36" i="23"/>
  <c r="T36" i="23" s="1"/>
  <c r="Q45" i="23"/>
  <c r="T45" i="23" s="1"/>
  <c r="Q69" i="23"/>
  <c r="T69" i="23" s="1"/>
  <c r="Q77" i="23"/>
  <c r="T77" i="23" s="1"/>
  <c r="Q154" i="23"/>
  <c r="T154" i="23" s="1"/>
  <c r="Q162" i="23"/>
  <c r="Q170" i="23"/>
  <c r="Q194" i="23"/>
  <c r="T194" i="23" s="1"/>
  <c r="Q247" i="23"/>
  <c r="T247" i="23" s="1"/>
  <c r="Q271" i="23"/>
  <c r="Q56" i="23"/>
  <c r="T56" i="23" s="1"/>
  <c r="Q51" i="23"/>
  <c r="T51" i="23" s="1"/>
  <c r="Q53" i="23"/>
  <c r="T53" i="23" s="1"/>
  <c r="Q58" i="23"/>
  <c r="Q71" i="23"/>
  <c r="T71" i="23" s="1"/>
  <c r="Q79" i="23"/>
  <c r="T79" i="23" s="1"/>
  <c r="Q89" i="23"/>
  <c r="T89" i="23" s="1"/>
  <c r="Q94" i="23"/>
  <c r="T94" i="23" s="1"/>
  <c r="Q99" i="23"/>
  <c r="Q107" i="23"/>
  <c r="T107" i="23" s="1"/>
  <c r="Q117" i="23"/>
  <c r="T117" i="23" s="1"/>
  <c r="Q125" i="23"/>
  <c r="T125" i="23" s="1"/>
  <c r="Q133" i="23"/>
  <c r="T133" i="23" s="1"/>
  <c r="Q148" i="23"/>
  <c r="T148" i="23" s="1"/>
  <c r="Q156" i="23"/>
  <c r="T156" i="23" s="1"/>
  <c r="Q164" i="23"/>
  <c r="T164" i="23" s="1"/>
  <c r="Q172" i="23"/>
  <c r="T172" i="23" s="1"/>
  <c r="Q177" i="23"/>
  <c r="Q185" i="23"/>
  <c r="T185" i="23" s="1"/>
  <c r="Q190" i="23"/>
  <c r="T190" i="23" s="1"/>
  <c r="Q203" i="23"/>
  <c r="T203" i="23" s="1"/>
  <c r="Q211" i="23"/>
  <c r="T211" i="23" s="1"/>
  <c r="Q229" i="23"/>
  <c r="T229" i="23" s="1"/>
  <c r="Q237" i="23"/>
  <c r="T237" i="23" s="1"/>
  <c r="Q265" i="23"/>
  <c r="E217" i="24" s="1"/>
  <c r="F217" i="24" s="1"/>
  <c r="Q8" i="23"/>
  <c r="Q13" i="23"/>
  <c r="E1172" i="24" s="1"/>
  <c r="F1172" i="24" s="1"/>
  <c r="Q18" i="23"/>
  <c r="Q26" i="23"/>
  <c r="T26" i="23" s="1"/>
  <c r="Q34" i="23"/>
  <c r="Q43" i="23"/>
  <c r="Q61" i="23"/>
  <c r="T61" i="23" s="1"/>
  <c r="Q66" i="23"/>
  <c r="Q74" i="23"/>
  <c r="T74" i="23" s="1"/>
  <c r="Q136" i="23"/>
  <c r="T136" i="23" s="1"/>
  <c r="Q141" i="23"/>
  <c r="T141" i="23" s="1"/>
  <c r="Q146" i="23"/>
  <c r="T146" i="23" s="1"/>
  <c r="Q188" i="23"/>
  <c r="T188" i="23" s="1"/>
  <c r="Q193" i="23"/>
  <c r="F64" i="17" s="1"/>
  <c r="G64" i="17" s="1"/>
  <c r="Q206" i="23"/>
  <c r="Q183" i="23"/>
  <c r="Q217" i="23"/>
  <c r="T217" i="23" s="1"/>
  <c r="Q227" i="23"/>
  <c r="F73" i="17" s="1"/>
  <c r="G73" i="17" s="1"/>
  <c r="Q235" i="23"/>
  <c r="T235" i="23" s="1"/>
  <c r="Q253" i="23"/>
  <c r="T253" i="23" s="1"/>
  <c r="Q258" i="23"/>
  <c r="Q263" i="23"/>
  <c r="T263" i="23" s="1"/>
  <c r="Q6" i="23"/>
  <c r="T6" i="23" s="1"/>
  <c r="Q16" i="23"/>
  <c r="T16" i="23" s="1"/>
  <c r="Q24" i="23"/>
  <c r="T24" i="23" s="1"/>
  <c r="Q32" i="23"/>
  <c r="T32" i="23" s="1"/>
  <c r="Q41" i="23"/>
  <c r="Q49" i="23"/>
  <c r="T49" i="23" s="1"/>
  <c r="Q54" i="23"/>
  <c r="T54" i="23" s="1"/>
  <c r="Q59" i="23"/>
  <c r="T59" i="23" s="1"/>
  <c r="Q72" i="23"/>
  <c r="T72" i="23" s="1"/>
  <c r="Q80" i="23"/>
  <c r="T80" i="23" s="1"/>
  <c r="Q85" i="23"/>
  <c r="T85" i="23" s="1"/>
  <c r="Q90" i="23"/>
  <c r="T90" i="23" s="1"/>
  <c r="Q95" i="23"/>
  <c r="E1144" i="24" s="1"/>
  <c r="Q100" i="23"/>
  <c r="T100" i="23" s="1"/>
  <c r="Q108" i="23"/>
  <c r="T108" i="23" s="1"/>
  <c r="E450" i="24"/>
  <c r="F450" i="24" s="1"/>
  <c r="Q118" i="23"/>
  <c r="T118" i="23" s="1"/>
  <c r="Q126" i="23"/>
  <c r="T126" i="23" s="1"/>
  <c r="Q134" i="23"/>
  <c r="E1033" i="24" s="1"/>
  <c r="F1033" i="24" s="1"/>
  <c r="Q149" i="23"/>
  <c r="T149" i="23" s="1"/>
  <c r="Q157" i="23"/>
  <c r="Q165" i="23"/>
  <c r="T165" i="23" s="1"/>
  <c r="Q173" i="23"/>
  <c r="T173" i="23" s="1"/>
  <c r="Q178" i="23"/>
  <c r="F71" i="17" s="1"/>
  <c r="Q186" i="23"/>
  <c r="Q191" i="23"/>
  <c r="T191" i="23" s="1"/>
  <c r="Q204" i="23"/>
  <c r="T204" i="23" s="1"/>
  <c r="Q212" i="23"/>
  <c r="Q230" i="23"/>
  <c r="T230" i="23" s="1"/>
  <c r="Q238" i="23"/>
  <c r="E731" i="24" s="1"/>
  <c r="F731" i="24" s="1"/>
  <c r="Q248" i="23"/>
  <c r="T248" i="23" s="1"/>
  <c r="Q266" i="23"/>
  <c r="T266" i="23" s="1"/>
  <c r="Q22" i="23"/>
  <c r="Q30" i="23"/>
  <c r="T30" i="23" s="1"/>
  <c r="Q39" i="23"/>
  <c r="T39" i="23" s="1"/>
  <c r="Q47" i="23"/>
  <c r="T47" i="23" s="1"/>
  <c r="Q52" i="23"/>
  <c r="T52" i="23" s="1"/>
  <c r="Q57" i="23"/>
  <c r="T57" i="23" s="1"/>
  <c r="Q70" i="23"/>
  <c r="T70" i="23" s="1"/>
  <c r="Q78" i="23"/>
  <c r="T78" i="23" s="1"/>
  <c r="Q88" i="23"/>
  <c r="T88" i="23" s="1"/>
  <c r="Q93" i="23"/>
  <c r="Q98" i="23"/>
  <c r="T98" i="23" s="1"/>
  <c r="Q106" i="23"/>
  <c r="T106" i="23" s="1"/>
  <c r="Q124" i="23"/>
  <c r="T124" i="23" s="1"/>
  <c r="Q132" i="23"/>
  <c r="Q155" i="23"/>
  <c r="T155" i="23" s="1"/>
  <c r="Q163" i="23"/>
  <c r="Q171" i="23"/>
  <c r="T171" i="23" s="1"/>
  <c r="Q184" i="23"/>
  <c r="Q197" i="23"/>
  <c r="T197" i="23" s="1"/>
  <c r="Q202" i="23"/>
  <c r="Q210" i="23"/>
  <c r="T210" i="23" s="1"/>
  <c r="Q228" i="23"/>
  <c r="Q236" i="23"/>
  <c r="Q254" i="23"/>
  <c r="Q264" i="23"/>
  <c r="Q7" i="23"/>
  <c r="T7" i="23" s="1"/>
  <c r="Q12" i="23"/>
  <c r="Q17" i="23"/>
  <c r="T17" i="23" s="1"/>
  <c r="Q25" i="23"/>
  <c r="E999" i="24" s="1"/>
  <c r="F999" i="24" s="1"/>
  <c r="Q33" i="23"/>
  <c r="Q42" i="23"/>
  <c r="T42" i="23" s="1"/>
  <c r="Q50" i="23"/>
  <c r="T50" i="23" s="1"/>
  <c r="Q55" i="23"/>
  <c r="T55" i="23" s="1"/>
  <c r="Q60" i="23"/>
  <c r="T60" i="23" s="1"/>
  <c r="Q65" i="23"/>
  <c r="T65" i="23" s="1"/>
  <c r="Q73" i="23"/>
  <c r="T73" i="23" s="1"/>
  <c r="Q81" i="23"/>
  <c r="Q86" i="23"/>
  <c r="T86" i="23" s="1"/>
  <c r="Q101" i="23"/>
  <c r="E285" i="24" s="1"/>
  <c r="F285" i="24" s="1"/>
  <c r="Q109" i="23"/>
  <c r="T109" i="23" s="1"/>
  <c r="Q119" i="23"/>
  <c r="T119" i="23" s="1"/>
  <c r="Q127" i="23"/>
  <c r="T127" i="23" s="1"/>
  <c r="Q135" i="23"/>
  <c r="T135" i="23" s="1"/>
  <c r="Q145" i="23"/>
  <c r="T145" i="23" s="1"/>
  <c r="Q150" i="23"/>
  <c r="T150" i="23" s="1"/>
  <c r="Q158" i="23"/>
  <c r="Q166" i="23"/>
  <c r="E412" i="24" s="1"/>
  <c r="Q174" i="23"/>
  <c r="T174" i="23" s="1"/>
  <c r="Q179" i="23"/>
  <c r="Q187" i="23"/>
  <c r="T187" i="23" s="1"/>
  <c r="Q192" i="23"/>
  <c r="T192" i="23" s="1"/>
  <c r="Q205" i="23"/>
  <c r="T205" i="23" s="1"/>
  <c r="Q213" i="23"/>
  <c r="Q223" i="23"/>
  <c r="T223" i="23" s="1"/>
  <c r="Q231" i="23"/>
  <c r="E612" i="24" s="1"/>
  <c r="Q239" i="23"/>
  <c r="E1264" i="24" s="1"/>
  <c r="F1264" i="24" s="1"/>
  <c r="Q244" i="23"/>
  <c r="T244" i="23" s="1"/>
  <c r="Q249" i="23"/>
  <c r="T249" i="23" s="1"/>
  <c r="Q267" i="23"/>
  <c r="T267" i="23" s="1"/>
  <c r="Q5" i="23"/>
  <c r="AN3" i="17"/>
  <c r="T83" i="23" l="1"/>
  <c r="E1464" i="24"/>
  <c r="T200" i="23"/>
  <c r="E1452" i="24"/>
  <c r="BO275" i="1"/>
  <c r="T212" i="23"/>
  <c r="E501" i="24"/>
  <c r="T15" i="23"/>
  <c r="E934" i="24"/>
  <c r="T202" i="23"/>
  <c r="E387" i="24"/>
  <c r="T177" i="23"/>
  <c r="T179" i="23"/>
  <c r="E981" i="24"/>
  <c r="F981" i="24" s="1"/>
  <c r="E1431" i="24"/>
  <c r="T257" i="23"/>
  <c r="E718" i="24"/>
  <c r="F718" i="24" s="1"/>
  <c r="T34" i="23"/>
  <c r="E1182" i="24"/>
  <c r="F1182" i="24" s="1"/>
  <c r="E1193" i="24"/>
  <c r="F1193" i="24" s="1"/>
  <c r="T254" i="23"/>
  <c r="E1424" i="24"/>
  <c r="T121" i="23"/>
  <c r="E768" i="24"/>
  <c r="F768" i="24" s="1"/>
  <c r="T152" i="23"/>
  <c r="E1417" i="24"/>
  <c r="T93" i="23"/>
  <c r="E1409" i="24"/>
  <c r="T161" i="23"/>
  <c r="E811" i="24"/>
  <c r="E188" i="24"/>
  <c r="F188" i="24" s="1"/>
  <c r="T101" i="23"/>
  <c r="T258" i="23"/>
  <c r="E1395" i="24"/>
  <c r="F1395" i="24" s="1"/>
  <c r="AN35" i="17"/>
  <c r="T22" i="23"/>
  <c r="E959" i="24"/>
  <c r="T184" i="23"/>
  <c r="E512" i="24"/>
  <c r="E16" i="24"/>
  <c r="K273" i="23"/>
  <c r="Q21" i="23"/>
  <c r="E950" i="24" s="1"/>
  <c r="F950" i="24" s="1"/>
  <c r="T256" i="23"/>
  <c r="E705" i="24"/>
  <c r="F705" i="24" s="1"/>
  <c r="T213" i="23"/>
  <c r="E1381" i="24"/>
  <c r="F111" i="24"/>
  <c r="F75" i="17"/>
  <c r="G75" i="17" s="1"/>
  <c r="F74" i="17"/>
  <c r="G74" i="17" s="1"/>
  <c r="G71" i="17"/>
  <c r="T233" i="23"/>
  <c r="F66" i="17"/>
  <c r="G66" i="17" s="1"/>
  <c r="E328" i="24"/>
  <c r="F328" i="24" s="1"/>
  <c r="F65" i="17"/>
  <c r="G65" i="17" s="1"/>
  <c r="T160" i="23"/>
  <c r="F63" i="17"/>
  <c r="G63" i="17" s="1"/>
  <c r="T81" i="23"/>
  <c r="T170" i="23"/>
  <c r="E83" i="24"/>
  <c r="F83" i="24" s="1"/>
  <c r="T66" i="23"/>
  <c r="E846" i="24"/>
  <c r="T123" i="23"/>
  <c r="E1373" i="24"/>
  <c r="T157" i="23"/>
  <c r="E1365" i="24"/>
  <c r="T241" i="23"/>
  <c r="E1348" i="24"/>
  <c r="T166" i="23"/>
  <c r="E1331" i="24"/>
  <c r="T41" i="23"/>
  <c r="E1318" i="24"/>
  <c r="T130" i="23"/>
  <c r="E749" i="24"/>
  <c r="F749" i="24" s="1"/>
  <c r="T240" i="23"/>
  <c r="E1303" i="24"/>
  <c r="T18" i="23"/>
  <c r="E1272" i="24"/>
  <c r="F1272" i="24" s="1"/>
  <c r="T175" i="23"/>
  <c r="E1293" i="24"/>
  <c r="F1293" i="24" s="1"/>
  <c r="T139" i="23"/>
  <c r="E801" i="24"/>
  <c r="F801" i="24" s="1"/>
  <c r="T132" i="23"/>
  <c r="E274" i="24"/>
  <c r="T261" i="23"/>
  <c r="E971" i="24"/>
  <c r="T158" i="23"/>
  <c r="E1059" i="24"/>
  <c r="F1059" i="24" s="1"/>
  <c r="T8" i="23"/>
  <c r="E778" i="24"/>
  <c r="F778" i="24" s="1"/>
  <c r="T19" i="23"/>
  <c r="E908" i="24"/>
  <c r="T14" i="23"/>
  <c r="E132" i="24"/>
  <c r="T99" i="23"/>
  <c r="E992" i="24"/>
  <c r="F992" i="24" s="1"/>
  <c r="T206" i="23"/>
  <c r="E41" i="24"/>
  <c r="T264" i="23"/>
  <c r="E198" i="24"/>
  <c r="F198" i="24" s="1"/>
  <c r="T12" i="23"/>
  <c r="E258" i="24"/>
  <c r="F258" i="24" s="1"/>
  <c r="T196" i="23"/>
  <c r="F1163" i="24"/>
  <c r="E1154" i="24"/>
  <c r="F1154" i="24" s="1"/>
  <c r="T91" i="23"/>
  <c r="T46" i="23"/>
  <c r="T227" i="23"/>
  <c r="E597" i="24"/>
  <c r="T162" i="23"/>
  <c r="E1253" i="24"/>
  <c r="F1253" i="24" s="1"/>
  <c r="T234" i="23"/>
  <c r="E369" i="24"/>
  <c r="T193" i="23"/>
  <c r="E1242" i="24"/>
  <c r="F1242" i="24" s="1"/>
  <c r="T43" i="23"/>
  <c r="E1223" i="24"/>
  <c r="F1223" i="24" s="1"/>
  <c r="T265" i="23"/>
  <c r="T252" i="23"/>
  <c r="F642" i="24"/>
  <c r="T186" i="23"/>
  <c r="E1074" i="24"/>
  <c r="F1074" i="24" s="1"/>
  <c r="T23" i="23"/>
  <c r="E626" i="24"/>
  <c r="T239" i="23"/>
  <c r="T29" i="23"/>
  <c r="T220" i="23"/>
  <c r="T103" i="23"/>
  <c r="E1210" i="24"/>
  <c r="T178" i="23"/>
  <c r="E160" i="24"/>
  <c r="F160" i="24" s="1"/>
  <c r="T243" i="23"/>
  <c r="T222" i="23"/>
  <c r="E918" i="24"/>
  <c r="F918" i="24" s="1"/>
  <c r="E1088" i="24"/>
  <c r="F1088" i="24" s="1"/>
  <c r="E309" i="24"/>
  <c r="T92" i="23"/>
  <c r="T262" i="23"/>
  <c r="T27" i="23"/>
  <c r="T246" i="23"/>
  <c r="T199" i="23"/>
  <c r="E837" i="24"/>
  <c r="F837" i="24" s="1"/>
  <c r="T138" i="23"/>
  <c r="E867" i="24"/>
  <c r="T255" i="23"/>
  <c r="E1103" i="24"/>
  <c r="F1103" i="24" s="1"/>
  <c r="T115" i="23"/>
  <c r="T13" i="23"/>
  <c r="E66" i="24"/>
  <c r="F66" i="24" s="1"/>
  <c r="T58" i="23"/>
  <c r="E1203" i="24"/>
  <c r="F1203" i="24" s="1"/>
  <c r="T231" i="23"/>
  <c r="E439" i="24"/>
  <c r="T113" i="23"/>
  <c r="E558" i="24"/>
  <c r="F558" i="24" s="1"/>
  <c r="T238" i="23"/>
  <c r="T95" i="23"/>
  <c r="T25" i="23"/>
  <c r="T228" i="23"/>
  <c r="T33" i="23"/>
  <c r="E588" i="24"/>
  <c r="F588" i="24" s="1"/>
  <c r="T134" i="23"/>
  <c r="E244" i="24"/>
  <c r="E791" i="24"/>
  <c r="F791" i="24" s="1"/>
  <c r="T5" i="23"/>
  <c r="Q273" i="23" l="1"/>
  <c r="O273" i="23"/>
  <c r="P273" i="23"/>
  <c r="T21" i="23"/>
  <c r="G77" i="17"/>
  <c r="G67" i="17"/>
</calcChain>
</file>

<file path=xl/comments1.xml><?xml version="1.0" encoding="utf-8"?>
<comments xmlns="http://schemas.openxmlformats.org/spreadsheetml/2006/main">
  <authors>
    <author>admin</author>
  </authors>
  <commentList>
    <comment ref="L28" authorId="0" shapeId="0">
      <text>
        <r>
          <rPr>
            <b/>
            <sz val="9"/>
            <rFont val="Tahoma"/>
            <family val="2"/>
          </rPr>
          <t>hàng hyun</t>
        </r>
        <r>
          <rPr>
            <sz val="9"/>
            <rFont val="Tahoma"/>
            <family val="2"/>
          </rPr>
          <t xml:space="preserve">
</t>
        </r>
      </text>
    </comment>
    <comment ref="L118" authorId="0" shapeId="0">
      <text>
        <r>
          <rPr>
            <b/>
            <sz val="9"/>
            <rFont val="Tahoma"/>
            <family val="2"/>
          </rPr>
          <t>hàng hyun</t>
        </r>
      </text>
    </comment>
    <comment ref="J197" authorId="0" shapeId="0">
      <text>
        <r>
          <rPr>
            <b/>
            <sz val="9"/>
            <rFont val="Tahoma"/>
            <family val="2"/>
          </rPr>
          <t>hàng hyun</t>
        </r>
        <r>
          <rPr>
            <sz val="9"/>
            <rFont val="Tahoma"/>
            <family val="2"/>
          </rPr>
          <t xml:space="preserve">
</t>
        </r>
      </text>
    </comment>
    <comment ref="J258" authorId="0" shapeId="0">
      <text>
        <r>
          <rPr>
            <b/>
            <sz val="9"/>
            <rFont val="Tahoma"/>
            <family val="2"/>
          </rPr>
          <t>hàng hyun</t>
        </r>
      </text>
    </comment>
  </commentList>
</comments>
</file>

<file path=xl/comments2.xml><?xml version="1.0" encoding="utf-8"?>
<comments xmlns="http://schemas.openxmlformats.org/spreadsheetml/2006/main">
  <authors>
    <author>admin</author>
    <author>warehouse</author>
  </authors>
  <commentList>
    <comment ref="T6" authorId="0" shapeId="0">
      <text>
        <r>
          <rPr>
            <b/>
            <sz val="9"/>
            <rFont val="Tahoma"/>
            <family val="2"/>
          </rPr>
          <t>TUOI CHO VAO NG</t>
        </r>
        <r>
          <rPr>
            <sz val="9"/>
            <rFont val="Tahoma"/>
            <family val="2"/>
          </rPr>
          <t xml:space="preserve">
</t>
        </r>
      </text>
    </comment>
    <comment ref="C148" authorId="1" shapeId="0">
      <text>
        <r>
          <rPr>
            <b/>
            <sz val="9"/>
            <rFont val="Tahoma"/>
            <family val="2"/>
          </rPr>
          <t>warehouse:</t>
        </r>
        <r>
          <rPr>
            <sz val="9"/>
            <rFont val="Tahoma"/>
            <family val="2"/>
          </rPr>
          <t xml:space="preserve">
có P-bin</t>
        </r>
      </text>
    </comment>
    <comment ref="C172" authorId="0" shapeId="0">
      <text>
        <r>
          <rPr>
            <b/>
            <sz val="9"/>
            <rFont val="Tahoma"/>
            <family val="2"/>
          </rPr>
          <t xml:space="preserve">dấu bung 8h,băng dính vàng
</t>
        </r>
      </text>
    </comment>
    <comment ref="C183" authorId="0" shapeId="0">
      <text>
        <r>
          <rPr>
            <b/>
            <sz val="9"/>
            <rFont val="Tahoma"/>
            <family val="2"/>
          </rPr>
          <t>dấu nung 8h,băng dính vàng</t>
        </r>
        <r>
          <rPr>
            <sz val="9"/>
            <rFont val="Tahoma"/>
            <family val="2"/>
          </rPr>
          <t xml:space="preserve">
</t>
        </r>
      </text>
    </comment>
    <comment ref="R246" authorId="0" shapeId="0">
      <text>
        <r>
          <rPr>
            <b/>
            <sz val="9"/>
            <rFont val="Tahoma"/>
            <family val="2"/>
          </rPr>
          <t>HANGF LẪN Ở PL 541  10 THÙNG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E2" authorId="0" shapeId="0">
      <text>
        <r>
          <rPr>
            <b/>
            <sz val="9"/>
            <rFont val="Tahoma"/>
            <family val="2"/>
          </rPr>
          <t>chuyển tháng</t>
        </r>
      </text>
    </comment>
  </commentList>
</comments>
</file>

<file path=xl/sharedStrings.xml><?xml version="1.0" encoding="utf-8"?>
<sst xmlns="http://schemas.openxmlformats.org/spreadsheetml/2006/main" count="4410" uniqueCount="1584">
  <si>
    <t>ERP Code</t>
  </si>
  <si>
    <r>
      <rPr>
        <b/>
        <sz val="10"/>
        <color theme="1"/>
        <rFont val="바탕"/>
        <family val="1"/>
        <charset val="129"/>
      </rPr>
      <t xml:space="preserve">모델명
</t>
    </r>
    <r>
      <rPr>
        <b/>
        <sz val="10"/>
        <color theme="1"/>
        <rFont val="Times New Roman"/>
        <family val="1"/>
      </rPr>
      <t>Model</t>
    </r>
  </si>
  <si>
    <r>
      <rPr>
        <b/>
        <sz val="10"/>
        <color theme="1"/>
        <rFont val="Times New Roman"/>
        <family val="1"/>
      </rPr>
      <t>TỒN ĐẦU K</t>
    </r>
    <r>
      <rPr>
        <b/>
        <sz val="10"/>
        <color theme="1"/>
        <rFont val="바탕"/>
        <family val="1"/>
        <charset val="129"/>
      </rPr>
      <t>Ỳ</t>
    </r>
  </si>
  <si>
    <t>TT In WH</t>
  </si>
  <si>
    <t>TT Produc</t>
  </si>
  <si>
    <t>Produc</t>
  </si>
  <si>
    <t>wh</t>
  </si>
  <si>
    <t>TR354631</t>
  </si>
  <si>
    <t>KS-880854</t>
  </si>
  <si>
    <t>TR355517</t>
  </si>
  <si>
    <t>KS-870953</t>
  </si>
  <si>
    <t>TR352805</t>
  </si>
  <si>
    <t>KS-86025</t>
  </si>
  <si>
    <t>TR355201</t>
  </si>
  <si>
    <t>KS-881058</t>
  </si>
  <si>
    <t>TR355324</t>
  </si>
  <si>
    <t>TR356580</t>
  </si>
  <si>
    <t>KS-881515</t>
  </si>
  <si>
    <t>TR354796</t>
  </si>
  <si>
    <t>KS-880355</t>
  </si>
  <si>
    <t>TR352133</t>
  </si>
  <si>
    <t>TR355056</t>
  </si>
  <si>
    <t>KS-870827</t>
  </si>
  <si>
    <t>TR355708</t>
  </si>
  <si>
    <t>KS-880827</t>
  </si>
  <si>
    <t>TR354801</t>
  </si>
  <si>
    <t>KS-880545</t>
  </si>
  <si>
    <t>TR353236</t>
  </si>
  <si>
    <t>TR353611</t>
  </si>
  <si>
    <t>KS-880616</t>
  </si>
  <si>
    <t>TR353121</t>
  </si>
  <si>
    <t>KS-880493</t>
  </si>
  <si>
    <t>TR354840</t>
  </si>
  <si>
    <t>KS-89045</t>
  </si>
  <si>
    <t>TR355240</t>
  </si>
  <si>
    <t>TR353452</t>
  </si>
  <si>
    <t>TR354300</t>
  </si>
  <si>
    <t>KS-880754</t>
  </si>
  <si>
    <t>TR354812</t>
  </si>
  <si>
    <t>KS-880793</t>
  </si>
  <si>
    <t>TR354467</t>
  </si>
  <si>
    <t>TR352138</t>
  </si>
  <si>
    <t>KS-874157</t>
  </si>
  <si>
    <t>TR351474</t>
  </si>
  <si>
    <t>TR354395</t>
  </si>
  <si>
    <t>KS-880760</t>
  </si>
  <si>
    <t>TR352974</t>
  </si>
  <si>
    <t>KS-8605</t>
  </si>
  <si>
    <t>TR350031</t>
  </si>
  <si>
    <t>TR352561</t>
  </si>
  <si>
    <t>KS-8303</t>
  </si>
  <si>
    <t>TR300016</t>
  </si>
  <si>
    <t>TR353886</t>
  </si>
  <si>
    <t>KS-870505</t>
  </si>
  <si>
    <t>TR355016</t>
  </si>
  <si>
    <t>KS-881003</t>
  </si>
  <si>
    <t>TR354996</t>
  </si>
  <si>
    <t>KS-880995</t>
  </si>
  <si>
    <t>TR353788</t>
  </si>
  <si>
    <t>KS-870501</t>
  </si>
  <si>
    <t>TR353823</t>
  </si>
  <si>
    <t>KS-870499</t>
  </si>
  <si>
    <t>TR354615</t>
  </si>
  <si>
    <t>KS-870702</t>
  </si>
  <si>
    <t>TR354576</t>
  </si>
  <si>
    <t>KS-870574</t>
  </si>
  <si>
    <t>TR350607</t>
  </si>
  <si>
    <t>KS-84018</t>
  </si>
  <si>
    <t>TR357034</t>
  </si>
  <si>
    <t>KS-881291</t>
  </si>
  <si>
    <t>TR355877</t>
  </si>
  <si>
    <t>TR355278</t>
  </si>
  <si>
    <t>KS-870883</t>
  </si>
  <si>
    <t>TR351752</t>
  </si>
  <si>
    <t>KS-880288</t>
  </si>
  <si>
    <t>TR356497</t>
  </si>
  <si>
    <t>KS-881512</t>
  </si>
  <si>
    <t>TR354759</t>
  </si>
  <si>
    <t>KS-880910</t>
  </si>
  <si>
    <t>TR354920</t>
  </si>
  <si>
    <t>TR355940</t>
  </si>
  <si>
    <t>KS-881169</t>
  </si>
  <si>
    <t>TR356242</t>
  </si>
  <si>
    <t>TR353094</t>
  </si>
  <si>
    <t>KS-880510</t>
  </si>
  <si>
    <t>TR354914</t>
  </si>
  <si>
    <t>KS-880959</t>
  </si>
  <si>
    <t>TR355573</t>
  </si>
  <si>
    <t>KS-870990</t>
  </si>
  <si>
    <t>TR351690</t>
  </si>
  <si>
    <t>KS-880272</t>
  </si>
  <si>
    <t>TR354011</t>
  </si>
  <si>
    <t>KS-880624</t>
  </si>
  <si>
    <t>TR354102</t>
  </si>
  <si>
    <t>TR354763</t>
  </si>
  <si>
    <t>KS-880898</t>
  </si>
  <si>
    <t>TR352576</t>
  </si>
  <si>
    <t>KS-880398</t>
  </si>
  <si>
    <t>TR353653</t>
  </si>
  <si>
    <t>KS-880615</t>
  </si>
  <si>
    <t>TR352235</t>
  </si>
  <si>
    <t>KS-88188</t>
  </si>
  <si>
    <t>TR350693</t>
  </si>
  <si>
    <t>TR354410</t>
  </si>
  <si>
    <t>KS-880551</t>
  </si>
  <si>
    <t>TR354542</t>
  </si>
  <si>
    <t>TR353099</t>
  </si>
  <si>
    <t>KS-880506</t>
  </si>
  <si>
    <t>TR355472</t>
  </si>
  <si>
    <t>KS-881138</t>
  </si>
  <si>
    <t>TR354679</t>
  </si>
  <si>
    <t>KS-870708</t>
  </si>
  <si>
    <t>TR353729</t>
  </si>
  <si>
    <t>KS-870492</t>
  </si>
  <si>
    <t>TR351206</t>
  </si>
  <si>
    <t>KS-880114</t>
  </si>
  <si>
    <t>TR352009</t>
  </si>
  <si>
    <t>KS-881232</t>
  </si>
  <si>
    <t>TR354691</t>
  </si>
  <si>
    <t>KS-880887</t>
  </si>
  <si>
    <t>TR355432</t>
  </si>
  <si>
    <t>TR354962</t>
  </si>
  <si>
    <t>KS-880976</t>
  </si>
  <si>
    <t>TR350749</t>
  </si>
  <si>
    <t>KS-881107</t>
  </si>
  <si>
    <t>TR350786</t>
  </si>
  <si>
    <t>KS-882115</t>
  </si>
  <si>
    <t>TR353604</t>
  </si>
  <si>
    <t>KS-880611</t>
  </si>
  <si>
    <t>TR354391</t>
  </si>
  <si>
    <t>KS-870649</t>
  </si>
  <si>
    <t>TR355013</t>
  </si>
  <si>
    <t>KS-880999</t>
  </si>
  <si>
    <t>TR353657</t>
  </si>
  <si>
    <t>KS-870470</t>
  </si>
  <si>
    <t>TR354289</t>
  </si>
  <si>
    <t>KS-870632</t>
  </si>
  <si>
    <t>TR353380</t>
  </si>
  <si>
    <t>KS-870405</t>
  </si>
  <si>
    <t>TR355388</t>
  </si>
  <si>
    <t>KS-870943</t>
  </si>
  <si>
    <t>TR352068</t>
  </si>
  <si>
    <t>KS-880353</t>
  </si>
  <si>
    <t>TR354964</t>
  </si>
  <si>
    <t>KS-880957</t>
  </si>
  <si>
    <t>TR355025</t>
  </si>
  <si>
    <t>TR355894</t>
  </si>
  <si>
    <t>KS-881258</t>
  </si>
  <si>
    <t>TR355039</t>
  </si>
  <si>
    <t>KS-880986</t>
  </si>
  <si>
    <t>TR355141</t>
  </si>
  <si>
    <t>TR350858</t>
  </si>
  <si>
    <t>KS-880233</t>
  </si>
  <si>
    <t>TR355177</t>
  </si>
  <si>
    <t>KS-881045</t>
  </si>
  <si>
    <t>TR352640</t>
  </si>
  <si>
    <t>KS-870325</t>
  </si>
  <si>
    <t>TR354597</t>
  </si>
  <si>
    <t>KS-880849</t>
  </si>
  <si>
    <t>TR352871</t>
  </si>
  <si>
    <t>KS-870278</t>
  </si>
  <si>
    <t>TR355604</t>
  </si>
  <si>
    <t>KS-881163</t>
  </si>
  <si>
    <t>TR355755</t>
  </si>
  <si>
    <t>TR354950</t>
  </si>
  <si>
    <t>TR355682</t>
  </si>
  <si>
    <t>KS-881258(LP)</t>
  </si>
  <si>
    <t>TR353809</t>
  </si>
  <si>
    <t>KS-870498</t>
  </si>
  <si>
    <t>TR300011</t>
  </si>
  <si>
    <t>KS-8205</t>
  </si>
  <si>
    <t>TR356228</t>
  </si>
  <si>
    <t>KS-871348</t>
  </si>
  <si>
    <t>TR354564</t>
  </si>
  <si>
    <t>KS-880822</t>
  </si>
  <si>
    <t>TR356173</t>
  </si>
  <si>
    <t>KS-871303</t>
  </si>
  <si>
    <t>TR351941</t>
  </si>
  <si>
    <t>KS-85012</t>
  </si>
  <si>
    <t>TR352195</t>
  </si>
  <si>
    <t>KS-88146</t>
  </si>
  <si>
    <t>TR352673</t>
  </si>
  <si>
    <t>KS-880412</t>
  </si>
  <si>
    <t>TR354070</t>
  </si>
  <si>
    <t>KS-870541</t>
  </si>
  <si>
    <t>TR355876</t>
  </si>
  <si>
    <t>KS-880104</t>
  </si>
  <si>
    <t>TR353129</t>
  </si>
  <si>
    <t>TR354174</t>
  </si>
  <si>
    <t>KS-870575</t>
  </si>
  <si>
    <t>TR356061</t>
  </si>
  <si>
    <t>KS-871270</t>
  </si>
  <si>
    <t>TR351649</t>
  </si>
  <si>
    <t>TR355978</t>
  </si>
  <si>
    <t>KS-881341</t>
  </si>
  <si>
    <t>TR355831</t>
  </si>
  <si>
    <t>KS-881289</t>
  </si>
  <si>
    <t>TR355995</t>
  </si>
  <si>
    <t>TR354511</t>
  </si>
  <si>
    <t>KS-880467</t>
  </si>
  <si>
    <t>TR353323</t>
  </si>
  <si>
    <t>KS-880566</t>
  </si>
  <si>
    <t>TR353145</t>
  </si>
  <si>
    <t>KS-89038</t>
  </si>
  <si>
    <t>TR356738</t>
  </si>
  <si>
    <t>KS-870500</t>
  </si>
  <si>
    <t>TR356636</t>
  </si>
  <si>
    <t>TR355160</t>
  </si>
  <si>
    <t>KS-881043</t>
  </si>
  <si>
    <t>TR352327</t>
  </si>
  <si>
    <t>KS-880372</t>
  </si>
  <si>
    <t>TR354773</t>
  </si>
  <si>
    <t>KS-880120</t>
  </si>
  <si>
    <t>TR351215</t>
  </si>
  <si>
    <t>TR356028</t>
  </si>
  <si>
    <t>KS-881335</t>
  </si>
  <si>
    <t>TR356419</t>
  </si>
  <si>
    <t>KS-871396</t>
  </si>
  <si>
    <t>TR354259</t>
  </si>
  <si>
    <t>KS-870618</t>
  </si>
  <si>
    <t>TR354006</t>
  </si>
  <si>
    <t>KS-870208</t>
  </si>
  <si>
    <t>TR353911</t>
  </si>
  <si>
    <t>KS-870365</t>
  </si>
  <si>
    <t>TR356075</t>
  </si>
  <si>
    <t>KS-881337</t>
  </si>
  <si>
    <t>TR356956</t>
  </si>
  <si>
    <t>TR353784</t>
  </si>
  <si>
    <t>KS-870247</t>
  </si>
  <si>
    <t>TR352788</t>
  </si>
  <si>
    <t>TR351141</t>
  </si>
  <si>
    <t>KS-8603</t>
  </si>
  <si>
    <t>TR351743</t>
  </si>
  <si>
    <t>KS-870217</t>
  </si>
  <si>
    <t>TR351886</t>
  </si>
  <si>
    <t>TR357028</t>
  </si>
  <si>
    <t>KS-880970</t>
  </si>
  <si>
    <t>TR356849</t>
  </si>
  <si>
    <t>TR351718</t>
  </si>
  <si>
    <t>KS-87376</t>
  </si>
  <si>
    <t>TR351875</t>
  </si>
  <si>
    <t>TR353425</t>
  </si>
  <si>
    <t>KS-880466</t>
  </si>
  <si>
    <t>TR351822</t>
  </si>
  <si>
    <t>KS-8212</t>
  </si>
  <si>
    <t>TR354085</t>
  </si>
  <si>
    <t>KS-870557</t>
  </si>
  <si>
    <t>TR356297</t>
  </si>
  <si>
    <t>KS-871365</t>
  </si>
  <si>
    <t>TR355918</t>
  </si>
  <si>
    <t>KS-881300</t>
  </si>
  <si>
    <t>TR355759</t>
  </si>
  <si>
    <t>KS-881272</t>
  </si>
  <si>
    <t>TR352292</t>
  </si>
  <si>
    <t>KS-870283</t>
  </si>
  <si>
    <t>TR356388</t>
  </si>
  <si>
    <t>KS-881472</t>
  </si>
  <si>
    <t>TR352059</t>
  </si>
  <si>
    <t>KS-880351</t>
  </si>
  <si>
    <t>TR351434</t>
  </si>
  <si>
    <t>KS-870163</t>
  </si>
  <si>
    <t>TR351274</t>
  </si>
  <si>
    <t>TR354224</t>
  </si>
  <si>
    <t>KS-880731</t>
  </si>
  <si>
    <t>TR352031</t>
  </si>
  <si>
    <t>KS-870161</t>
  </si>
  <si>
    <t>TR350605</t>
  </si>
  <si>
    <t>TR356620</t>
  </si>
  <si>
    <t>KS-890195</t>
  </si>
  <si>
    <t>TR356592</t>
  </si>
  <si>
    <t>TR356549</t>
  </si>
  <si>
    <t>KS-890196</t>
  </si>
  <si>
    <t>TR354774</t>
  </si>
  <si>
    <t>KS-880400</t>
  </si>
  <si>
    <t>TR354632</t>
  </si>
  <si>
    <t>KS-89084</t>
  </si>
  <si>
    <t>TR357030</t>
  </si>
  <si>
    <t>TR354295</t>
  </si>
  <si>
    <t>KS-870604</t>
  </si>
  <si>
    <t>TR300652</t>
  </si>
  <si>
    <t>KS-86015</t>
  </si>
  <si>
    <t>TR357102</t>
  </si>
  <si>
    <t>TR351120</t>
  </si>
  <si>
    <t>TR353639</t>
  </si>
  <si>
    <t>KS-86028</t>
  </si>
  <si>
    <t>TR354675</t>
  </si>
  <si>
    <t>KS-880881</t>
  </si>
  <si>
    <t>TR355209</t>
  </si>
  <si>
    <t>KS-881050</t>
  </si>
  <si>
    <t>TR355618</t>
  </si>
  <si>
    <t>TR351838</t>
  </si>
  <si>
    <t>KS-870222</t>
  </si>
  <si>
    <t>TR355194</t>
  </si>
  <si>
    <t>KS-870801</t>
  </si>
  <si>
    <t>TR352902</t>
  </si>
  <si>
    <t>KS-880442</t>
  </si>
  <si>
    <t>TR300155</t>
  </si>
  <si>
    <t>KS-8503</t>
  </si>
  <si>
    <t>TR355336</t>
  </si>
  <si>
    <t>KS-881090</t>
  </si>
  <si>
    <t>TR354279</t>
  </si>
  <si>
    <t>KS-880373</t>
  </si>
  <si>
    <t>TR352558</t>
  </si>
  <si>
    <t>TR356594</t>
  </si>
  <si>
    <t>KS-881544</t>
  </si>
  <si>
    <t>TR356346</t>
  </si>
  <si>
    <t>KS-881362</t>
  </si>
  <si>
    <t>TR356744</t>
  </si>
  <si>
    <t>TR354821</t>
  </si>
  <si>
    <t>KS-89069</t>
  </si>
  <si>
    <t>TR355134</t>
  </si>
  <si>
    <t>TR354823</t>
  </si>
  <si>
    <t>KS-89073</t>
  </si>
  <si>
    <t>TR354823-bring</t>
  </si>
  <si>
    <t>TR356062</t>
  </si>
  <si>
    <t>KS-881353</t>
  </si>
  <si>
    <t>TR354280</t>
  </si>
  <si>
    <t>KS-870264</t>
  </si>
  <si>
    <t>TR351912</t>
  </si>
  <si>
    <t>TR352000</t>
  </si>
  <si>
    <t>TR354226</t>
  </si>
  <si>
    <t>KS-880382</t>
  </si>
  <si>
    <t>TR356379</t>
  </si>
  <si>
    <t>KS-871382</t>
  </si>
  <si>
    <t>TR354809</t>
  </si>
  <si>
    <t>KS-880748</t>
  </si>
  <si>
    <t>TR354390</t>
  </si>
  <si>
    <t>TR351313</t>
  </si>
  <si>
    <t>KS-87049</t>
  </si>
  <si>
    <t>TR351317</t>
  </si>
  <si>
    <t>TR355576</t>
  </si>
  <si>
    <t>KS-870996</t>
  </si>
  <si>
    <t>TR356391</t>
  </si>
  <si>
    <t>KS-881483</t>
  </si>
  <si>
    <t>TR355840</t>
  </si>
  <si>
    <t>KS-881279</t>
  </si>
  <si>
    <t>TR355792</t>
  </si>
  <si>
    <t>KS-871093</t>
  </si>
  <si>
    <t>TR300673</t>
  </si>
  <si>
    <t>KS-8304</t>
  </si>
  <si>
    <t>TR356422</t>
  </si>
  <si>
    <t>KS-881487</t>
  </si>
  <si>
    <t>TR352458</t>
  </si>
  <si>
    <t>KS-870313</t>
  </si>
  <si>
    <t>TR355756</t>
  </si>
  <si>
    <t>KS-880913</t>
  </si>
  <si>
    <t>TR353125</t>
  </si>
  <si>
    <t>KS-8809</t>
  </si>
  <si>
    <t>TR355669</t>
  </si>
  <si>
    <t>KS-871056</t>
  </si>
  <si>
    <t>TR355714</t>
  </si>
  <si>
    <t>KS-870234</t>
  </si>
  <si>
    <t>TR352536</t>
  </si>
  <si>
    <t>KS-870317</t>
  </si>
  <si>
    <t>TR300108</t>
  </si>
  <si>
    <t>KS-8308</t>
  </si>
  <si>
    <t>TR355797</t>
  </si>
  <si>
    <t>KS-881285</t>
  </si>
  <si>
    <t>TR354952</t>
  </si>
  <si>
    <t>KS-880944</t>
  </si>
  <si>
    <t>TR356739</t>
  </si>
  <si>
    <t>KS-871055</t>
  </si>
  <si>
    <t>TR356860</t>
  </si>
  <si>
    <t>TR355713</t>
  </si>
  <si>
    <t xml:space="preserve">KS-870270 </t>
  </si>
  <si>
    <t>TR356843</t>
  </si>
  <si>
    <t>KS-880380</t>
  </si>
  <si>
    <t>TR356589</t>
  </si>
  <si>
    <t>KS-871482</t>
  </si>
  <si>
    <t>TR356590</t>
  </si>
  <si>
    <t>TR355270</t>
  </si>
  <si>
    <t>KS-890125</t>
  </si>
  <si>
    <t>TR355080</t>
  </si>
  <si>
    <t>KS-870820</t>
  </si>
  <si>
    <t>TR356329</t>
  </si>
  <si>
    <t>KS-881465</t>
  </si>
  <si>
    <t>TR351292</t>
  </si>
  <si>
    <t>KS-87031</t>
  </si>
  <si>
    <t>TR356144</t>
  </si>
  <si>
    <t>TR353928</t>
  </si>
  <si>
    <t>KS-880673</t>
  </si>
  <si>
    <t>TR252136</t>
  </si>
  <si>
    <t>KS-880350</t>
  </si>
  <si>
    <t>TR300347</t>
  </si>
  <si>
    <t>KS-8807</t>
  </si>
  <si>
    <t>TR356364</t>
  </si>
  <si>
    <t>KS-881473</t>
  </si>
  <si>
    <t>TR356505</t>
  </si>
  <si>
    <t>KS-881527</t>
  </si>
  <si>
    <t>TR355286</t>
  </si>
  <si>
    <t>KS-870890</t>
  </si>
  <si>
    <t>TR351833</t>
  </si>
  <si>
    <t>KS-870253</t>
  </si>
  <si>
    <t>TR354314</t>
  </si>
  <si>
    <t>KS-870252</t>
  </si>
  <si>
    <t>TR356291</t>
  </si>
  <si>
    <t>KS-881455</t>
  </si>
  <si>
    <t>TR356623</t>
  </si>
  <si>
    <t>KS-881576</t>
  </si>
  <si>
    <t>TR355878</t>
  </si>
  <si>
    <t>KS-890160</t>
  </si>
  <si>
    <t>TR355967</t>
  </si>
  <si>
    <t>KS-881330</t>
  </si>
  <si>
    <t>TR352728</t>
  </si>
  <si>
    <t>KS-880425</t>
  </si>
  <si>
    <t>TR352461</t>
  </si>
  <si>
    <t>TR351902</t>
  </si>
  <si>
    <t>TR356188</t>
  </si>
  <si>
    <t>KS-871319</t>
  </si>
  <si>
    <t>TR354066</t>
  </si>
  <si>
    <t>KS-870549</t>
  </si>
  <si>
    <t>TR355198</t>
  </si>
  <si>
    <t>KS-870861</t>
  </si>
  <si>
    <t>TR355031</t>
  </si>
  <si>
    <t>KS-881006</t>
  </si>
  <si>
    <t>TR357153</t>
  </si>
  <si>
    <t>TR353498</t>
  </si>
  <si>
    <t>KS-880575</t>
  </si>
  <si>
    <t>TR355770</t>
  </si>
  <si>
    <t>KS-870197</t>
  </si>
  <si>
    <t>TR355820</t>
  </si>
  <si>
    <t>KS-872020</t>
  </si>
  <si>
    <t>TR356877</t>
  </si>
  <si>
    <t>TR351379</t>
  </si>
  <si>
    <t>KS-8307</t>
  </si>
  <si>
    <t>TR356215</t>
  </si>
  <si>
    <t>KS-871341</t>
  </si>
  <si>
    <t>TR355235</t>
  </si>
  <si>
    <t>KS-870849</t>
  </si>
  <si>
    <t>TR351613</t>
  </si>
  <si>
    <t>KS-88345</t>
  </si>
  <si>
    <t>TR355208</t>
  </si>
  <si>
    <t>KS-881057</t>
  </si>
  <si>
    <t>TR357029</t>
  </si>
  <si>
    <t>KS-89082</t>
  </si>
  <si>
    <t>TR354466</t>
  </si>
  <si>
    <t>TR355366</t>
  </si>
  <si>
    <t>KS-89046</t>
  </si>
  <si>
    <t>TR353519</t>
  </si>
  <si>
    <t>TR353076</t>
  </si>
  <si>
    <t>KS-87233</t>
  </si>
  <si>
    <t>TR354797</t>
  </si>
  <si>
    <t>KS-880430</t>
  </si>
  <si>
    <t>TR356463</t>
  </si>
  <si>
    <t>KS-890209</t>
  </si>
  <si>
    <t>TR351288</t>
  </si>
  <si>
    <t>KS-87030</t>
  </si>
  <si>
    <t>TR356260</t>
  </si>
  <si>
    <t>KS-881438</t>
  </si>
  <si>
    <t>TR357033</t>
  </si>
  <si>
    <t>KS-870894</t>
  </si>
  <si>
    <t>TR355298</t>
  </si>
  <si>
    <t>TR357032</t>
  </si>
  <si>
    <t>KS-890106</t>
  </si>
  <si>
    <t>TR357031</t>
  </si>
  <si>
    <t>KS-880721</t>
  </si>
  <si>
    <t>TR353722</t>
  </si>
  <si>
    <t>KS-890B01</t>
  </si>
  <si>
    <t>TR354288</t>
  </si>
  <si>
    <t>KS-880753</t>
  </si>
  <si>
    <t>TR356330</t>
  </si>
  <si>
    <t>KS-881459</t>
  </si>
  <si>
    <t>TR355910</t>
  </si>
  <si>
    <t>TR355136</t>
  </si>
  <si>
    <t>KS-881041</t>
  </si>
  <si>
    <t>TR354239</t>
  </si>
  <si>
    <t>KS-870582</t>
  </si>
  <si>
    <t>TR355034</t>
  </si>
  <si>
    <t>KS-870814</t>
  </si>
  <si>
    <t>TR356027</t>
  </si>
  <si>
    <t>KS-881336</t>
  </si>
  <si>
    <t>TR355276</t>
  </si>
  <si>
    <t>KS-881080</t>
  </si>
  <si>
    <t>TR356716</t>
  </si>
  <si>
    <t>KS-880975</t>
  </si>
  <si>
    <t>TR356457</t>
  </si>
  <si>
    <t>KS-871419</t>
  </si>
  <si>
    <t>TR357089</t>
  </si>
  <si>
    <t>KS-871624</t>
  </si>
  <si>
    <t>TR356995</t>
  </si>
  <si>
    <t>KS-881697</t>
  </si>
  <si>
    <t>TR356300</t>
  </si>
  <si>
    <t>KS-881462</t>
  </si>
  <si>
    <t>TR356226</t>
  </si>
  <si>
    <t>KS-881423</t>
  </si>
  <si>
    <t>TR352431</t>
  </si>
  <si>
    <t>KS-880374</t>
  </si>
  <si>
    <t>TR356519</t>
  </si>
  <si>
    <t>KS-881490</t>
  </si>
  <si>
    <t>TR355199</t>
  </si>
  <si>
    <t>KS-881047</t>
  </si>
  <si>
    <t xml:space="preserve"> </t>
  </si>
  <si>
    <t xml:space="preserve">  </t>
  </si>
  <si>
    <t xml:space="preserve">          </t>
  </si>
  <si>
    <t xml:space="preserve">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</si>
  <si>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</si>
  <si>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</si>
  <si>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</si>
  <si>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</si>
  <si>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</t>
  </si>
  <si>
    <t>`</t>
  </si>
  <si>
    <r>
      <rPr>
        <b/>
        <sz val="16"/>
        <color theme="1"/>
        <rFont val="Times New Roman"/>
        <family val="1"/>
      </rPr>
      <t xml:space="preserve">  </t>
    </r>
    <r>
      <rPr>
        <b/>
        <sz val="16"/>
        <color theme="1"/>
        <rFont val="바탕"/>
        <family val="1"/>
        <charset val="129"/>
      </rPr>
      <t>월</t>
    </r>
    <r>
      <rPr>
        <b/>
        <sz val="16"/>
        <color theme="1"/>
        <rFont val="Times New Roman"/>
        <family val="1"/>
      </rPr>
      <t xml:space="preserve">  </t>
    </r>
    <r>
      <rPr>
        <b/>
        <sz val="16"/>
        <color theme="1"/>
        <rFont val="바탕"/>
        <family val="1"/>
        <charset val="129"/>
      </rPr>
      <t>출고</t>
    </r>
    <r>
      <rPr>
        <b/>
        <sz val="16"/>
        <color theme="1"/>
        <rFont val="Times New Roman"/>
        <family val="1"/>
      </rPr>
      <t xml:space="preserve"> XUẤT HÀNG</t>
    </r>
  </si>
  <si>
    <r>
      <rPr>
        <sz val="10"/>
        <color theme="1"/>
        <rFont val="바탕"/>
        <family val="1"/>
        <charset val="129"/>
      </rPr>
      <t xml:space="preserve">모델명
</t>
    </r>
    <r>
      <rPr>
        <sz val="10"/>
        <color theme="1"/>
        <rFont val="Times New Roman"/>
        <family val="1"/>
      </rPr>
      <t>Model</t>
    </r>
  </si>
  <si>
    <t xml:space="preserve">TT XUẤT </t>
  </si>
  <si>
    <t xml:space="preserve">DATE </t>
  </si>
  <si>
    <t>KS-870449</t>
  </si>
  <si>
    <t>KS880944</t>
  </si>
  <si>
    <t>TỔNG</t>
  </si>
  <si>
    <t xml:space="preserve"> (INPUT)</t>
  </si>
  <si>
    <t>CODE</t>
  </si>
  <si>
    <t>DESCRIPTION</t>
  </si>
  <si>
    <t>DATE</t>
  </si>
  <si>
    <t>Lot No</t>
  </si>
  <si>
    <t>Qty</t>
  </si>
  <si>
    <t>Remark</t>
  </si>
  <si>
    <t xml:space="preserve"> (OUTPUT)</t>
  </si>
  <si>
    <t>Item</t>
  </si>
  <si>
    <t>전산코드
Mã ERP</t>
  </si>
  <si>
    <t>모델명
Model</t>
  </si>
  <si>
    <t>주요 출하 고객/ Khách hàng</t>
  </si>
  <si>
    <t>온도
Nhiệt độ</t>
  </si>
  <si>
    <t>박스단위
Quy cách     ĐG</t>
  </si>
  <si>
    <t>Rev No.</t>
  </si>
  <si>
    <t>사용장비
Máy</t>
  </si>
  <si>
    <t>입고
Nhập</t>
  </si>
  <si>
    <t>출고 
XUẤT</t>
  </si>
  <si>
    <t>양품 재고 
FG WH</t>
  </si>
  <si>
    <t>tồn thực tế tháng trk</t>
  </si>
  <si>
    <t>Xuất bán (Sales)</t>
  </si>
  <si>
    <t>Wait shipment</t>
  </si>
  <si>
    <t>Xuất Nội bộ (QA,nghiền)</t>
  </si>
  <si>
    <t>Xuất Mẫu (Sample)</t>
  </si>
  <si>
    <t xml:space="preserve">        </t>
  </si>
  <si>
    <t>TRAY</t>
  </si>
  <si>
    <t>M(50)</t>
  </si>
  <si>
    <t>Rev06</t>
  </si>
  <si>
    <t>ATP</t>
  </si>
  <si>
    <t>K/150</t>
  </si>
  <si>
    <t>Rev03</t>
  </si>
  <si>
    <t>ASEM</t>
  </si>
  <si>
    <t>K/140</t>
  </si>
  <si>
    <t>200Ton</t>
  </si>
  <si>
    <t>AMKOR-PH</t>
  </si>
  <si>
    <t>AMKOR-JP</t>
  </si>
  <si>
    <t>Rev04</t>
  </si>
  <si>
    <t>CARSEM</t>
  </si>
  <si>
    <t>Rev01</t>
  </si>
  <si>
    <t>MMY</t>
  </si>
  <si>
    <t>K/125</t>
  </si>
  <si>
    <t>M(100)</t>
  </si>
  <si>
    <t>Rev.K</t>
  </si>
  <si>
    <t>TOMOE-T</t>
  </si>
  <si>
    <t>Rev00</t>
  </si>
  <si>
    <t xml:space="preserve">XVIEW </t>
  </si>
  <si>
    <t>ATEC</t>
  </si>
  <si>
    <t>Tomoe-TH</t>
  </si>
  <si>
    <t>300Ton</t>
  </si>
  <si>
    <t>ATJ</t>
  </si>
  <si>
    <t>120/150</t>
  </si>
  <si>
    <t>DHL MY(INTEL)</t>
  </si>
  <si>
    <t>Amkor PH</t>
  </si>
  <si>
    <t>ASE-TW</t>
  </si>
  <si>
    <t>S(50)</t>
  </si>
  <si>
    <t>ASE PH</t>
  </si>
  <si>
    <t>UTAC-TH</t>
  </si>
  <si>
    <t>Tong Hsing</t>
  </si>
  <si>
    <t>ADI-MY</t>
  </si>
  <si>
    <t>Anstek</t>
  </si>
  <si>
    <t>ASE TEST</t>
  </si>
  <si>
    <t>VALLEN</t>
  </si>
  <si>
    <t xml:space="preserve">AMKOR CN </t>
  </si>
  <si>
    <t>ASE TW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</si>
  <si>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</t>
  </si>
  <si>
    <t>Rev02</t>
  </si>
  <si>
    <t>125/150</t>
  </si>
  <si>
    <t>ATEC-PH</t>
  </si>
  <si>
    <t>SKYWORKS</t>
  </si>
  <si>
    <t xml:space="preserve"> TI USA</t>
  </si>
  <si>
    <t>K/180</t>
  </si>
  <si>
    <t>ASE KR</t>
  </si>
  <si>
    <t>Unisem</t>
  </si>
  <si>
    <t>CARSEM CN</t>
  </si>
  <si>
    <t>Solstice</t>
  </si>
  <si>
    <t>ONSEMI</t>
  </si>
  <si>
    <t>AMKOR PH</t>
  </si>
  <si>
    <t>ILLUMINA</t>
  </si>
  <si>
    <t>PTI-TW</t>
  </si>
  <si>
    <t>ADI PH</t>
  </si>
  <si>
    <t>MICROCHIP</t>
  </si>
  <si>
    <t>125.150</t>
  </si>
  <si>
    <t>(25)</t>
  </si>
  <si>
    <t>AMKOR</t>
  </si>
  <si>
    <t>(S25)</t>
  </si>
  <si>
    <t>PEGATRON</t>
  </si>
  <si>
    <t>Bring in</t>
  </si>
  <si>
    <t>ATV</t>
  </si>
  <si>
    <t>on semi swiss</t>
  </si>
  <si>
    <t>NanYa</t>
  </si>
  <si>
    <t>MICRON-SG(WH)</t>
  </si>
  <si>
    <t>AVNET-SG</t>
  </si>
  <si>
    <t>XVIEW</t>
  </si>
  <si>
    <t>SPIL C/S</t>
  </si>
  <si>
    <t>SP/140</t>
  </si>
  <si>
    <t>MAXIM</t>
  </si>
  <si>
    <t>SK hynix</t>
  </si>
  <si>
    <t>PTI TW</t>
  </si>
  <si>
    <t>K/130</t>
  </si>
  <si>
    <t>ADI MY</t>
  </si>
  <si>
    <t>INTEL</t>
  </si>
  <si>
    <t>MICRON-SG</t>
  </si>
  <si>
    <t>IBM/150</t>
  </si>
  <si>
    <t>ECO TECH</t>
  </si>
  <si>
    <t>Micron</t>
  </si>
  <si>
    <t>ECOTECH</t>
  </si>
  <si>
    <t>Micron-TW</t>
  </si>
  <si>
    <t>A/125.150</t>
  </si>
  <si>
    <t>BRCM(MY)</t>
  </si>
  <si>
    <t>S(100)</t>
  </si>
  <si>
    <t>MICRON</t>
  </si>
  <si>
    <t>APACT</t>
  </si>
  <si>
    <t>SPIL Z/X</t>
  </si>
  <si>
    <t>ATC</t>
  </si>
  <si>
    <t>JSCK</t>
  </si>
  <si>
    <t>MSB</t>
  </si>
  <si>
    <t xml:space="preserve">                                                                                           </t>
  </si>
  <si>
    <t>MMP</t>
  </si>
  <si>
    <t xml:space="preserve">SKYWORKS </t>
  </si>
  <si>
    <t>DHL PH(4024)</t>
  </si>
  <si>
    <t>ATK</t>
  </si>
  <si>
    <t>SEC/시그네틱스</t>
  </si>
  <si>
    <t>ICB1007</t>
  </si>
  <si>
    <t>MXA</t>
  </si>
  <si>
    <t>INFINEON-TH</t>
  </si>
  <si>
    <t>SPIL Z/K</t>
  </si>
  <si>
    <t>XILINX</t>
  </si>
  <si>
    <t>UTAC-SG</t>
  </si>
  <si>
    <t>M(30)</t>
  </si>
  <si>
    <t>S(30)</t>
  </si>
  <si>
    <t>M(24)</t>
  </si>
  <si>
    <t>FOXCONN</t>
  </si>
  <si>
    <t>INFINEON</t>
  </si>
  <si>
    <t>GN 125/180</t>
  </si>
  <si>
    <t>FUYU</t>
  </si>
  <si>
    <t>MICROCHIP-US</t>
  </si>
  <si>
    <t>SPIL D/F</t>
  </si>
  <si>
    <t>KYEC</t>
  </si>
  <si>
    <t>GRAND TOTAL</t>
  </si>
  <si>
    <t xml:space="preserve">    </t>
  </si>
  <si>
    <t>Code</t>
  </si>
  <si>
    <t xml:space="preserve">Tên </t>
  </si>
  <si>
    <t>Lot</t>
  </si>
  <si>
    <t>Số Lượng</t>
  </si>
  <si>
    <t>Tồn kho</t>
  </si>
  <si>
    <t>TV20260823011</t>
  </si>
  <si>
    <t>TV20260823010</t>
  </si>
  <si>
    <t>Tổng</t>
  </si>
  <si>
    <t>tồn c</t>
  </si>
  <si>
    <t>TV20260729014</t>
  </si>
  <si>
    <t>TV20260821007</t>
  </si>
  <si>
    <t>TV20260822018</t>
  </si>
  <si>
    <t>TV20260826008</t>
  </si>
  <si>
    <t>TV20260826009</t>
  </si>
  <si>
    <r>
      <rPr>
        <sz val="11"/>
        <color theme="1"/>
        <rFont val="Times New Roman"/>
        <family val="1"/>
      </rPr>
      <t>TỒN C</t>
    </r>
    <r>
      <rPr>
        <sz val="11"/>
        <color theme="1"/>
        <rFont val="바탕"/>
        <family val="1"/>
        <charset val="129"/>
      </rPr>
      <t>Ũ</t>
    </r>
  </si>
  <si>
    <t>TV20260829015</t>
  </si>
  <si>
    <t>TV20260831008</t>
  </si>
  <si>
    <t>TV20260827008</t>
  </si>
  <si>
    <t>TV20260828007</t>
  </si>
  <si>
    <t>TV20260903012</t>
  </si>
  <si>
    <t>TV20260717003</t>
  </si>
  <si>
    <t>TV20260730031</t>
  </si>
  <si>
    <t>TV20260804016</t>
  </si>
  <si>
    <t>TV20260815004</t>
  </si>
  <si>
    <t>TV20260809027</t>
  </si>
  <si>
    <t>TK20260910021</t>
  </si>
  <si>
    <t>TV20260805050</t>
  </si>
  <si>
    <t>TV20260804002</t>
  </si>
  <si>
    <r>
      <rPr>
        <sz val="11"/>
        <color theme="1"/>
        <rFont val="Times New Roman"/>
        <family val="1"/>
      </rPr>
      <t>tồn c</t>
    </r>
    <r>
      <rPr>
        <sz val="11"/>
        <color theme="1"/>
        <rFont val="바탕"/>
        <family val="1"/>
        <charset val="129"/>
      </rPr>
      <t>ũ</t>
    </r>
  </si>
  <si>
    <t>TV20260727014</t>
  </si>
  <si>
    <t>TV20260729011</t>
  </si>
  <si>
    <t>TV20260903001</t>
  </si>
  <si>
    <t>TV20260903002</t>
  </si>
  <si>
    <t>TV20260903003</t>
  </si>
  <si>
    <t>TV20260903004</t>
  </si>
  <si>
    <t>TV20260904001</t>
  </si>
  <si>
    <t>TV20260904004</t>
  </si>
  <si>
    <t>TV20260904002</t>
  </si>
  <si>
    <t>TV20260808008</t>
  </si>
  <si>
    <t>TV20260805031</t>
  </si>
  <si>
    <t>TV20260807013</t>
  </si>
  <si>
    <t>TV20260807014</t>
  </si>
  <si>
    <t>TV20260807012</t>
  </si>
  <si>
    <t>TV20260808052</t>
  </si>
  <si>
    <t>TV20260809010</t>
  </si>
  <si>
    <t>TV20260903016</t>
  </si>
  <si>
    <t>TV20260904018</t>
  </si>
  <si>
    <t>TV20260805048</t>
  </si>
  <si>
    <t>TV20260808046</t>
  </si>
  <si>
    <t>TV20260829022</t>
  </si>
  <si>
    <t>TV20260830018</t>
  </si>
  <si>
    <t>TV20260829023</t>
  </si>
  <si>
    <t>TV20260725021</t>
  </si>
  <si>
    <t>TV20260725022</t>
  </si>
  <si>
    <t>TV20260725024</t>
  </si>
  <si>
    <t>TV20260807001</t>
  </si>
  <si>
    <t>TV20260808053</t>
  </si>
  <si>
    <r>
      <rPr>
        <sz val="11"/>
        <color theme="1"/>
        <rFont val="Times New Roman"/>
        <family val="1"/>
      </rPr>
      <t>tồn c</t>
    </r>
    <r>
      <rPr>
        <sz val="11"/>
        <color theme="1"/>
        <rFont val="돋움"/>
        <family val="3"/>
        <charset val="129"/>
      </rPr>
      <t>ũ</t>
    </r>
  </si>
  <si>
    <t>TV20260729002</t>
  </si>
  <si>
    <t>TV20260808043</t>
  </si>
  <si>
    <r>
      <rPr>
        <sz val="11"/>
        <color theme="1"/>
        <rFont val="Times New Roman"/>
        <family val="1"/>
      </rPr>
      <t>c</t>
    </r>
    <r>
      <rPr>
        <sz val="11"/>
        <color theme="1"/>
        <rFont val="바탕"/>
        <family val="1"/>
        <charset val="129"/>
      </rPr>
      <t>ũ</t>
    </r>
  </si>
  <si>
    <t>TV20260807016</t>
  </si>
  <si>
    <t>TV20260811020</t>
  </si>
  <si>
    <t>TV20260810001</t>
  </si>
  <si>
    <t>TV20260810011</t>
  </si>
  <si>
    <t>TV20260723024</t>
  </si>
  <si>
    <t>TV20260723025</t>
  </si>
  <si>
    <t>TV20260708017</t>
  </si>
  <si>
    <t>TV20260710014</t>
  </si>
  <si>
    <t>TV20260709006</t>
  </si>
  <si>
    <t>TV20260709007</t>
  </si>
  <si>
    <t>TV20260731046</t>
  </si>
  <si>
    <t>TV20260708018</t>
  </si>
  <si>
    <t>TV20260731045</t>
  </si>
  <si>
    <t>TV20260814020</t>
  </si>
  <si>
    <t>TV20260814019</t>
  </si>
  <si>
    <t>TV20260826014</t>
  </si>
  <si>
    <t>TV20260817025</t>
  </si>
  <si>
    <t>TV20260828032</t>
  </si>
  <si>
    <t>TV20260828031</t>
  </si>
  <si>
    <t>TV20260817036</t>
  </si>
  <si>
    <t>TV20260812022</t>
  </si>
  <si>
    <t>TV20260812023</t>
  </si>
  <si>
    <t>TV20260812024</t>
  </si>
  <si>
    <t>TV20260820017</t>
  </si>
  <si>
    <t>TV20260831029</t>
  </si>
  <si>
    <t>TV20260830011</t>
  </si>
  <si>
    <t>TV20260820020</t>
  </si>
  <si>
    <t>TV20260820019</t>
  </si>
  <si>
    <t>TV20260812025</t>
  </si>
  <si>
    <t>TV20260825002</t>
  </si>
  <si>
    <t>TV20260823009</t>
  </si>
  <si>
    <t>TV20260822027</t>
  </si>
  <si>
    <t>TV20260827023</t>
  </si>
  <si>
    <t>TV20260826003</t>
  </si>
  <si>
    <t>TV20260827002</t>
  </si>
  <si>
    <t>TV20260904008</t>
  </si>
  <si>
    <t>TV20260904007</t>
  </si>
  <si>
    <t>TV20260907034</t>
  </si>
  <si>
    <t>TV20260910028</t>
  </si>
  <si>
    <t>TV20260909003</t>
  </si>
  <si>
    <t>TV20260910027</t>
  </si>
  <si>
    <t>TV20260908023</t>
  </si>
  <si>
    <t>TV20260908024</t>
  </si>
  <si>
    <t>Stt</t>
  </si>
  <si>
    <t>Tên</t>
  </si>
  <si>
    <t>TT</t>
  </si>
  <si>
    <t>Xuất NVL     Đóng gói T08</t>
  </si>
  <si>
    <t>M50 /1001</t>
  </si>
  <si>
    <t>S50 /1002</t>
  </si>
  <si>
    <t>Tấm lót thùng</t>
  </si>
  <si>
    <t>Nắp pallet</t>
  </si>
  <si>
    <t>Pallet 1m1</t>
  </si>
  <si>
    <t>Pallet 1m3</t>
  </si>
  <si>
    <t>Túi bóng ( kg)</t>
  </si>
  <si>
    <t>Nhập</t>
  </si>
  <si>
    <t>tồn đầu</t>
  </si>
  <si>
    <t>Xuất</t>
  </si>
  <si>
    <t>Đã xuất</t>
  </si>
  <si>
    <t xml:space="preserve"> Nhập</t>
  </si>
  <si>
    <t>Tồn OK</t>
  </si>
  <si>
    <t>Reuse Tray</t>
  </si>
  <si>
    <t>TR355918</t>
    <phoneticPr fontId="73" type="noConversion"/>
  </si>
  <si>
    <t>TR351317</t>
    <phoneticPr fontId="73" type="noConversion"/>
  </si>
  <si>
    <t>KS-87049</t>
    <phoneticPr fontId="73" type="noConversion"/>
  </si>
  <si>
    <t>KS-87049</t>
    <phoneticPr fontId="73" type="noConversion"/>
  </si>
  <si>
    <t>KS-871419</t>
    <phoneticPr fontId="73" type="noConversion"/>
  </si>
  <si>
    <t>KS-871419</t>
    <phoneticPr fontId="73" type="noConversion"/>
  </si>
  <si>
    <t>TR356457</t>
    <phoneticPr fontId="73" type="noConversion"/>
  </si>
  <si>
    <t>TR356457</t>
    <phoneticPr fontId="73" type="noConversion"/>
  </si>
  <si>
    <t>TV20260911036</t>
    <phoneticPr fontId="73" type="noConversion"/>
  </si>
  <si>
    <t>TR352031</t>
    <phoneticPr fontId="73" type="noConversion"/>
  </si>
  <si>
    <t>TV20260910013</t>
    <phoneticPr fontId="73" type="noConversion"/>
  </si>
  <si>
    <t>TR355039</t>
    <phoneticPr fontId="73" type="noConversion"/>
  </si>
  <si>
    <t>TV20260908013</t>
    <phoneticPr fontId="73" type="noConversion"/>
  </si>
  <si>
    <t>TV20260907014</t>
    <phoneticPr fontId="73" type="noConversion"/>
  </si>
  <si>
    <t>TV20260907013</t>
    <phoneticPr fontId="73" type="noConversion"/>
  </si>
  <si>
    <t>TV20260905005</t>
    <phoneticPr fontId="73" type="noConversion"/>
  </si>
  <si>
    <t>TR355270</t>
    <phoneticPr fontId="73" type="noConversion"/>
  </si>
  <si>
    <t>TR354773</t>
    <phoneticPr fontId="73" type="noConversion"/>
  </si>
  <si>
    <t>TR354809</t>
    <phoneticPr fontId="73" type="noConversion"/>
  </si>
  <si>
    <t>TR356995</t>
    <phoneticPr fontId="73" type="noConversion"/>
  </si>
  <si>
    <t>TR352902</t>
    <phoneticPr fontId="73" type="noConversion"/>
  </si>
  <si>
    <t>TV20260829010</t>
    <phoneticPr fontId="73" type="noConversion"/>
  </si>
  <si>
    <t>TR355713</t>
    <phoneticPr fontId="73" type="noConversion"/>
  </si>
  <si>
    <t xml:space="preserve">KS-870270 </t>
    <phoneticPr fontId="73" type="noConversion"/>
  </si>
  <si>
    <t xml:space="preserve">KS-870270 </t>
    <phoneticPr fontId="73" type="noConversion"/>
  </si>
  <si>
    <t>TK20260910020</t>
    <phoneticPr fontId="73" type="noConversion"/>
  </si>
  <si>
    <t>TK20260911059</t>
    <phoneticPr fontId="73" type="noConversion"/>
  </si>
  <si>
    <t>TV20260911045</t>
    <phoneticPr fontId="73" type="noConversion"/>
  </si>
  <si>
    <t>TV20260910012</t>
    <phoneticPr fontId="73" type="noConversion"/>
  </si>
  <si>
    <t>TV20260531004</t>
    <phoneticPr fontId="73" type="noConversion"/>
  </si>
  <si>
    <t>TR355136</t>
    <phoneticPr fontId="73" type="noConversion"/>
  </si>
  <si>
    <t>KS-881041</t>
    <phoneticPr fontId="73" type="noConversion"/>
  </si>
  <si>
    <t>TV20260904003</t>
    <phoneticPr fontId="73" type="noConversion"/>
  </si>
  <si>
    <t>TV20260905019</t>
    <phoneticPr fontId="73" type="noConversion"/>
  </si>
  <si>
    <t>TV20260907018</t>
    <phoneticPr fontId="73" type="noConversion"/>
  </si>
  <si>
    <t>TV20260910023</t>
    <phoneticPr fontId="73" type="noConversion"/>
  </si>
  <si>
    <t>TV20260910022</t>
    <phoneticPr fontId="73" type="noConversion"/>
  </si>
  <si>
    <t>TR354395</t>
    <phoneticPr fontId="73" type="noConversion"/>
  </si>
  <si>
    <t>TR354395</t>
    <phoneticPr fontId="73" type="noConversion"/>
  </si>
  <si>
    <t>KS-880760</t>
    <phoneticPr fontId="73" type="noConversion"/>
  </si>
  <si>
    <t>TV20260908007</t>
    <phoneticPr fontId="73" type="noConversion"/>
  </si>
  <si>
    <t>TV20260908008</t>
    <phoneticPr fontId="73" type="noConversion"/>
  </si>
  <si>
    <t>TV20260530026</t>
    <phoneticPr fontId="73" type="noConversion"/>
  </si>
  <si>
    <r>
      <t>tồn c</t>
    </r>
    <r>
      <rPr>
        <sz val="11"/>
        <color theme="1"/>
        <rFont val="바탕"/>
        <family val="1"/>
        <charset val="129"/>
      </rPr>
      <t>ũ</t>
    </r>
    <phoneticPr fontId="73" type="noConversion"/>
  </si>
  <si>
    <t>TR351743</t>
    <phoneticPr fontId="73" type="noConversion"/>
  </si>
  <si>
    <t>TR355134</t>
    <phoneticPr fontId="73" type="noConversion"/>
  </si>
  <si>
    <t>TK20260912012</t>
    <phoneticPr fontId="73" type="noConversion"/>
  </si>
  <si>
    <t>TV20260908014</t>
    <phoneticPr fontId="73" type="noConversion"/>
  </si>
  <si>
    <t>KS-881487</t>
    <phoneticPr fontId="73" type="noConversion"/>
  </si>
  <si>
    <t>TR356422</t>
    <phoneticPr fontId="73" type="noConversion"/>
  </si>
  <si>
    <t>TV20260908003</t>
    <phoneticPr fontId="73" type="noConversion"/>
  </si>
  <si>
    <t>TR352292</t>
    <phoneticPr fontId="73" type="noConversion"/>
  </si>
  <si>
    <t>KS-870283</t>
    <phoneticPr fontId="73" type="noConversion"/>
  </si>
  <si>
    <t>TV20260912004</t>
    <phoneticPr fontId="73" type="noConversion"/>
  </si>
  <si>
    <t>TV20260831027</t>
    <phoneticPr fontId="73" type="noConversion"/>
  </si>
  <si>
    <t>TV20260830007</t>
    <phoneticPr fontId="73" type="noConversion"/>
  </si>
  <si>
    <t>TV20260831028</t>
    <phoneticPr fontId="73" type="noConversion"/>
  </si>
  <si>
    <t>TV20260912011</t>
    <phoneticPr fontId="73" type="noConversion"/>
  </si>
  <si>
    <t>TR356329</t>
    <phoneticPr fontId="73" type="noConversion"/>
  </si>
  <si>
    <t>TV20260913018</t>
    <phoneticPr fontId="73" type="noConversion"/>
  </si>
  <si>
    <t>TV20260912023</t>
    <phoneticPr fontId="73" type="noConversion"/>
  </si>
  <si>
    <t>TV20260907026</t>
    <phoneticPr fontId="73" type="noConversion"/>
  </si>
  <si>
    <t>TV20260905022</t>
    <phoneticPr fontId="73" type="noConversion"/>
  </si>
  <si>
    <t>TV20260905020</t>
    <phoneticPr fontId="73" type="noConversion"/>
  </si>
  <si>
    <t>TV20260907027</t>
    <phoneticPr fontId="73" type="noConversion"/>
  </si>
  <si>
    <t>TV20260905021</t>
    <phoneticPr fontId="73" type="noConversion"/>
  </si>
  <si>
    <t>TV20260912033</t>
    <phoneticPr fontId="73" type="noConversion"/>
  </si>
  <si>
    <t>KS-870996</t>
    <phoneticPr fontId="73" type="noConversion"/>
  </si>
  <si>
    <t>TR355199</t>
    <phoneticPr fontId="73" type="noConversion"/>
  </si>
  <si>
    <t>KS-881047</t>
    <phoneticPr fontId="73" type="noConversion"/>
  </si>
  <si>
    <t>KS-881047</t>
    <phoneticPr fontId="73" type="noConversion"/>
  </si>
  <si>
    <t>TK20260912013</t>
    <phoneticPr fontId="73" type="noConversion"/>
  </si>
  <si>
    <t>TV20260912005</t>
    <phoneticPr fontId="73" type="noConversion"/>
  </si>
  <si>
    <t>TV20260913025</t>
    <phoneticPr fontId="73" type="noConversion"/>
  </si>
  <si>
    <t>TR352009</t>
    <phoneticPr fontId="73" type="noConversion"/>
  </si>
  <si>
    <t>KS-84018</t>
    <phoneticPr fontId="73" type="noConversion"/>
  </si>
  <si>
    <t>KS-84018</t>
    <phoneticPr fontId="73" type="noConversion"/>
  </si>
  <si>
    <t>TR350607</t>
    <phoneticPr fontId="73" type="noConversion"/>
  </si>
  <si>
    <t>TR350607</t>
    <phoneticPr fontId="73" type="noConversion"/>
  </si>
  <si>
    <t>TV20260910036</t>
    <phoneticPr fontId="73" type="noConversion"/>
  </si>
  <si>
    <t>TV20260910019</t>
    <phoneticPr fontId="73" type="noConversion"/>
  </si>
  <si>
    <t>TV20260910018</t>
    <phoneticPr fontId="73" type="noConversion"/>
  </si>
  <si>
    <t>TV20260914007</t>
    <phoneticPr fontId="73" type="noConversion"/>
  </si>
  <si>
    <t>TV20260914008</t>
    <phoneticPr fontId="73" type="noConversion"/>
  </si>
  <si>
    <t>KS-870996</t>
    <phoneticPr fontId="73" type="noConversion"/>
  </si>
  <si>
    <t>TR351941</t>
    <phoneticPr fontId="73" type="noConversion"/>
  </si>
  <si>
    <t>TV20260911049</t>
    <phoneticPr fontId="73" type="noConversion"/>
  </si>
  <si>
    <t>TV20260912001</t>
  </si>
  <si>
    <t>TV20260912002</t>
  </si>
  <si>
    <t>TV20260912003</t>
  </si>
  <si>
    <t>TR354821</t>
    <phoneticPr fontId="73" type="noConversion"/>
  </si>
  <si>
    <t>TV20260911050</t>
    <phoneticPr fontId="73" type="noConversion"/>
  </si>
  <si>
    <t>TV20260914009</t>
    <phoneticPr fontId="73" type="noConversion"/>
  </si>
  <si>
    <t>TK20260913008</t>
    <phoneticPr fontId="73" type="noConversion"/>
  </si>
  <si>
    <t>TV20260915020</t>
    <phoneticPr fontId="73" type="noConversion"/>
  </si>
  <si>
    <t>TR352576</t>
    <phoneticPr fontId="73" type="noConversion"/>
  </si>
  <si>
    <t>TR356228</t>
    <phoneticPr fontId="73" type="noConversion"/>
  </si>
  <si>
    <t>TR356228</t>
    <phoneticPr fontId="73" type="noConversion"/>
  </si>
  <si>
    <t>KS-871348</t>
    <phoneticPr fontId="73" type="noConversion"/>
  </si>
  <si>
    <t>KS-871348</t>
    <phoneticPr fontId="73" type="noConversion"/>
  </si>
  <si>
    <t>TR352136</t>
    <phoneticPr fontId="73" type="noConversion"/>
  </si>
  <si>
    <t>Ase tw</t>
    <phoneticPr fontId="73" type="noConversion"/>
  </si>
  <si>
    <t>TR351434</t>
    <phoneticPr fontId="73" type="noConversion"/>
  </si>
  <si>
    <t>TR355201</t>
    <phoneticPr fontId="73" type="noConversion"/>
  </si>
  <si>
    <t>TR353639</t>
    <phoneticPr fontId="73" type="noConversion"/>
  </si>
  <si>
    <t>KS-86028</t>
    <phoneticPr fontId="73" type="noConversion"/>
  </si>
  <si>
    <t>KS-86028</t>
    <phoneticPr fontId="73" type="noConversion"/>
  </si>
  <si>
    <t>TR353639</t>
    <phoneticPr fontId="73" type="noConversion"/>
  </si>
  <si>
    <t>TV20260915012</t>
    <phoneticPr fontId="73" type="noConversion"/>
  </si>
  <si>
    <t>TV20260915013</t>
    <phoneticPr fontId="73" type="noConversion"/>
  </si>
  <si>
    <t>TK20260915018</t>
    <phoneticPr fontId="73" type="noConversion"/>
  </si>
  <si>
    <t>TK20260914032</t>
    <phoneticPr fontId="73" type="noConversion"/>
  </si>
  <si>
    <t>TK20260914033</t>
    <phoneticPr fontId="73" type="noConversion"/>
  </si>
  <si>
    <t>TV20260914017</t>
    <phoneticPr fontId="73" type="noConversion"/>
  </si>
  <si>
    <t>TR300016</t>
    <phoneticPr fontId="73" type="noConversion"/>
  </si>
  <si>
    <t>TR300016</t>
    <phoneticPr fontId="73" type="noConversion"/>
  </si>
  <si>
    <t>TK20260913007</t>
    <phoneticPr fontId="73" type="noConversion"/>
  </si>
  <si>
    <t>TV20260916008</t>
    <phoneticPr fontId="73" type="noConversion"/>
  </si>
  <si>
    <r>
      <t>tồn c</t>
    </r>
    <r>
      <rPr>
        <sz val="12"/>
        <color theme="1"/>
        <rFont val="바탕"/>
        <family val="1"/>
        <charset val="129"/>
      </rPr>
      <t>ũ</t>
    </r>
    <phoneticPr fontId="73" type="noConversion"/>
  </si>
  <si>
    <t>TR354840</t>
    <phoneticPr fontId="73" type="noConversion"/>
  </si>
  <si>
    <t>TR354823</t>
    <phoneticPr fontId="73" type="noConversion"/>
  </si>
  <si>
    <t>TR354632</t>
    <phoneticPr fontId="73" type="noConversion"/>
  </si>
  <si>
    <t>TR351718</t>
    <phoneticPr fontId="73" type="noConversion"/>
  </si>
  <si>
    <t>M(30)</t>
    <phoneticPr fontId="73" type="noConversion"/>
  </si>
  <si>
    <t>TR356379</t>
    <phoneticPr fontId="73" type="noConversion"/>
  </si>
  <si>
    <t>TR354226</t>
    <phoneticPr fontId="73" type="noConversion"/>
  </si>
  <si>
    <t>TR352805</t>
    <phoneticPr fontId="73" type="noConversion"/>
  </si>
  <si>
    <t>KS-86025</t>
    <phoneticPr fontId="73" type="noConversion"/>
  </si>
  <si>
    <t>TR352805</t>
    <phoneticPr fontId="73" type="noConversion"/>
  </si>
  <si>
    <t>KS-881487</t>
    <phoneticPr fontId="73" type="noConversion"/>
  </si>
  <si>
    <t>TK20260915019</t>
    <phoneticPr fontId="73" type="noConversion"/>
  </si>
  <si>
    <t>KS-880910</t>
    <phoneticPr fontId="73" type="noConversion"/>
  </si>
  <si>
    <t>TR354759</t>
    <phoneticPr fontId="73" type="noConversion"/>
  </si>
  <si>
    <t>TV20260916009</t>
    <phoneticPr fontId="73" type="noConversion"/>
  </si>
  <si>
    <t>TV20260917009</t>
    <phoneticPr fontId="73" type="noConversion"/>
  </si>
  <si>
    <t>KS-89069</t>
    <phoneticPr fontId="73" type="noConversion"/>
  </si>
  <si>
    <t>TV20260817013</t>
  </si>
  <si>
    <t>TV20260822008</t>
  </si>
  <si>
    <t>TR355034</t>
    <phoneticPr fontId="73" type="noConversion"/>
  </si>
  <si>
    <t>TV20260918035</t>
    <phoneticPr fontId="73" type="noConversion"/>
  </si>
  <si>
    <t>TV20260912022</t>
    <phoneticPr fontId="73" type="noConversion"/>
  </si>
  <si>
    <t>TV20260913016</t>
    <phoneticPr fontId="73" type="noConversion"/>
  </si>
  <si>
    <t>TV20260917008</t>
    <phoneticPr fontId="73" type="noConversion"/>
  </si>
  <si>
    <t>TR356519</t>
    <phoneticPr fontId="73" type="noConversion"/>
  </si>
  <si>
    <t>TR356519</t>
    <phoneticPr fontId="73" type="noConversion"/>
  </si>
  <si>
    <t>KS-881490</t>
    <phoneticPr fontId="73" type="noConversion"/>
  </si>
  <si>
    <t>KS-881490</t>
    <phoneticPr fontId="73" type="noConversion"/>
  </si>
  <si>
    <t>TV20260828002</t>
    <phoneticPr fontId="73" type="noConversion"/>
  </si>
  <si>
    <t>TV20260916015</t>
  </si>
  <si>
    <t>TV20260911022</t>
  </si>
  <si>
    <t>TR354564</t>
    <phoneticPr fontId="73" type="noConversion"/>
  </si>
  <si>
    <t>TR353125</t>
    <phoneticPr fontId="73" type="noConversion"/>
  </si>
  <si>
    <t>TV20260918018</t>
    <phoneticPr fontId="73" type="noConversion"/>
  </si>
  <si>
    <t>TV20260918019</t>
    <phoneticPr fontId="73" type="noConversion"/>
  </si>
  <si>
    <t>TR351912</t>
    <phoneticPr fontId="73" type="noConversion"/>
  </si>
  <si>
    <t>TR351912</t>
    <phoneticPr fontId="73" type="noConversion"/>
  </si>
  <si>
    <t>KS-870264</t>
    <phoneticPr fontId="73" type="noConversion"/>
  </si>
  <si>
    <t>KS-870264</t>
    <phoneticPr fontId="73" type="noConversion"/>
  </si>
  <si>
    <r>
      <t>tồn c</t>
    </r>
    <r>
      <rPr>
        <sz val="11"/>
        <color theme="1"/>
        <rFont val="바탕"/>
        <family val="1"/>
        <charset val="129"/>
      </rPr>
      <t>ũ</t>
    </r>
    <phoneticPr fontId="73" type="noConversion"/>
  </si>
  <si>
    <t>TV20260919028</t>
    <phoneticPr fontId="73" type="noConversion"/>
  </si>
  <si>
    <t>TV20260922018</t>
    <phoneticPr fontId="73" type="noConversion"/>
  </si>
  <si>
    <t>TV20260921013</t>
    <phoneticPr fontId="73" type="noConversion"/>
  </si>
  <si>
    <t>TV20260917011</t>
    <phoneticPr fontId="73" type="noConversion"/>
  </si>
  <si>
    <t>TR355940</t>
    <phoneticPr fontId="73" type="noConversion"/>
  </si>
  <si>
    <t>TV20260918002</t>
  </si>
  <si>
    <t>TR352059</t>
    <phoneticPr fontId="73" type="noConversion"/>
  </si>
  <si>
    <t>TV20260831025</t>
    <phoneticPr fontId="73" type="noConversion"/>
  </si>
  <si>
    <t>TV20260820006</t>
    <phoneticPr fontId="73" type="noConversion"/>
  </si>
  <si>
    <t>TV20260831026</t>
    <phoneticPr fontId="73" type="noConversion"/>
  </si>
  <si>
    <t>TV20260831006</t>
    <phoneticPr fontId="73" type="noConversion"/>
  </si>
  <si>
    <t>TV20260825009</t>
    <phoneticPr fontId="73" type="noConversion"/>
  </si>
  <si>
    <t>TV20260827006</t>
    <phoneticPr fontId="73" type="noConversion"/>
  </si>
  <si>
    <t>TV20260829014</t>
    <phoneticPr fontId="73" type="noConversion"/>
  </si>
  <si>
    <t>TR355708</t>
    <phoneticPr fontId="73" type="noConversion"/>
  </si>
  <si>
    <t>TR356497</t>
    <phoneticPr fontId="73" type="noConversion"/>
  </si>
  <si>
    <t>KS-880827</t>
    <phoneticPr fontId="73" type="noConversion"/>
  </si>
  <si>
    <t>TR355708</t>
    <phoneticPr fontId="73" type="noConversion"/>
  </si>
  <si>
    <t>TV20260921040</t>
    <phoneticPr fontId="73" type="noConversion"/>
  </si>
  <si>
    <t>TV20260921041</t>
    <phoneticPr fontId="73" type="noConversion"/>
  </si>
  <si>
    <t>TV20260921042</t>
    <phoneticPr fontId="73" type="noConversion"/>
  </si>
  <si>
    <t>KS-881512</t>
    <phoneticPr fontId="73" type="noConversion"/>
  </si>
  <si>
    <t>TR356497</t>
    <phoneticPr fontId="73" type="noConversion"/>
  </si>
  <si>
    <t>TR352536</t>
    <phoneticPr fontId="73" type="noConversion"/>
  </si>
  <si>
    <t>TR353928</t>
    <phoneticPr fontId="73" type="noConversion"/>
  </si>
  <si>
    <t>TV20260919027</t>
    <phoneticPr fontId="73" type="noConversion"/>
  </si>
  <si>
    <t>TR354224</t>
    <phoneticPr fontId="73" type="noConversion"/>
  </si>
  <si>
    <t>KS-880731</t>
    <phoneticPr fontId="73" type="noConversion"/>
  </si>
  <si>
    <t>TR354224</t>
    <phoneticPr fontId="73" type="noConversion"/>
  </si>
  <si>
    <t>TV20260830010</t>
    <phoneticPr fontId="73" type="noConversion"/>
  </si>
  <si>
    <t>TV20260923021</t>
    <phoneticPr fontId="73" type="noConversion"/>
  </si>
  <si>
    <t>KS-880351</t>
    <phoneticPr fontId="73" type="noConversion"/>
  </si>
  <si>
    <t>TR352059</t>
    <phoneticPr fontId="73" type="noConversion"/>
  </si>
  <si>
    <t>TV20260924001</t>
    <phoneticPr fontId="73" type="noConversion"/>
  </si>
  <si>
    <t>TV20260922017</t>
    <phoneticPr fontId="73" type="noConversion"/>
  </si>
  <si>
    <t>TR354066</t>
    <phoneticPr fontId="73" type="noConversion"/>
  </si>
  <si>
    <t>TV20260829013</t>
    <phoneticPr fontId="73" type="noConversion"/>
  </si>
  <si>
    <t>TV20260827007</t>
    <phoneticPr fontId="73" type="noConversion"/>
  </si>
  <si>
    <t>TV20260821008</t>
    <phoneticPr fontId="73" type="noConversion"/>
  </si>
  <si>
    <t>TV20260828006</t>
    <phoneticPr fontId="73" type="noConversion"/>
  </si>
  <si>
    <t>TR355240</t>
    <phoneticPr fontId="73" type="noConversion"/>
  </si>
  <si>
    <t>TV20260921037</t>
  </si>
  <si>
    <t>TV20260921038</t>
  </si>
  <si>
    <t>TV20260921039</t>
  </si>
  <si>
    <t>TV20260924018</t>
    <phoneticPr fontId="73" type="noConversion"/>
  </si>
  <si>
    <t>TV20260919023</t>
    <phoneticPr fontId="73" type="noConversion"/>
  </si>
  <si>
    <t>TV20260923015</t>
    <phoneticPr fontId="73" type="noConversion"/>
  </si>
  <si>
    <t>TV20260921010</t>
    <phoneticPr fontId="73" type="noConversion"/>
  </si>
  <si>
    <t>TR355039</t>
    <phoneticPr fontId="73" type="noConversion"/>
  </si>
  <si>
    <t>TV20260912014</t>
    <phoneticPr fontId="73" type="noConversion"/>
  </si>
  <si>
    <t>TV20260924024</t>
    <phoneticPr fontId="73" type="noConversion"/>
  </si>
  <si>
    <t>TV20260911044</t>
    <phoneticPr fontId="73" type="noConversion"/>
  </si>
  <si>
    <t>TR356505</t>
    <phoneticPr fontId="73" type="noConversion"/>
  </si>
  <si>
    <t>TV20260924023</t>
    <phoneticPr fontId="73" type="noConversion"/>
  </si>
  <si>
    <t>TV20260923020</t>
    <phoneticPr fontId="73" type="noConversion"/>
  </si>
  <si>
    <t>TV20260923039</t>
  </si>
  <si>
    <t>TV20260923038</t>
  </si>
  <si>
    <t>TV20260924017</t>
    <phoneticPr fontId="73" type="noConversion"/>
  </si>
  <si>
    <t>TV20260831011</t>
    <phoneticPr fontId="73" type="noConversion"/>
  </si>
  <si>
    <t>TV20260921011</t>
    <phoneticPr fontId="73" type="noConversion"/>
  </si>
  <si>
    <t>TV20260923016</t>
    <phoneticPr fontId="73" type="noConversion"/>
  </si>
  <si>
    <t>ERP</t>
  </si>
  <si>
    <t>TỔNG</t>
    <phoneticPr fontId="73" type="noConversion"/>
  </si>
  <si>
    <t>XUẤT</t>
    <phoneticPr fontId="73" type="noConversion"/>
  </si>
  <si>
    <t>TỒN</t>
    <phoneticPr fontId="73" type="noConversion"/>
  </si>
  <si>
    <t>THIẾU</t>
    <phoneticPr fontId="73" type="noConversion"/>
  </si>
  <si>
    <t>TR355759</t>
    <phoneticPr fontId="73" type="noConversion"/>
  </si>
  <si>
    <t>TR355759</t>
    <phoneticPr fontId="73" type="noConversion"/>
  </si>
  <si>
    <t>KS-881272</t>
    <phoneticPr fontId="73" type="noConversion"/>
  </si>
  <si>
    <t>2pl</t>
    <phoneticPr fontId="73" type="noConversion"/>
  </si>
  <si>
    <t>1pl</t>
    <phoneticPr fontId="73" type="noConversion"/>
  </si>
  <si>
    <t>1pl</t>
    <phoneticPr fontId="73" type="noConversion"/>
  </si>
  <si>
    <t>TV20260925043</t>
    <phoneticPr fontId="73" type="noConversion"/>
  </si>
  <si>
    <t>TV20260918016</t>
    <phoneticPr fontId="73" type="noConversion"/>
  </si>
  <si>
    <t>TR356592</t>
    <phoneticPr fontId="73" type="noConversion"/>
  </si>
  <si>
    <t>TR356592</t>
    <phoneticPr fontId="73" type="noConversion"/>
  </si>
  <si>
    <t>KS-890195</t>
    <phoneticPr fontId="73" type="noConversion"/>
  </si>
  <si>
    <t>TV20260928001</t>
    <phoneticPr fontId="73" type="noConversion"/>
  </si>
  <si>
    <t>TV20260926003</t>
    <phoneticPr fontId="73" type="noConversion"/>
  </si>
  <si>
    <t>TV20260926004</t>
    <phoneticPr fontId="73" type="noConversion"/>
  </si>
  <si>
    <t>TV20260918014</t>
    <phoneticPr fontId="73" type="noConversion"/>
  </si>
  <si>
    <t>TR351317</t>
    <phoneticPr fontId="73" type="noConversion"/>
  </si>
  <si>
    <t>TV20260928002</t>
    <phoneticPr fontId="73" type="noConversion"/>
  </si>
  <si>
    <t>KS-880575</t>
    <phoneticPr fontId="73" type="noConversion"/>
  </si>
  <si>
    <t>TR354738</t>
    <phoneticPr fontId="73" type="noConversion"/>
  </si>
  <si>
    <t>TV20260926014</t>
    <phoneticPr fontId="73" type="noConversion"/>
  </si>
  <si>
    <t>TV20260928013</t>
    <phoneticPr fontId="73" type="noConversion"/>
  </si>
  <si>
    <t>TV20260928014</t>
    <phoneticPr fontId="73" type="noConversion"/>
  </si>
  <si>
    <t>TV20260929032</t>
    <phoneticPr fontId="73" type="noConversion"/>
  </si>
  <si>
    <t>TV20260929002</t>
    <phoneticPr fontId="73" type="noConversion"/>
  </si>
  <si>
    <t>TV20260929001</t>
    <phoneticPr fontId="73" type="noConversion"/>
  </si>
  <si>
    <t>TV20260929022</t>
    <phoneticPr fontId="73" type="noConversion"/>
  </si>
  <si>
    <t>TV20260928017</t>
    <phoneticPr fontId="73" type="noConversion"/>
  </si>
  <si>
    <t>TV20260928018</t>
    <phoneticPr fontId="73" type="noConversion"/>
  </si>
  <si>
    <t>TV20260929035</t>
    <phoneticPr fontId="73" type="noConversion"/>
  </si>
  <si>
    <t>TV20260929034</t>
    <phoneticPr fontId="73" type="noConversion"/>
  </si>
  <si>
    <t>TR355876</t>
    <phoneticPr fontId="73" type="noConversion"/>
  </si>
  <si>
    <t>TR355199</t>
    <phoneticPr fontId="73" type="noConversion"/>
  </si>
  <si>
    <t>TR356716</t>
    <phoneticPr fontId="73" type="noConversion"/>
  </si>
  <si>
    <t>TV20260807002</t>
    <phoneticPr fontId="73" type="noConversion"/>
  </si>
  <si>
    <t>TV20260929033</t>
    <phoneticPr fontId="73" type="noConversion"/>
  </si>
  <si>
    <t>TV20260930070</t>
    <phoneticPr fontId="73" type="noConversion"/>
  </si>
  <si>
    <t>TR355918</t>
    <phoneticPr fontId="73" type="noConversion"/>
  </si>
  <si>
    <t>TR356300</t>
    <phoneticPr fontId="73" type="noConversion"/>
  </si>
  <si>
    <t>TR356346</t>
    <phoneticPr fontId="73" type="noConversion"/>
  </si>
  <si>
    <t>TR356346</t>
    <phoneticPr fontId="73" type="noConversion"/>
  </si>
  <si>
    <t>TR352431</t>
    <phoneticPr fontId="73" type="noConversion"/>
  </si>
  <si>
    <t>TR352431</t>
    <phoneticPr fontId="73" type="noConversion"/>
  </si>
  <si>
    <t>TR355366</t>
    <phoneticPr fontId="73" type="noConversion"/>
  </si>
  <si>
    <t>TV20260928016</t>
    <phoneticPr fontId="73" type="noConversion"/>
  </si>
  <si>
    <t>TV20260929015</t>
    <phoneticPr fontId="73" type="noConversion"/>
  </si>
  <si>
    <t>chế</t>
    <phoneticPr fontId="73" type="noConversion"/>
  </si>
  <si>
    <t>TV20260929016</t>
    <phoneticPr fontId="73" type="noConversion"/>
  </si>
  <si>
    <t>TV20260929017</t>
    <phoneticPr fontId="73" type="noConversion"/>
  </si>
  <si>
    <t>TR350693</t>
    <phoneticPr fontId="73" type="noConversion"/>
  </si>
  <si>
    <t>TV20260922006</t>
    <phoneticPr fontId="73" type="noConversion"/>
  </si>
  <si>
    <t>hàng hyun</t>
    <phoneticPr fontId="73" type="noConversion"/>
  </si>
  <si>
    <t>KS-880944</t>
    <phoneticPr fontId="73" type="noConversion"/>
  </si>
  <si>
    <t>TR354914</t>
    <phoneticPr fontId="73" type="noConversion"/>
  </si>
  <si>
    <t>TR354288</t>
    <phoneticPr fontId="73" type="noConversion"/>
  </si>
  <si>
    <t>TR354288</t>
    <phoneticPr fontId="73" type="noConversion"/>
  </si>
  <si>
    <t>TR350031</t>
    <phoneticPr fontId="73" type="noConversion"/>
  </si>
  <si>
    <t>KS-8605</t>
    <phoneticPr fontId="73" type="noConversion"/>
  </si>
  <si>
    <t>KS-8605</t>
    <phoneticPr fontId="73" type="noConversion"/>
  </si>
  <si>
    <r>
      <t>c</t>
    </r>
    <r>
      <rPr>
        <sz val="11"/>
        <color theme="1"/>
        <rFont val="바탕"/>
        <family val="1"/>
        <charset val="129"/>
      </rPr>
      <t>ũ</t>
    </r>
    <phoneticPr fontId="73" type="noConversion"/>
  </si>
  <si>
    <t>TR354952</t>
    <phoneticPr fontId="73" type="noConversion"/>
  </si>
  <si>
    <t>TR354952</t>
    <phoneticPr fontId="73" type="noConversion"/>
  </si>
  <si>
    <t>TR356497</t>
    <phoneticPr fontId="73" type="noConversion"/>
  </si>
  <si>
    <t>TR353125</t>
    <phoneticPr fontId="73" type="noConversion"/>
  </si>
  <si>
    <t>TV20261001004</t>
    <phoneticPr fontId="73" type="noConversion"/>
  </si>
  <si>
    <t>TV20260930061</t>
    <phoneticPr fontId="73" type="noConversion"/>
  </si>
  <si>
    <t>TV20260930069</t>
    <phoneticPr fontId="73" type="noConversion"/>
  </si>
  <si>
    <t>TR356505</t>
    <phoneticPr fontId="73" type="noConversion"/>
  </si>
  <si>
    <t>TR356061</t>
    <phoneticPr fontId="73" type="noConversion"/>
  </si>
  <si>
    <t>TR355136</t>
    <phoneticPr fontId="73" type="noConversion"/>
  </si>
  <si>
    <t>TV20260919018</t>
    <phoneticPr fontId="73" type="noConversion"/>
  </si>
  <si>
    <t>TR355208</t>
    <phoneticPr fontId="73" type="noConversion"/>
  </si>
  <si>
    <t>TV20260929039</t>
    <phoneticPr fontId="73" type="noConversion"/>
  </si>
  <si>
    <t>TV20260930015</t>
    <phoneticPr fontId="73" type="noConversion"/>
  </si>
  <si>
    <t>TR355713</t>
    <phoneticPr fontId="73" type="noConversion"/>
  </si>
  <si>
    <t>TR352536</t>
    <phoneticPr fontId="73" type="noConversion"/>
  </si>
  <si>
    <t>TR351833</t>
    <phoneticPr fontId="73" type="noConversion"/>
  </si>
  <si>
    <t>TR351833</t>
    <phoneticPr fontId="73" type="noConversion"/>
  </si>
  <si>
    <t>TR356716</t>
    <phoneticPr fontId="73" type="noConversion"/>
  </si>
  <si>
    <t>TR352558</t>
    <phoneticPr fontId="73" type="noConversion"/>
  </si>
  <si>
    <t>TR354738</t>
    <phoneticPr fontId="73" type="noConversion"/>
  </si>
  <si>
    <t>TR352327</t>
    <phoneticPr fontId="73" type="noConversion"/>
  </si>
  <si>
    <t>TR355918</t>
    <phoneticPr fontId="73" type="noConversion"/>
  </si>
  <si>
    <t>TR352059</t>
    <phoneticPr fontId="73" type="noConversion"/>
  </si>
  <si>
    <t>TR352561</t>
    <phoneticPr fontId="73" type="noConversion"/>
  </si>
  <si>
    <t>TR352561</t>
    <phoneticPr fontId="73" type="noConversion"/>
  </si>
  <si>
    <t>TV20260911019</t>
  </si>
  <si>
    <t>TV20260911020</t>
  </si>
  <si>
    <t>TV20260911021</t>
  </si>
  <si>
    <r>
      <t>c</t>
    </r>
    <r>
      <rPr>
        <sz val="11"/>
        <color theme="1"/>
        <rFont val="바탕"/>
        <family val="1"/>
        <charset val="129"/>
      </rPr>
      <t>ũ</t>
    </r>
    <phoneticPr fontId="73" type="noConversion"/>
  </si>
  <si>
    <r>
      <t>TỔNG HỢP  KHO THÀNH PHẨM THÁNG 10/2026 
2026</t>
    </r>
    <r>
      <rPr>
        <b/>
        <sz val="18"/>
        <color theme="1"/>
        <rFont val="맑은 고딕"/>
        <family val="3"/>
        <charset val="129"/>
      </rPr>
      <t>년</t>
    </r>
    <r>
      <rPr>
        <b/>
        <sz val="18"/>
        <color theme="1"/>
        <rFont val="alib"/>
        <family val="2"/>
      </rPr>
      <t>/ 10</t>
    </r>
    <r>
      <rPr>
        <b/>
        <sz val="18"/>
        <color theme="1"/>
        <rFont val="맑은 고딕"/>
        <family val="3"/>
        <charset val="129"/>
      </rPr>
      <t>월</t>
    </r>
    <r>
      <rPr>
        <b/>
        <sz val="18"/>
        <color theme="1"/>
        <rFont val="alib"/>
        <family val="2"/>
      </rPr>
      <t xml:space="preserve"> </t>
    </r>
    <r>
      <rPr>
        <b/>
        <sz val="18"/>
        <color theme="1"/>
        <rFont val="맑은 고딕"/>
        <family val="3"/>
        <charset val="129"/>
      </rPr>
      <t>완제품</t>
    </r>
    <r>
      <rPr>
        <b/>
        <sz val="18"/>
        <color theme="1"/>
        <rFont val="alib"/>
        <family val="2"/>
      </rPr>
      <t xml:space="preserve"> </t>
    </r>
    <r>
      <rPr>
        <b/>
        <sz val="18"/>
        <color theme="1"/>
        <rFont val="맑은 고딕"/>
        <family val="3"/>
        <charset val="129"/>
      </rPr>
      <t>현황</t>
    </r>
    <phoneticPr fontId="73" type="noConversion"/>
  </si>
  <si>
    <t>TR356061</t>
    <phoneticPr fontId="73" type="noConversion"/>
  </si>
  <si>
    <t>TV20260930068</t>
    <phoneticPr fontId="73" type="noConversion"/>
  </si>
  <si>
    <t>TR355136</t>
    <phoneticPr fontId="73" type="noConversion"/>
  </si>
  <si>
    <t>TR355136</t>
    <phoneticPr fontId="73" type="noConversion"/>
  </si>
  <si>
    <t>TV20261001003</t>
    <phoneticPr fontId="73" type="noConversion"/>
  </si>
  <si>
    <t>TR356620</t>
    <phoneticPr fontId="73" type="noConversion"/>
  </si>
  <si>
    <t>TR356620</t>
    <phoneticPr fontId="73" type="noConversion"/>
  </si>
  <si>
    <t>TV20260917006</t>
    <phoneticPr fontId="73" type="noConversion"/>
  </si>
  <si>
    <t>TV20260930017</t>
    <phoneticPr fontId="73" type="noConversion"/>
  </si>
  <si>
    <t>TV20260929025</t>
    <phoneticPr fontId="73" type="noConversion"/>
  </si>
  <si>
    <t>TV20260930014</t>
    <phoneticPr fontId="73" type="noConversion"/>
  </si>
  <si>
    <t>TV20260930016</t>
    <phoneticPr fontId="73" type="noConversion"/>
  </si>
  <si>
    <t>chế</t>
    <phoneticPr fontId="73" type="noConversion"/>
  </si>
  <si>
    <t>TV20260928019</t>
    <phoneticPr fontId="73" type="noConversion"/>
  </si>
  <si>
    <t>TV20260926015</t>
    <phoneticPr fontId="73" type="noConversion"/>
  </si>
  <si>
    <t>chế</t>
    <phoneticPr fontId="73" type="noConversion"/>
  </si>
  <si>
    <t>TV20260930014</t>
    <phoneticPr fontId="73" type="noConversion"/>
  </si>
  <si>
    <t>TV20260911047</t>
    <phoneticPr fontId="73" type="noConversion"/>
  </si>
  <si>
    <t>TR352974</t>
    <phoneticPr fontId="73" type="noConversion"/>
  </si>
  <si>
    <t>TR300155</t>
    <phoneticPr fontId="73" type="noConversion"/>
  </si>
  <si>
    <t>TR300155</t>
    <phoneticPr fontId="73" type="noConversion"/>
  </si>
  <si>
    <t>TR352327</t>
    <phoneticPr fontId="73" type="noConversion"/>
  </si>
  <si>
    <t>TR352327</t>
    <phoneticPr fontId="73" type="noConversion"/>
  </si>
  <si>
    <t>TV20260824002</t>
    <phoneticPr fontId="73" type="noConversion"/>
  </si>
  <si>
    <t>TV20260824004</t>
    <phoneticPr fontId="73" type="noConversion"/>
  </si>
  <si>
    <t>TV20260824005</t>
    <phoneticPr fontId="73" type="noConversion"/>
  </si>
  <si>
    <t>TV20260926016</t>
    <phoneticPr fontId="73" type="noConversion"/>
  </si>
  <si>
    <t>TV20260911017</t>
  </si>
  <si>
    <t>TV20260911018</t>
  </si>
  <si>
    <t>TV20260911016</t>
  </si>
  <si>
    <t>TR356300</t>
    <phoneticPr fontId="73" type="noConversion"/>
  </si>
  <si>
    <t>TR356300</t>
    <phoneticPr fontId="73" type="noConversion"/>
  </si>
  <si>
    <t>TR356346</t>
    <phoneticPr fontId="73" type="noConversion"/>
  </si>
  <si>
    <t>TR351649</t>
    <phoneticPr fontId="73" type="noConversion"/>
  </si>
  <si>
    <t>TR351649</t>
    <phoneticPr fontId="73" type="noConversion"/>
  </si>
  <si>
    <t>TV20260929029</t>
    <phoneticPr fontId="73" type="noConversion"/>
  </si>
  <si>
    <t>TV20260930063</t>
    <phoneticPr fontId="73" type="noConversion"/>
  </si>
  <si>
    <t>TR356463</t>
    <phoneticPr fontId="73" type="noConversion"/>
  </si>
  <si>
    <t>KS-890209</t>
    <phoneticPr fontId="73" type="noConversion"/>
  </si>
  <si>
    <t>KS-890209</t>
    <phoneticPr fontId="73" type="noConversion"/>
  </si>
  <si>
    <t>TV20261002024</t>
    <phoneticPr fontId="73" type="noConversion"/>
  </si>
  <si>
    <t>TV20260930051</t>
    <phoneticPr fontId="73" type="noConversion"/>
  </si>
  <si>
    <t>TV20260930065</t>
    <phoneticPr fontId="73" type="noConversion"/>
  </si>
  <si>
    <t>TV20260919026</t>
    <phoneticPr fontId="73" type="noConversion"/>
  </si>
  <si>
    <t>TV20260915010</t>
    <phoneticPr fontId="73" type="noConversion"/>
  </si>
  <si>
    <t>TV20260930018</t>
    <phoneticPr fontId="73" type="noConversion"/>
  </si>
  <si>
    <t>TR354759</t>
    <phoneticPr fontId="73" type="noConversion"/>
  </si>
  <si>
    <t>TV20260930012</t>
    <phoneticPr fontId="73" type="noConversion"/>
  </si>
  <si>
    <t>TV20260929012</t>
    <phoneticPr fontId="73" type="noConversion"/>
  </si>
  <si>
    <t>TV20260928009</t>
    <phoneticPr fontId="73" type="noConversion"/>
  </si>
  <si>
    <t>TR356379</t>
    <phoneticPr fontId="73" type="noConversion"/>
  </si>
  <si>
    <r>
      <rPr>
        <b/>
        <sz val="10"/>
        <color indexed="8"/>
        <rFont val="바탕"/>
        <family val="1"/>
        <charset val="129"/>
      </rPr>
      <t>전월</t>
    </r>
    <r>
      <rPr>
        <b/>
        <sz val="10"/>
        <color indexed="8"/>
        <rFont val="Times New Roman"/>
        <family val="1"/>
      </rPr>
      <t xml:space="preserve"> </t>
    </r>
    <r>
      <rPr>
        <b/>
        <sz val="10"/>
        <color indexed="8"/>
        <rFont val="바탕"/>
        <family val="1"/>
        <charset val="129"/>
      </rPr>
      <t xml:space="preserve">재고
</t>
    </r>
    <r>
      <rPr>
        <b/>
        <sz val="10"/>
        <color indexed="8"/>
        <rFont val="Times New Roman"/>
        <family val="1"/>
      </rPr>
      <t>TỒN ĐẦU K</t>
    </r>
    <r>
      <rPr>
        <b/>
        <sz val="10"/>
        <color rgb="FF000000"/>
        <rFont val="바탕"/>
        <family val="1"/>
        <charset val="129"/>
      </rPr>
      <t>Ỳ</t>
    </r>
    <r>
      <rPr>
        <b/>
        <sz val="10"/>
        <color indexed="8"/>
        <rFont val="Times New Roman"/>
        <family val="1"/>
      </rPr>
      <t xml:space="preserve"> 30.09</t>
    </r>
    <phoneticPr fontId="73" type="noConversion"/>
  </si>
  <si>
    <t>TR353145</t>
    <phoneticPr fontId="73" type="noConversion"/>
  </si>
  <si>
    <t>TR355576</t>
    <phoneticPr fontId="73" type="noConversion"/>
  </si>
  <si>
    <t>TR355576</t>
    <phoneticPr fontId="73" type="noConversion"/>
  </si>
  <si>
    <t>TV20260925039</t>
    <phoneticPr fontId="73" type="noConversion"/>
  </si>
  <si>
    <t>TV20260926011</t>
    <phoneticPr fontId="73" type="noConversion"/>
  </si>
  <si>
    <t>TR355199</t>
    <phoneticPr fontId="73" type="noConversion"/>
  </si>
  <si>
    <t>TV20260930059</t>
    <phoneticPr fontId="73" type="noConversion"/>
  </si>
  <si>
    <t>TV20261001001</t>
    <phoneticPr fontId="73" type="noConversion"/>
  </si>
  <si>
    <t>TV20261002010</t>
  </si>
  <si>
    <t>TV20261002009</t>
  </si>
  <si>
    <t>TR354809</t>
    <phoneticPr fontId="73" type="noConversion"/>
  </si>
  <si>
    <t>TR355366</t>
    <phoneticPr fontId="73" type="noConversion"/>
  </si>
  <si>
    <t>TR355366</t>
    <phoneticPr fontId="73" type="noConversion"/>
  </si>
  <si>
    <t>TR354821</t>
    <phoneticPr fontId="73" type="noConversion"/>
  </si>
  <si>
    <t>TR354823</t>
    <phoneticPr fontId="73" type="noConversion"/>
  </si>
  <si>
    <t>TR356497</t>
    <phoneticPr fontId="73" type="noConversion"/>
  </si>
  <si>
    <t>TV202600926019</t>
  </si>
  <si>
    <t>TR355134</t>
    <phoneticPr fontId="73" type="noConversion"/>
  </si>
  <si>
    <t>TV20260922027</t>
  </si>
  <si>
    <t>TV20260922025</t>
  </si>
  <si>
    <t>KS-89069</t>
    <phoneticPr fontId="73" type="noConversion"/>
  </si>
  <si>
    <t>TR355134</t>
    <phoneticPr fontId="73" type="noConversion"/>
  </si>
  <si>
    <r>
      <t>c</t>
    </r>
    <r>
      <rPr>
        <sz val="11"/>
        <color theme="1"/>
        <rFont val="바탕"/>
        <family val="1"/>
        <charset val="129"/>
      </rPr>
      <t>ũ</t>
    </r>
    <r>
      <rPr>
        <sz val="11"/>
        <color theme="1"/>
        <rFont val="Times New Roman"/>
        <family val="1"/>
      </rPr>
      <t xml:space="preserve"> </t>
    </r>
    <phoneticPr fontId="73" type="noConversion"/>
  </si>
  <si>
    <t>TV20261001002</t>
    <phoneticPr fontId="73" type="noConversion"/>
  </si>
  <si>
    <t>TV20260928008</t>
    <phoneticPr fontId="73" type="noConversion"/>
  </si>
  <si>
    <t>TV20261002025</t>
    <phoneticPr fontId="73" type="noConversion"/>
  </si>
  <si>
    <t>TV20261005028</t>
    <phoneticPr fontId="73" type="noConversion"/>
  </si>
  <si>
    <t>TV20260930064</t>
    <phoneticPr fontId="73" type="noConversion"/>
  </si>
  <si>
    <t>TV20260908021</t>
    <phoneticPr fontId="73" type="noConversion"/>
  </si>
  <si>
    <t>TV20260924016</t>
    <phoneticPr fontId="73" type="noConversion"/>
  </si>
  <si>
    <t>TV20260922015</t>
    <phoneticPr fontId="73" type="noConversion"/>
  </si>
  <si>
    <t>TR354300</t>
    <phoneticPr fontId="73" type="noConversion"/>
  </si>
  <si>
    <t>KS-880466</t>
    <phoneticPr fontId="73" type="noConversion"/>
  </si>
  <si>
    <t>KS-880754</t>
    <phoneticPr fontId="73" type="noConversion"/>
  </si>
  <si>
    <t>TV20261005026</t>
    <phoneticPr fontId="73" type="noConversion"/>
  </si>
  <si>
    <t>TV20261003024</t>
    <phoneticPr fontId="73" type="noConversion"/>
  </si>
  <si>
    <t>TV20261003023</t>
    <phoneticPr fontId="73" type="noConversion"/>
  </si>
  <si>
    <t>TV20261005027</t>
    <phoneticPr fontId="73" type="noConversion"/>
  </si>
  <si>
    <t>TV20261006005</t>
    <phoneticPr fontId="73" type="noConversion"/>
  </si>
  <si>
    <t>TR354011</t>
    <phoneticPr fontId="73" type="noConversion"/>
  </si>
  <si>
    <t>TR355576</t>
    <phoneticPr fontId="73" type="noConversion"/>
  </si>
  <si>
    <t>TR355576</t>
    <phoneticPr fontId="73" type="noConversion"/>
  </si>
  <si>
    <t>TR356300</t>
    <phoneticPr fontId="73" type="noConversion"/>
  </si>
  <si>
    <t>TR355669</t>
    <phoneticPr fontId="73" type="noConversion"/>
  </si>
  <si>
    <t>TR355669</t>
    <phoneticPr fontId="73" type="noConversion"/>
  </si>
  <si>
    <t>TV20261006006</t>
    <phoneticPr fontId="73" type="noConversion"/>
  </si>
  <si>
    <t>KS-871056</t>
    <phoneticPr fontId="73" type="noConversion"/>
  </si>
  <si>
    <t>TR355669</t>
    <phoneticPr fontId="73" type="noConversion"/>
  </si>
  <si>
    <t>TV20261007022</t>
    <phoneticPr fontId="73" type="noConversion"/>
  </si>
  <si>
    <t>TV20260915011</t>
    <phoneticPr fontId="73" type="noConversion"/>
  </si>
  <si>
    <t>TV20261004025</t>
    <phoneticPr fontId="73" type="noConversion"/>
  </si>
  <si>
    <t>TV20261003027</t>
    <phoneticPr fontId="73" type="noConversion"/>
  </si>
  <si>
    <t>TV20261002027</t>
    <phoneticPr fontId="73" type="noConversion"/>
  </si>
  <si>
    <t>TV20260930052</t>
    <phoneticPr fontId="73" type="noConversion"/>
  </si>
  <si>
    <t>TR353784</t>
    <phoneticPr fontId="73" type="noConversion"/>
  </si>
  <si>
    <t>TV20261005007</t>
    <phoneticPr fontId="73" type="noConversion"/>
  </si>
  <si>
    <t>TR356391</t>
    <phoneticPr fontId="73" type="noConversion"/>
  </si>
  <si>
    <t>TR354011</t>
    <phoneticPr fontId="73" type="noConversion"/>
  </si>
  <si>
    <t>TV20261004022</t>
    <phoneticPr fontId="73" type="noConversion"/>
  </si>
  <si>
    <t>TV20261003021</t>
    <phoneticPr fontId="73" type="noConversion"/>
  </si>
  <si>
    <t xml:space="preserve"> </t>
    <phoneticPr fontId="73" type="noConversion"/>
  </si>
  <si>
    <t>KS-881608</t>
    <phoneticPr fontId="73" type="noConversion"/>
  </si>
  <si>
    <t>TR356704</t>
    <phoneticPr fontId="73" type="noConversion"/>
  </si>
  <si>
    <t>SPIL BUYER</t>
    <phoneticPr fontId="73" type="noConversion"/>
  </si>
  <si>
    <t>TR353425</t>
    <phoneticPr fontId="73" type="noConversion"/>
  </si>
  <si>
    <t>TR353425</t>
    <phoneticPr fontId="73" type="noConversion"/>
  </si>
  <si>
    <t>TV20260919009</t>
    <phoneticPr fontId="73" type="noConversion"/>
  </si>
  <si>
    <t>TV20261007021</t>
    <phoneticPr fontId="73" type="noConversion"/>
  </si>
  <si>
    <t>TV20261006007</t>
    <phoneticPr fontId="73" type="noConversion"/>
  </si>
  <si>
    <t>TV20261006008</t>
    <phoneticPr fontId="73" type="noConversion"/>
  </si>
  <si>
    <t>TV20261003025</t>
    <phoneticPr fontId="73" type="noConversion"/>
  </si>
  <si>
    <t>TR351752</t>
    <phoneticPr fontId="73" type="noConversion"/>
  </si>
  <si>
    <t>TR351752</t>
    <phoneticPr fontId="73" type="noConversion"/>
  </si>
  <si>
    <t>TV20260904011</t>
    <phoneticPr fontId="73" type="noConversion"/>
  </si>
  <si>
    <t>TV20260903022</t>
    <phoneticPr fontId="73" type="noConversion"/>
  </si>
  <si>
    <t>TV20260904012</t>
    <phoneticPr fontId="73" type="noConversion"/>
  </si>
  <si>
    <t>TR351317</t>
    <phoneticPr fontId="73" type="noConversion"/>
  </si>
  <si>
    <t>TR355918</t>
    <phoneticPr fontId="73" type="noConversion"/>
  </si>
  <si>
    <t>TV20261004011</t>
    <phoneticPr fontId="73" type="noConversion"/>
  </si>
  <si>
    <t>TV20261003004</t>
    <phoneticPr fontId="73" type="noConversion"/>
  </si>
  <si>
    <t>TV20261003003</t>
    <phoneticPr fontId="73" type="noConversion"/>
  </si>
  <si>
    <t>TV20261003015</t>
    <phoneticPr fontId="73" type="noConversion"/>
  </si>
  <si>
    <t>TV20261003012</t>
    <phoneticPr fontId="73" type="noConversion"/>
  </si>
  <si>
    <t>TV20261005009</t>
    <phoneticPr fontId="73" type="noConversion"/>
  </si>
  <si>
    <t>TV20261005008</t>
    <phoneticPr fontId="73" type="noConversion"/>
  </si>
  <si>
    <t>TR352561</t>
    <phoneticPr fontId="73" type="noConversion"/>
  </si>
  <si>
    <t>TR300155</t>
    <phoneticPr fontId="73" type="noConversion"/>
  </si>
  <si>
    <t>TV20261005011</t>
  </si>
  <si>
    <t>TV20261005010</t>
  </si>
  <si>
    <t>TV20260926020</t>
  </si>
  <si>
    <t>TR355878</t>
    <phoneticPr fontId="73" type="noConversion"/>
  </si>
  <si>
    <t>KS-890160</t>
    <phoneticPr fontId="73" type="noConversion"/>
  </si>
  <si>
    <t>TR355878</t>
    <phoneticPr fontId="73" type="noConversion"/>
  </si>
  <si>
    <t>TV20261005025</t>
    <phoneticPr fontId="73" type="noConversion"/>
  </si>
  <si>
    <t>TR354632</t>
    <phoneticPr fontId="73" type="noConversion"/>
  </si>
  <si>
    <t>KS-89084</t>
    <phoneticPr fontId="73" type="noConversion"/>
  </si>
  <si>
    <t>TV20261007026</t>
    <phoneticPr fontId="73" type="noConversion"/>
  </si>
  <si>
    <t>TR356463</t>
    <phoneticPr fontId="73" type="noConversion"/>
  </si>
  <si>
    <t>TR356463</t>
    <phoneticPr fontId="73" type="noConversion"/>
  </si>
  <si>
    <t>TR356391</t>
    <phoneticPr fontId="73" type="noConversion"/>
  </si>
  <si>
    <t>TR356391</t>
    <phoneticPr fontId="73" type="noConversion"/>
  </si>
  <si>
    <t>TR356463</t>
    <phoneticPr fontId="73" type="noConversion"/>
  </si>
  <si>
    <t>TR354239</t>
    <phoneticPr fontId="73" type="noConversion"/>
  </si>
  <si>
    <t>TR354821</t>
    <phoneticPr fontId="73" type="noConversion"/>
  </si>
  <si>
    <t>TR356704</t>
    <phoneticPr fontId="73" type="noConversion"/>
  </si>
  <si>
    <t>TR356704</t>
    <phoneticPr fontId="73" type="noConversion"/>
  </si>
  <si>
    <t>TR355918</t>
    <phoneticPr fontId="73" type="noConversion"/>
  </si>
  <si>
    <t>TR356422</t>
    <phoneticPr fontId="73" type="noConversion"/>
  </si>
  <si>
    <t>TR356422</t>
    <phoneticPr fontId="73" type="noConversion"/>
  </si>
  <si>
    <t>TR355199</t>
    <phoneticPr fontId="73" type="noConversion"/>
  </si>
  <si>
    <t>TR355199</t>
    <phoneticPr fontId="73" type="noConversion"/>
  </si>
  <si>
    <t>TR354914</t>
    <phoneticPr fontId="73" type="noConversion"/>
  </si>
  <si>
    <t>TR354914</t>
    <phoneticPr fontId="73" type="noConversion"/>
  </si>
  <si>
    <t>TR354774</t>
    <phoneticPr fontId="73" type="noConversion"/>
  </si>
  <si>
    <t>TR354774</t>
    <phoneticPr fontId="73" type="noConversion"/>
  </si>
  <si>
    <t>TR353784</t>
    <phoneticPr fontId="73" type="noConversion"/>
  </si>
  <si>
    <t>TR355208</t>
    <phoneticPr fontId="73" type="noConversion"/>
  </si>
  <si>
    <t>TR355208</t>
    <phoneticPr fontId="73" type="noConversion"/>
  </si>
  <si>
    <t>TR355770</t>
    <phoneticPr fontId="73" type="noConversion"/>
  </si>
  <si>
    <t>TR356061</t>
    <phoneticPr fontId="73" type="noConversion"/>
  </si>
  <si>
    <t>TV20261007013</t>
    <phoneticPr fontId="73" type="noConversion"/>
  </si>
  <si>
    <t>TV20261008002</t>
    <phoneticPr fontId="73" type="noConversion"/>
  </si>
  <si>
    <t>TR352788</t>
    <phoneticPr fontId="73" type="noConversion"/>
  </si>
  <si>
    <t>TR352788</t>
    <phoneticPr fontId="73" type="noConversion"/>
  </si>
  <si>
    <t>TV20261007027</t>
    <phoneticPr fontId="73" type="noConversion"/>
  </si>
  <si>
    <t>TR356061</t>
    <phoneticPr fontId="73" type="noConversion"/>
  </si>
  <si>
    <t>TV20260924019</t>
    <phoneticPr fontId="73" type="noConversion"/>
  </si>
  <si>
    <t>TR355878</t>
    <phoneticPr fontId="73" type="noConversion"/>
  </si>
  <si>
    <t>TV20261008032</t>
    <phoneticPr fontId="73" type="noConversion"/>
  </si>
  <si>
    <t>TV20261006017</t>
    <phoneticPr fontId="73" type="noConversion"/>
  </si>
  <si>
    <t>TR354224</t>
    <phoneticPr fontId="73" type="noConversion"/>
  </si>
  <si>
    <t>TR356549</t>
    <phoneticPr fontId="73" type="noConversion"/>
  </si>
  <si>
    <t>KS-890196</t>
    <phoneticPr fontId="73" type="noConversion"/>
  </si>
  <si>
    <t>TV20260926012</t>
    <phoneticPr fontId="73" type="noConversion"/>
  </si>
  <si>
    <t>TR353784</t>
    <phoneticPr fontId="73" type="noConversion"/>
  </si>
  <si>
    <t>TV20261003028</t>
    <phoneticPr fontId="73" type="noConversion"/>
  </si>
  <si>
    <t>chế</t>
    <phoneticPr fontId="73" type="noConversion"/>
  </si>
  <si>
    <t>TV20260406020</t>
    <phoneticPr fontId="73" type="noConversion"/>
  </si>
  <si>
    <t>TV20261008009</t>
    <phoneticPr fontId="73" type="noConversion"/>
  </si>
  <si>
    <t>TV20261008008</t>
    <phoneticPr fontId="73" type="noConversion"/>
  </si>
  <si>
    <t>KS-880624</t>
    <phoneticPr fontId="73" type="noConversion"/>
  </si>
  <si>
    <t>TR354011</t>
    <phoneticPr fontId="73" type="noConversion"/>
  </si>
  <si>
    <t>TV20261002018</t>
    <phoneticPr fontId="73" type="noConversion"/>
  </si>
  <si>
    <t>TV20261003022</t>
    <phoneticPr fontId="73" type="noConversion"/>
  </si>
  <si>
    <t>TR351752</t>
    <phoneticPr fontId="73" type="noConversion"/>
  </si>
  <si>
    <t>TV20260908009</t>
    <phoneticPr fontId="73" type="noConversion"/>
  </si>
  <si>
    <t>TV20260908010</t>
    <phoneticPr fontId="73" type="noConversion"/>
  </si>
  <si>
    <t>TV20260907011</t>
    <phoneticPr fontId="73" type="noConversion"/>
  </si>
  <si>
    <t>TV20260907012</t>
    <phoneticPr fontId="73" type="noConversion"/>
  </si>
  <si>
    <t>TR352536</t>
    <phoneticPr fontId="73" type="noConversion"/>
  </si>
  <si>
    <t>TR354773</t>
    <phoneticPr fontId="73" type="noConversion"/>
  </si>
  <si>
    <t>TR354796</t>
    <phoneticPr fontId="73" type="noConversion"/>
  </si>
  <si>
    <t>TR353125</t>
    <phoneticPr fontId="73" type="noConversion"/>
  </si>
  <si>
    <t>TR350693</t>
    <phoneticPr fontId="73" type="noConversion"/>
  </si>
  <si>
    <t>TR355876</t>
    <phoneticPr fontId="73" type="noConversion"/>
  </si>
  <si>
    <t>TR354300</t>
    <phoneticPr fontId="73" type="noConversion"/>
  </si>
  <si>
    <t>TR353784</t>
    <phoneticPr fontId="73" type="noConversion"/>
  </si>
  <si>
    <t>TR352009</t>
    <phoneticPr fontId="73" type="noConversion"/>
  </si>
  <si>
    <t>TR355517</t>
    <phoneticPr fontId="73" type="noConversion"/>
  </si>
  <si>
    <t>TR355604</t>
    <phoneticPr fontId="73" type="noConversion"/>
  </si>
  <si>
    <t>TR355604</t>
    <phoneticPr fontId="73" type="noConversion"/>
  </si>
  <si>
    <t>TR354964</t>
    <phoneticPr fontId="73" type="noConversion"/>
  </si>
  <si>
    <t>TR354964</t>
    <phoneticPr fontId="73" type="noConversion"/>
  </si>
  <si>
    <t>TỒN</t>
    <phoneticPr fontId="73" type="noConversion"/>
  </si>
  <si>
    <t>TR355134</t>
    <phoneticPr fontId="73" type="noConversion"/>
  </si>
  <si>
    <t>TV20261005013</t>
  </si>
  <si>
    <t>TV20261005012</t>
  </si>
  <si>
    <t>TV20261006013</t>
  </si>
  <si>
    <t>TV20261006014</t>
  </si>
  <si>
    <t>TV20261009002</t>
    <phoneticPr fontId="73" type="noConversion"/>
  </si>
  <si>
    <t>TV20261008004</t>
    <phoneticPr fontId="73" type="noConversion"/>
  </si>
  <si>
    <t>TR355756</t>
    <phoneticPr fontId="73" type="noConversion"/>
  </si>
  <si>
    <t>TR355756</t>
    <phoneticPr fontId="73" type="noConversion"/>
  </si>
  <si>
    <t>TV20261008015</t>
    <phoneticPr fontId="73" type="noConversion"/>
  </si>
  <si>
    <t>TV20261007025</t>
    <phoneticPr fontId="73" type="noConversion"/>
  </si>
  <si>
    <t>TV20261009036</t>
    <phoneticPr fontId="73" type="noConversion"/>
  </si>
  <si>
    <t>TV20261008016</t>
    <phoneticPr fontId="73" type="noConversion"/>
  </si>
  <si>
    <t>TR356636</t>
    <phoneticPr fontId="73" type="noConversion"/>
  </si>
  <si>
    <t>TV20261007012</t>
    <phoneticPr fontId="73" type="noConversion"/>
  </si>
  <si>
    <t>TR353653</t>
    <phoneticPr fontId="73" type="noConversion"/>
  </si>
  <si>
    <t>TR353653</t>
    <phoneticPr fontId="73" type="noConversion"/>
  </si>
  <si>
    <t>TR354632</t>
    <phoneticPr fontId="73" type="noConversion"/>
  </si>
  <si>
    <t>TV20261009032</t>
    <phoneticPr fontId="73" type="noConversion"/>
  </si>
  <si>
    <t>TR356463</t>
    <phoneticPr fontId="73" type="noConversion"/>
  </si>
  <si>
    <t>TV20261009031</t>
    <phoneticPr fontId="73" type="noConversion"/>
  </si>
  <si>
    <t>TV20261008018</t>
    <phoneticPr fontId="73" type="noConversion"/>
  </si>
  <si>
    <t>TV20261010001</t>
    <phoneticPr fontId="73" type="noConversion"/>
  </si>
  <si>
    <t>TV20261009029</t>
    <phoneticPr fontId="73" type="noConversion"/>
  </si>
  <si>
    <t>TR355134</t>
    <phoneticPr fontId="73" type="noConversion"/>
  </si>
  <si>
    <t>TR356379</t>
    <phoneticPr fontId="73" type="noConversion"/>
  </si>
  <si>
    <t>TR356300</t>
    <phoneticPr fontId="73" type="noConversion"/>
  </si>
  <si>
    <t>TR352431</t>
    <phoneticPr fontId="73" type="noConversion"/>
  </si>
  <si>
    <t>TR355134</t>
    <phoneticPr fontId="73" type="noConversion"/>
  </si>
  <si>
    <t>TR355276</t>
    <phoneticPr fontId="73" type="noConversion"/>
  </si>
  <si>
    <t>TV20261004015</t>
  </si>
  <si>
    <t>TV20261004016</t>
  </si>
  <si>
    <t>TV20261004017</t>
  </si>
  <si>
    <t>TV20261008024</t>
  </si>
  <si>
    <t>TR355918</t>
    <phoneticPr fontId="73" type="noConversion"/>
  </si>
  <si>
    <t>TR352974</t>
    <phoneticPr fontId="73" type="noConversion"/>
  </si>
  <si>
    <t>TR352327</t>
    <phoneticPr fontId="73" type="noConversion"/>
  </si>
  <si>
    <t>TV20260915031</t>
  </si>
  <si>
    <t>TV2026092208</t>
  </si>
  <si>
    <t>TV20261006015</t>
  </si>
  <si>
    <t>TV20261006016</t>
  </si>
  <si>
    <t>TR353323</t>
    <phoneticPr fontId="73" type="noConversion"/>
  </si>
  <si>
    <t>TR356061</t>
    <phoneticPr fontId="73" type="noConversion"/>
  </si>
  <si>
    <t>TV20261008017</t>
    <phoneticPr fontId="73" type="noConversion"/>
  </si>
  <si>
    <t>TV20261008007</t>
    <phoneticPr fontId="73" type="noConversion"/>
  </si>
  <si>
    <t>TV20261010006</t>
    <phoneticPr fontId="73" type="noConversion"/>
  </si>
  <si>
    <t>TV20261009016</t>
    <phoneticPr fontId="73" type="noConversion"/>
  </si>
  <si>
    <t>TV20261009015</t>
    <phoneticPr fontId="73" type="noConversion"/>
  </si>
  <si>
    <t>TV20261008011</t>
    <phoneticPr fontId="73" type="noConversion"/>
  </si>
  <si>
    <t>TV20261014001</t>
    <phoneticPr fontId="73" type="noConversion"/>
  </si>
  <si>
    <t xml:space="preserve"> </t>
    <phoneticPr fontId="73" type="noConversion"/>
  </si>
  <si>
    <t>TV20261010004</t>
    <phoneticPr fontId="73" type="noConversion"/>
  </si>
  <si>
    <t>TR356636</t>
    <phoneticPr fontId="73" type="noConversion"/>
  </si>
  <si>
    <t>TV20261010020</t>
    <phoneticPr fontId="73" type="noConversion"/>
  </si>
  <si>
    <t>TR355756</t>
    <phoneticPr fontId="73" type="noConversion"/>
  </si>
  <si>
    <t>TV20261009004</t>
    <phoneticPr fontId="73" type="noConversion"/>
  </si>
  <si>
    <t>TV20261009020</t>
    <phoneticPr fontId="73" type="noConversion"/>
  </si>
  <si>
    <t>TV20261009021</t>
    <phoneticPr fontId="73" type="noConversion"/>
  </si>
  <si>
    <t>TV20261009033</t>
    <phoneticPr fontId="73" type="noConversion"/>
  </si>
  <si>
    <t>TV20261009034</t>
    <phoneticPr fontId="73" type="noConversion"/>
  </si>
  <si>
    <t>TV20261008014</t>
    <phoneticPr fontId="73" type="noConversion"/>
  </si>
  <si>
    <t>TR354564</t>
    <phoneticPr fontId="73" type="noConversion"/>
  </si>
  <si>
    <t>TV20261010017</t>
    <phoneticPr fontId="73" type="noConversion"/>
  </si>
  <si>
    <t>TV20261010035</t>
    <phoneticPr fontId="73" type="noConversion"/>
  </si>
  <si>
    <t>TV20261010016</t>
    <phoneticPr fontId="73" type="noConversion"/>
  </si>
  <si>
    <t>TR356497</t>
    <phoneticPr fontId="73" type="noConversion"/>
  </si>
  <si>
    <t>TR355134</t>
    <phoneticPr fontId="73" type="noConversion"/>
  </si>
  <si>
    <t>TR356505</t>
    <phoneticPr fontId="73" type="noConversion"/>
  </si>
  <si>
    <t>TR300652</t>
    <phoneticPr fontId="73" type="noConversion"/>
  </si>
  <si>
    <t>TR355276</t>
    <phoneticPr fontId="73" type="noConversion"/>
  </si>
  <si>
    <t>TV20261007009</t>
  </si>
  <si>
    <t>TV20261007008</t>
  </si>
  <si>
    <t>TV20261008021</t>
  </si>
  <si>
    <t>TV20261008022</t>
  </si>
  <si>
    <t>TV20261008023</t>
  </si>
  <si>
    <t>TV20261008020</t>
  </si>
  <si>
    <t>TV20261005021</t>
  </si>
  <si>
    <t>TV20260928019</t>
  </si>
  <si>
    <t>TV20261005018</t>
  </si>
  <si>
    <t>TV20261006010</t>
  </si>
  <si>
    <t>TV20261006011</t>
  </si>
  <si>
    <t>TV20261004007</t>
  </si>
  <si>
    <t>TV20261007029</t>
  </si>
  <si>
    <t>TV20261007032</t>
  </si>
  <si>
    <t>TV20261007033</t>
  </si>
  <si>
    <t>TV20261005023</t>
  </si>
  <si>
    <t>TV20261003019</t>
  </si>
  <si>
    <t>TV20261010018</t>
    <phoneticPr fontId="73" type="noConversion"/>
  </si>
  <si>
    <t>TV20261010023</t>
  </si>
  <si>
    <t>TV20261012023</t>
  </si>
  <si>
    <t>TV20261012017</t>
  </si>
  <si>
    <t>TR356620</t>
    <phoneticPr fontId="73" type="noConversion"/>
  </si>
  <si>
    <t>TR356620</t>
    <phoneticPr fontId="73" type="noConversion"/>
  </si>
  <si>
    <t>TR356549</t>
    <phoneticPr fontId="73" type="noConversion"/>
  </si>
  <si>
    <t>TR356549</t>
    <phoneticPr fontId="73" type="noConversion"/>
  </si>
  <si>
    <t>TR356636</t>
    <phoneticPr fontId="73" type="noConversion"/>
  </si>
  <si>
    <t>KS-881478</t>
    <phoneticPr fontId="73" type="noConversion"/>
  </si>
  <si>
    <t>TR356413</t>
    <phoneticPr fontId="73" type="noConversion"/>
  </si>
  <si>
    <t>TR356413</t>
    <phoneticPr fontId="73" type="noConversion"/>
  </si>
  <si>
    <t>TR355669</t>
    <phoneticPr fontId="73" type="noConversion"/>
  </si>
  <si>
    <t>TV20261009008</t>
    <phoneticPr fontId="73" type="noConversion"/>
  </si>
  <si>
    <t>TR356188</t>
    <phoneticPr fontId="73" type="noConversion"/>
  </si>
  <si>
    <t>TV20260828032</t>
    <phoneticPr fontId="73" type="noConversion"/>
  </si>
  <si>
    <t>TR355756</t>
    <phoneticPr fontId="73" type="noConversion"/>
  </si>
  <si>
    <t>TR354773</t>
    <phoneticPr fontId="73" type="noConversion"/>
  </si>
  <si>
    <t>TV20261015036</t>
    <phoneticPr fontId="73" type="noConversion"/>
  </si>
  <si>
    <t>TV20261016002</t>
    <phoneticPr fontId="73" type="noConversion"/>
  </si>
  <si>
    <t>TR354224</t>
    <phoneticPr fontId="73" type="noConversion"/>
  </si>
  <si>
    <t>TV20261010003</t>
    <phoneticPr fontId="73" type="noConversion"/>
  </si>
  <si>
    <t>TV20261007013</t>
    <phoneticPr fontId="73" type="noConversion"/>
  </si>
  <si>
    <t>TV20261013002</t>
    <phoneticPr fontId="73" type="noConversion"/>
  </si>
  <si>
    <t>TV20261015002</t>
    <phoneticPr fontId="73" type="noConversion"/>
  </si>
  <si>
    <t>TV20261015041</t>
    <phoneticPr fontId="73" type="noConversion"/>
  </si>
  <si>
    <t>TR356620</t>
    <phoneticPr fontId="73" type="noConversion"/>
  </si>
  <si>
    <t>TV20261004024</t>
    <phoneticPr fontId="73" type="noConversion"/>
  </si>
  <si>
    <t>TV20261007023</t>
    <phoneticPr fontId="73" type="noConversion"/>
  </si>
  <si>
    <t>TV20261005006</t>
    <phoneticPr fontId="73" type="noConversion"/>
  </si>
  <si>
    <t>TV20261007024</t>
    <phoneticPr fontId="73" type="noConversion"/>
  </si>
  <si>
    <t>TV20261003026</t>
    <phoneticPr fontId="73" type="noConversion"/>
  </si>
  <si>
    <t>TV20261005005</t>
    <phoneticPr fontId="73" type="noConversion"/>
  </si>
  <si>
    <t>TV20261010036</t>
    <phoneticPr fontId="73" type="noConversion"/>
  </si>
  <si>
    <t>TV20261005020</t>
  </si>
  <si>
    <t>TV20261005024</t>
  </si>
  <si>
    <t>TV20261012022</t>
  </si>
  <si>
    <t>TV20261012020</t>
  </si>
  <si>
    <t>TV20261012019</t>
  </si>
  <si>
    <t>TV20261003011</t>
  </si>
  <si>
    <t>TV20261006009</t>
  </si>
  <si>
    <t>TV20261007001</t>
  </si>
  <si>
    <t>TR355276</t>
    <phoneticPr fontId="73" type="noConversion"/>
  </si>
  <si>
    <t>TV20261005022</t>
  </si>
  <si>
    <t>TV20260929028</t>
  </si>
  <si>
    <t>TV20261007006</t>
  </si>
  <si>
    <t>TV20261007007</t>
  </si>
  <si>
    <t>TV20261012003</t>
  </si>
  <si>
    <t>TV20261012007</t>
  </si>
  <si>
    <t>TV20261012008</t>
  </si>
  <si>
    <t>TV20261014017</t>
  </si>
  <si>
    <t>TV20261014019</t>
  </si>
  <si>
    <t>TR355682</t>
    <phoneticPr fontId="73" type="noConversion"/>
  </si>
  <si>
    <t>TR353323</t>
    <phoneticPr fontId="73" type="noConversion"/>
  </si>
  <si>
    <t>TR353323</t>
    <phoneticPr fontId="73" type="noConversion"/>
  </si>
  <si>
    <t>TR353784</t>
    <phoneticPr fontId="73" type="noConversion"/>
  </si>
  <si>
    <t>TR353784</t>
    <phoneticPr fontId="73" type="noConversion"/>
  </si>
  <si>
    <t>TR355876</t>
    <phoneticPr fontId="73" type="noConversion"/>
  </si>
  <si>
    <t>TR355876</t>
    <phoneticPr fontId="73" type="noConversion"/>
  </si>
  <si>
    <t>TR355201</t>
    <phoneticPr fontId="73" type="noConversion"/>
  </si>
  <si>
    <t>TR354691</t>
    <phoneticPr fontId="73" type="noConversion"/>
  </si>
  <si>
    <t>TR354691</t>
    <phoneticPr fontId="73" type="noConversion"/>
  </si>
  <si>
    <t>TR355940</t>
    <phoneticPr fontId="73" type="noConversion"/>
  </si>
  <si>
    <t>TR351941</t>
    <phoneticPr fontId="73" type="noConversion"/>
  </si>
  <si>
    <t>TR351941</t>
    <phoneticPr fontId="73" type="noConversion"/>
  </si>
  <si>
    <t>TR355669</t>
    <phoneticPr fontId="73" type="noConversion"/>
  </si>
  <si>
    <t>TR355208</t>
    <phoneticPr fontId="73" type="noConversion"/>
  </si>
  <si>
    <t>TV20261010015</t>
    <phoneticPr fontId="73" type="noConversion"/>
  </si>
  <si>
    <t>TV20261013006</t>
    <phoneticPr fontId="73" type="noConversion"/>
  </si>
  <si>
    <t>TV20261013005</t>
    <phoneticPr fontId="73" type="noConversion"/>
  </si>
  <si>
    <t>TV20261007028</t>
    <phoneticPr fontId="73" type="noConversion"/>
  </si>
  <si>
    <t>TV20261014011</t>
    <phoneticPr fontId="73" type="noConversion"/>
  </si>
  <si>
    <t>TV20261009003</t>
    <phoneticPr fontId="73" type="noConversion"/>
  </si>
  <si>
    <t>TV20261010019</t>
    <phoneticPr fontId="73" type="noConversion"/>
  </si>
  <si>
    <t>TV20261015004</t>
    <phoneticPr fontId="73" type="noConversion"/>
  </si>
  <si>
    <t>TR356620</t>
    <phoneticPr fontId="73" type="noConversion"/>
  </si>
  <si>
    <t>TR356955</t>
    <phoneticPr fontId="73" type="noConversion"/>
  </si>
  <si>
    <t>KS-881478</t>
    <phoneticPr fontId="73" type="noConversion"/>
  </si>
  <si>
    <t>Hàng hyun</t>
    <phoneticPr fontId="73" type="noConversion"/>
  </si>
  <si>
    <t>TV20261010024</t>
    <phoneticPr fontId="73" type="noConversion"/>
  </si>
  <si>
    <t>TV20261010025</t>
    <phoneticPr fontId="73" type="noConversion"/>
  </si>
  <si>
    <t>TV20261010029</t>
    <phoneticPr fontId="73" type="noConversion"/>
  </si>
  <si>
    <t>TV20261007003</t>
    <phoneticPr fontId="73" type="noConversion"/>
  </si>
  <si>
    <t>TV20261007004</t>
    <phoneticPr fontId="73" type="noConversion"/>
  </si>
  <si>
    <t>TV20261007005</t>
    <phoneticPr fontId="73" type="noConversion"/>
  </si>
  <si>
    <t>TV20260821020</t>
    <phoneticPr fontId="73" type="noConversion"/>
  </si>
  <si>
    <t>TV20260821024</t>
    <phoneticPr fontId="73" type="noConversion"/>
  </si>
  <si>
    <t>TV20260819037</t>
    <phoneticPr fontId="73" type="noConversion"/>
  </si>
  <si>
    <t>TR355134</t>
    <phoneticPr fontId="73" type="noConversion"/>
  </si>
  <si>
    <t>TV20261017009</t>
    <phoneticPr fontId="73" type="noConversion"/>
  </si>
  <si>
    <t>TV20261018002</t>
    <phoneticPr fontId="73" type="noConversion"/>
  </si>
  <si>
    <t>TV20261017033</t>
    <phoneticPr fontId="73" type="noConversion"/>
  </si>
  <si>
    <t>TV20261018018</t>
    <phoneticPr fontId="73" type="noConversion"/>
  </si>
  <si>
    <t>TV20261018022</t>
    <phoneticPr fontId="73" type="noConversion"/>
  </si>
  <si>
    <t>TV20261017011</t>
    <phoneticPr fontId="73" type="noConversion"/>
  </si>
  <si>
    <t>TV20261017006</t>
    <phoneticPr fontId="73" type="noConversion"/>
  </si>
  <si>
    <t>KS-881058</t>
    <phoneticPr fontId="73" type="noConversion"/>
  </si>
  <si>
    <t>TV20261017014</t>
    <phoneticPr fontId="73" type="noConversion"/>
  </si>
  <si>
    <t>TV20261017005</t>
    <phoneticPr fontId="73" type="noConversion"/>
  </si>
  <si>
    <t>TV20261010011</t>
    <phoneticPr fontId="73" type="noConversion"/>
  </si>
  <si>
    <t>TV20260601018</t>
    <phoneticPr fontId="73" type="noConversion"/>
  </si>
  <si>
    <t>TV2026052101</t>
    <phoneticPr fontId="73" type="noConversion"/>
  </si>
  <si>
    <t>TV20261017007</t>
    <phoneticPr fontId="73" type="noConversion"/>
  </si>
  <si>
    <t>TV20261017039</t>
    <phoneticPr fontId="73" type="noConversion"/>
  </si>
  <si>
    <t>TV20261017010</t>
    <phoneticPr fontId="73" type="noConversion"/>
  </si>
  <si>
    <t>TV20261017040</t>
    <phoneticPr fontId="73" type="noConversion"/>
  </si>
  <si>
    <t>TV20261002026</t>
    <phoneticPr fontId="73" type="noConversion"/>
  </si>
  <si>
    <t>TV20261017012</t>
    <phoneticPr fontId="73" type="noConversion"/>
  </si>
  <si>
    <t>TV20261017013</t>
    <phoneticPr fontId="73" type="noConversion"/>
  </si>
  <si>
    <t>TV20261019001</t>
    <phoneticPr fontId="73" type="noConversion"/>
  </si>
  <si>
    <t>TV20261014008</t>
    <phoneticPr fontId="73" type="noConversion"/>
  </si>
  <si>
    <t>TV20261015005</t>
    <phoneticPr fontId="73" type="noConversion"/>
  </si>
  <si>
    <t>TV20261018016</t>
    <phoneticPr fontId="73" type="noConversion"/>
  </si>
  <si>
    <t>TV20261017045</t>
    <phoneticPr fontId="73" type="noConversion"/>
  </si>
  <si>
    <t>TV20261017041</t>
    <phoneticPr fontId="73" type="noConversion"/>
  </si>
  <si>
    <t>TV20261006004</t>
    <phoneticPr fontId="73" type="noConversion"/>
  </si>
  <si>
    <t>TV20261010005</t>
    <phoneticPr fontId="73" type="noConversion"/>
  </si>
  <si>
    <t>TV20261009006</t>
    <phoneticPr fontId="73" type="noConversion"/>
  </si>
  <si>
    <t>TV20261017035</t>
    <phoneticPr fontId="73" type="noConversion"/>
  </si>
  <si>
    <t>TR355198</t>
    <phoneticPr fontId="73" type="noConversion"/>
  </si>
  <si>
    <t>KS-870861</t>
    <phoneticPr fontId="73" type="noConversion"/>
  </si>
  <si>
    <t>TV20261018006</t>
    <phoneticPr fontId="73" type="noConversion"/>
  </si>
  <si>
    <t>Hàng hyun</t>
  </si>
  <si>
    <t>TV20261006012</t>
  </si>
  <si>
    <t>TV20261007003</t>
  </si>
  <si>
    <t>TV20261007031</t>
  </si>
  <si>
    <t>TV20261012004</t>
  </si>
  <si>
    <t>TV20261012002</t>
  </si>
  <si>
    <t>TV20261005029</t>
  </si>
  <si>
    <t>TV20261014016</t>
  </si>
  <si>
    <t>TV20261005014</t>
  </si>
  <si>
    <t>TV20261014023</t>
  </si>
  <si>
    <t>TV20261014022</t>
  </si>
  <si>
    <t>TV20261015007</t>
  </si>
  <si>
    <t>TV20261015008</t>
  </si>
  <si>
    <t>TV20261005019</t>
  </si>
  <si>
    <t>TV20261004018</t>
  </si>
  <si>
    <t>TV20261018003</t>
    <phoneticPr fontId="73" type="noConversion"/>
  </si>
  <si>
    <t>TV20261018019</t>
    <phoneticPr fontId="73" type="noConversion"/>
  </si>
  <si>
    <t>TV20261017032</t>
    <phoneticPr fontId="73" type="noConversion"/>
  </si>
  <si>
    <t>TR352902</t>
    <phoneticPr fontId="73" type="noConversion"/>
  </si>
  <si>
    <t>TR356061</t>
    <phoneticPr fontId="73" type="noConversion"/>
  </si>
  <si>
    <t>TR355713</t>
    <phoneticPr fontId="73" type="noConversion"/>
  </si>
  <si>
    <t>TR356463</t>
    <phoneticPr fontId="73" type="noConversion"/>
  </si>
  <si>
    <t>TR356463</t>
    <phoneticPr fontId="73" type="noConversion"/>
  </si>
  <si>
    <t>TR356716</t>
    <phoneticPr fontId="73" type="noConversion"/>
  </si>
  <si>
    <t>TR356716</t>
    <phoneticPr fontId="73" type="noConversion"/>
  </si>
  <si>
    <t>TR354466</t>
    <phoneticPr fontId="73" type="noConversion"/>
  </si>
  <si>
    <t>TR350031</t>
    <phoneticPr fontId="73" type="noConversion"/>
  </si>
  <si>
    <t>TR300652</t>
    <phoneticPr fontId="73" type="noConversion"/>
  </si>
  <si>
    <t>TR354224</t>
    <phoneticPr fontId="73" type="noConversion"/>
  </si>
  <si>
    <t>TR351690</t>
    <phoneticPr fontId="73" type="noConversion"/>
  </si>
  <si>
    <t>TR300155</t>
    <phoneticPr fontId="73" type="noConversion"/>
  </si>
  <si>
    <t>TR352788</t>
    <phoneticPr fontId="73" type="noConversion"/>
  </si>
  <si>
    <t>TR354952</t>
    <phoneticPr fontId="73" type="noConversion"/>
  </si>
  <si>
    <t>TR356497</t>
    <phoneticPr fontId="73" type="noConversion"/>
  </si>
  <si>
    <t>TR356505</t>
    <phoneticPr fontId="73" type="noConversion"/>
  </si>
  <si>
    <t>TR356379</t>
    <phoneticPr fontId="73" type="noConversion"/>
  </si>
  <si>
    <t>TR352431</t>
    <phoneticPr fontId="73" type="noConversion"/>
  </si>
  <si>
    <t>TR354564</t>
    <phoneticPr fontId="73" type="noConversion"/>
  </si>
  <si>
    <t>TR355209</t>
    <phoneticPr fontId="73" type="noConversion"/>
  </si>
  <si>
    <t>TR355209</t>
    <phoneticPr fontId="73" type="noConversion"/>
  </si>
  <si>
    <t>TR354011</t>
    <phoneticPr fontId="73" type="noConversion"/>
  </si>
  <si>
    <t>TR354011</t>
    <phoneticPr fontId="73" type="noConversion"/>
  </si>
  <si>
    <t>2 con 247 nhập nhầm cho nhau 1050</t>
    <phoneticPr fontId="73" type="noConversion"/>
  </si>
  <si>
    <t>TV20261007002</t>
  </si>
  <si>
    <t>TV20261008025</t>
  </si>
  <si>
    <t>TV20261008026</t>
  </si>
  <si>
    <t>TV20261008027</t>
  </si>
  <si>
    <t>TV20261015010</t>
  </si>
  <si>
    <t>TV20261015012</t>
  </si>
  <si>
    <t>TR356379</t>
    <phoneticPr fontId="73" type="noConversion"/>
  </si>
  <si>
    <t>TV20261018004</t>
    <phoneticPr fontId="73" type="noConversion"/>
  </si>
  <si>
    <t>TV20261018005</t>
    <phoneticPr fontId="73" type="noConversion"/>
  </si>
  <si>
    <t>TR354314</t>
    <phoneticPr fontId="73" type="noConversion"/>
  </si>
  <si>
    <t>TR354314</t>
    <phoneticPr fontId="73" type="noConversion"/>
  </si>
  <si>
    <t>KS-870252</t>
    <phoneticPr fontId="73" type="noConversion"/>
  </si>
  <si>
    <t>TR354314</t>
    <phoneticPr fontId="73" type="noConversion"/>
  </si>
  <si>
    <t>TV20261019023</t>
    <phoneticPr fontId="73" type="noConversion"/>
  </si>
  <si>
    <t>TK20261018009-6</t>
    <phoneticPr fontId="73" type="noConversion"/>
  </si>
  <si>
    <t>TK20261021010-6</t>
    <phoneticPr fontId="73" type="noConversion"/>
  </si>
  <si>
    <t>TK20261021024-13</t>
    <phoneticPr fontId="73" type="noConversion"/>
  </si>
  <si>
    <t>TV20261019017</t>
    <phoneticPr fontId="73" type="noConversion"/>
  </si>
  <si>
    <t>TV20261019016</t>
    <phoneticPr fontId="73" type="noConversion"/>
  </si>
  <si>
    <t>TV20261019003</t>
    <phoneticPr fontId="73" type="noConversion"/>
  </si>
  <si>
    <t>TV20261019004</t>
    <phoneticPr fontId="73" type="noConversion"/>
  </si>
  <si>
    <t>TV20261021003</t>
    <phoneticPr fontId="73" type="noConversion"/>
  </si>
  <si>
    <t>TV20261019012</t>
    <phoneticPr fontId="73" type="noConversion"/>
  </si>
  <si>
    <t>TV20261019013</t>
    <phoneticPr fontId="73" type="noConversion"/>
  </si>
  <si>
    <t>TV20261021014</t>
    <phoneticPr fontId="73" type="noConversion"/>
  </si>
  <si>
    <t>TV20261020002</t>
    <phoneticPr fontId="73" type="noConversion"/>
  </si>
  <si>
    <t>TV20261020001</t>
    <phoneticPr fontId="73" type="noConversion"/>
  </si>
  <si>
    <t>TV20261015011</t>
  </si>
  <si>
    <t>TV20261015014</t>
  </si>
  <si>
    <t>TV20261015015</t>
  </si>
  <si>
    <t>TR300652</t>
    <phoneticPr fontId="7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</si>
</sst>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176" formatCode="_-* #,##0_-;\-* #,##0_-;_-* &quot;-&quot;_-;_-@_-"/>
    <numFmt numFmtId="177" formatCode="_-* #,##0.00_-;\-* #,##0.00_-;_-* &quot;-&quot;??_-;_-@_-"/>
    <numFmt numFmtId="178" formatCode="_(* #,##0.00_);_(* \(#,##0.00\);_(* &quot;-&quot;??_);_(@_)"/>
    <numFmt numFmtId="179" formatCode="_(* #,##0_);_(* \(#,##0\);_(* &quot;-&quot;_);_(@_)"/>
    <numFmt numFmtId="180" formatCode="m/d;@"/>
    <numFmt numFmtId="181" formatCode="0_ ;[Red]\-0\ "/>
    <numFmt numFmtId="182" formatCode="0_);[Red]\(0\)"/>
    <numFmt numFmtId="183" formatCode="#,##0_);[Red]\(#,##0\)"/>
    <numFmt numFmtId="184" formatCode="_(* #,##0_);_(* \(#,##0\);_(* &quot;-&quot;??_);_(@_)"/>
    <numFmt numFmtId="185" formatCode="[$-409]d\-mmm;@"/>
    <numFmt numFmtId="186" formatCode="#,##0_ ;[Red]\-#,##0\ "/>
    <numFmt numFmtId="187" formatCode="_(* #,##0.000_);_(* \(#,##0.000\);_(* &quot;-&quot;_);_(@_)"/>
    <numFmt numFmtId="188" formatCode="_(* #,##0.0_);_(* \(#,##0.0\);_(* &quot;-&quot;_);_(@_)"/>
    <numFmt numFmtId="189" formatCode="m&quot;月&quot;d&quot;日&quot;;@"/>
    <numFmt numFmtId="190" formatCode="_-* #,##0.0000_-;\-* #,##0.0000_-;_-* &quot;-&quot;_-;_-@_-"/>
    <numFmt numFmtId="191" formatCode="#,##0.0000"/>
    <numFmt numFmtId="192" formatCode="#,##0.0_);[Red]\(#,##0.0\)"/>
    <numFmt numFmtId="193" formatCode="_-* #,##0_-;\-* #,##0_-;_-* &quot;-&quot;??_-;_-@_-"/>
    <numFmt numFmtId="194" formatCode="[$-1010000]yyyy/mm/dd;@"/>
    <numFmt numFmtId="195" formatCode="[$-409]d/mmm;@"/>
  </numFmts>
  <fonts count="79">
    <font>
      <sz val="11"/>
      <color theme="1"/>
      <name val="맑은 고딕"/>
      <charset val="129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70C0"/>
      <name val="Times New Roman"/>
      <family val="1"/>
    </font>
    <font>
      <b/>
      <sz val="1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sz val="1"/>
      <color theme="1"/>
      <name val="Times New Roman"/>
      <family val="1"/>
    </font>
    <font>
      <sz val="11"/>
      <color rgb="FFFF0000"/>
      <name val="Times New Roman"/>
      <family val="1"/>
    </font>
    <font>
      <b/>
      <sz val="10"/>
      <name val="Times New Roman"/>
      <family val="1"/>
    </font>
    <font>
      <sz val="11"/>
      <color rgb="FF0070C0"/>
      <name val="Times New Roman"/>
      <family val="1"/>
    </font>
    <font>
      <b/>
      <sz val="11"/>
      <color rgb="FF0070C0"/>
      <name val="Times New Roman"/>
      <family val="1"/>
    </font>
    <font>
      <b/>
      <sz val="10"/>
      <color theme="8" tint="-0.249977111117893"/>
      <name val="Times New Roman"/>
      <family val="1"/>
    </font>
    <font>
      <b/>
      <sz val="10"/>
      <color theme="1"/>
      <name val="Times New Roman"/>
      <family val="1"/>
    </font>
    <font>
      <b/>
      <sz val="10"/>
      <color theme="9" tint="-0.249977111117893"/>
      <name val="Times New Roman"/>
      <family val="1"/>
    </font>
    <font>
      <b/>
      <sz val="8"/>
      <name val="맑은 고딕"/>
      <family val="3"/>
      <charset val="129"/>
    </font>
    <font>
      <b/>
      <sz val="16"/>
      <color theme="1"/>
      <name val="Times New Roman"/>
      <family val="1"/>
    </font>
    <font>
      <b/>
      <sz val="22"/>
      <color theme="1"/>
      <name val="Times New Roman"/>
      <family val="1"/>
    </font>
    <font>
      <b/>
      <sz val="10"/>
      <color rgb="FF0070C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3"/>
      <name val="Arial"/>
      <family val="2"/>
    </font>
    <font>
      <sz val="12"/>
      <name val="Arial"/>
      <family val="2"/>
    </font>
    <font>
      <b/>
      <sz val="18"/>
      <color theme="1"/>
      <name val="alib"/>
      <family val="2"/>
    </font>
    <font>
      <b/>
      <sz val="18"/>
      <color theme="1"/>
      <name val="alib"/>
      <family val="2"/>
    </font>
    <font>
      <b/>
      <sz val="13"/>
      <color theme="1"/>
      <name val="alib"/>
      <family val="2"/>
    </font>
    <font>
      <b/>
      <sz val="18"/>
      <color theme="1"/>
      <name val="돋움"/>
      <family val="3"/>
      <charset val="129"/>
    </font>
    <font>
      <b/>
      <sz val="12"/>
      <color theme="1"/>
      <name val="Arial"/>
      <family val="2"/>
    </font>
    <font>
      <b/>
      <sz val="13"/>
      <color theme="1"/>
      <name val="Arial"/>
      <family val="2"/>
    </font>
    <font>
      <b/>
      <sz val="18"/>
      <color theme="1"/>
      <name val="Arial"/>
      <family val="2"/>
    </font>
    <font>
      <b/>
      <sz val="10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3"/>
      <name val="Times New Roman"/>
      <family val="1"/>
    </font>
    <font>
      <b/>
      <sz val="10"/>
      <color rgb="FFC00000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b/>
      <sz val="10"/>
      <name val="Arial"/>
      <family val="2"/>
    </font>
    <font>
      <b/>
      <sz val="13"/>
      <name val="Arial"/>
      <family val="2"/>
    </font>
    <font>
      <b/>
      <i/>
      <sz val="10"/>
      <name val="Arial"/>
      <family val="2"/>
    </font>
    <font>
      <b/>
      <sz val="10"/>
      <color indexed="8"/>
      <name val="Arial"/>
      <family val="2"/>
    </font>
    <font>
      <b/>
      <sz val="13"/>
      <color indexed="8"/>
      <name val="Arial"/>
      <family val="2"/>
    </font>
    <font>
      <sz val="10"/>
      <color theme="1"/>
      <name val="Arial"/>
      <family val="2"/>
    </font>
    <font>
      <sz val="12"/>
      <name val="Times New Roman"/>
      <family val="1"/>
    </font>
    <font>
      <sz val="12"/>
      <color indexed="42"/>
      <name val="Times New Roman"/>
      <family val="1"/>
    </font>
    <font>
      <b/>
      <sz val="18"/>
      <color rgb="FF000000"/>
      <name val="Times New Roman"/>
      <family val="1"/>
    </font>
    <font>
      <sz val="12"/>
      <color indexed="8"/>
      <name val="Times New Roman"/>
      <family val="1"/>
    </font>
    <font>
      <sz val="9"/>
      <color theme="1"/>
      <name val="Times New Roman"/>
      <family val="1"/>
    </font>
    <font>
      <b/>
      <sz val="8"/>
      <color rgb="FF0070C0"/>
      <name val="Times New Roman"/>
      <family val="1"/>
    </font>
    <font>
      <sz val="10"/>
      <name val="Times New Roman"/>
      <family val="1"/>
    </font>
    <font>
      <sz val="6"/>
      <color theme="1"/>
      <name val="Times New Roman"/>
      <family val="1"/>
    </font>
    <font>
      <b/>
      <sz val="9"/>
      <color theme="1"/>
      <name val="Times New Roman"/>
      <family val="1"/>
    </font>
    <font>
      <sz val="8"/>
      <name val="Times New Roman"/>
      <family val="1"/>
    </font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0"/>
      <color theme="1"/>
      <name val="바탕"/>
      <family val="1"/>
      <charset val="129"/>
    </font>
    <font>
      <b/>
      <sz val="10"/>
      <color theme="1"/>
      <name val="바탕"/>
      <family val="1"/>
      <charset val="129"/>
    </font>
    <font>
      <sz val="11"/>
      <color theme="1"/>
      <name val="바탕"/>
      <family val="1"/>
      <charset val="129"/>
    </font>
    <font>
      <b/>
      <sz val="16"/>
      <color theme="1"/>
      <name val="바탕"/>
      <family val="1"/>
      <charset val="129"/>
    </font>
    <font>
      <b/>
      <sz val="18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b/>
      <sz val="9"/>
      <name val="Tahoma"/>
      <family val="2"/>
    </font>
    <font>
      <sz val="9"/>
      <name val="Tahoma"/>
      <family val="2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2"/>
      <color theme="1"/>
      <name val="바탕"/>
      <family val="1"/>
      <charset val="129"/>
    </font>
    <font>
      <b/>
      <sz val="28"/>
      <color theme="1"/>
      <name val="Times New Roman"/>
      <family val="1"/>
    </font>
    <font>
      <b/>
      <sz val="10"/>
      <color indexed="8"/>
      <name val="바탕"/>
      <family val="1"/>
      <charset val="129"/>
    </font>
    <font>
      <b/>
      <sz val="10"/>
      <color rgb="FF000000"/>
      <name val="바탕"/>
      <family val="1"/>
      <charset val="129"/>
    </font>
    <font>
      <sz val="12"/>
      <color rgb="FFFF0000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8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theme="2" tint="-0.749961851863155"/>
      </right>
      <top style="medium">
        <color auto="1"/>
      </top>
      <bottom/>
      <diagonal/>
    </border>
    <border>
      <left style="thin">
        <color theme="2" tint="-0.749961851863155"/>
      </left>
      <right style="thin">
        <color theme="2" tint="-0.749961851863155"/>
      </right>
      <top style="medium">
        <color auto="1"/>
      </top>
      <bottom/>
      <diagonal/>
    </border>
    <border>
      <left style="thin">
        <color theme="2" tint="-0.749961851863155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theme="2" tint="-0.749961851863155"/>
      </right>
      <top/>
      <bottom/>
      <diagonal/>
    </border>
    <border>
      <left style="thin">
        <color theme="2" tint="-0.749961851863155"/>
      </left>
      <right style="thin">
        <color theme="2" tint="-0.749961851863155"/>
      </right>
      <top/>
      <bottom style="thin">
        <color theme="2" tint="-0.749961851863155"/>
      </bottom>
      <diagonal/>
    </border>
    <border>
      <left style="thin">
        <color theme="2" tint="-0.749961851863155"/>
      </left>
      <right/>
      <top/>
      <bottom style="thin">
        <color theme="2" tint="-0.749961851863155"/>
      </bottom>
      <diagonal/>
    </border>
    <border>
      <left/>
      <right/>
      <top/>
      <bottom style="thin">
        <color theme="2" tint="-0.749961851863155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/>
      <diagonal/>
    </border>
    <border>
      <left style="thin">
        <color theme="2" tint="-0.749961851863155"/>
      </left>
      <right style="thin">
        <color theme="2" tint="-0.749961851863155"/>
      </right>
      <top style="thin">
        <color auto="1"/>
      </top>
      <bottom/>
      <diagonal/>
    </border>
    <border>
      <left style="thin">
        <color theme="2" tint="-0.749961851863155"/>
      </left>
      <right style="thin">
        <color theme="2" tint="-0.749961851863155"/>
      </right>
      <top/>
      <bottom/>
      <diagonal/>
    </border>
    <border>
      <left style="thin">
        <color theme="2" tint="-0.749961851863155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2" tint="-0.749961851863155"/>
      </left>
      <right style="medium">
        <color auto="1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auto="1"/>
      </bottom>
      <diagonal/>
    </border>
    <border>
      <left style="medium">
        <color auto="1"/>
      </left>
      <right style="thin">
        <color theme="2" tint="-0.749961851863155"/>
      </right>
      <top style="thin">
        <color theme="2" tint="-0.749961851863155"/>
      </top>
      <bottom/>
      <diagonal/>
    </border>
    <border>
      <left/>
      <right style="thin">
        <color theme="2" tint="-0.749961851863155"/>
      </right>
      <top style="thin">
        <color theme="2" tint="-0.749961851863155"/>
      </top>
      <bottom/>
      <diagonal/>
    </border>
    <border>
      <left style="medium">
        <color auto="1"/>
      </left>
      <right style="thin">
        <color auto="1"/>
      </right>
      <top style="thin">
        <color theme="2" tint="-0.749961851863155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theme="2" tint="-0.749961851863155"/>
      </right>
      <top/>
      <bottom/>
      <diagonal/>
    </border>
    <border>
      <left style="thin">
        <color auto="1"/>
      </left>
      <right style="thin">
        <color theme="2" tint="-0.749961851863155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theme="2" tint="-0.749961851863155"/>
      </right>
      <top style="thin">
        <color auto="1"/>
      </top>
      <bottom style="medium">
        <color auto="1"/>
      </bottom>
      <diagonal/>
    </border>
    <border>
      <left style="thin">
        <color theme="2" tint="-0.749961851863155"/>
      </left>
      <right style="thin">
        <color theme="2" tint="-0.749961851863155"/>
      </right>
      <top/>
      <bottom style="medium">
        <color auto="1"/>
      </bottom>
      <diagonal/>
    </border>
    <border>
      <left/>
      <right style="thin">
        <color theme="2" tint="-0.749961851863155"/>
      </right>
      <top/>
      <bottom style="medium">
        <color auto="1"/>
      </bottom>
      <diagonal/>
    </border>
    <border>
      <left style="thin">
        <color rgb="FF000000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7">
    <xf numFmtId="0" fontId="0" fillId="0" borderId="0"/>
    <xf numFmtId="178" fontId="72" fillId="0" borderId="0" applyFont="0" applyFill="0" applyBorder="0" applyAlignment="0" applyProtection="0"/>
    <xf numFmtId="179" fontId="72" fillId="0" borderId="0" applyFont="0" applyFill="0" applyBorder="0" applyAlignment="0" applyProtection="0"/>
    <xf numFmtId="179" fontId="61" fillId="0" borderId="0" applyFont="0" applyFill="0" applyBorder="0" applyAlignment="0" applyProtection="0"/>
    <xf numFmtId="176" fontId="61" fillId="0" borderId="0" applyFont="0" applyFill="0" applyBorder="0" applyAlignment="0" applyProtection="0"/>
    <xf numFmtId="176" fontId="72" fillId="0" borderId="0" applyFont="0" applyFill="0" applyBorder="0" applyAlignment="0" applyProtection="0"/>
    <xf numFmtId="176" fontId="62" fillId="0" borderId="0" applyFont="0" applyFill="0" applyBorder="0" applyAlignment="0" applyProtection="0"/>
    <xf numFmtId="178" fontId="61" fillId="0" borderId="0" applyFont="0" applyFill="0" applyBorder="0" applyAlignment="0" applyProtection="0"/>
    <xf numFmtId="177" fontId="61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62" fillId="0" borderId="0" applyFont="0" applyFill="0" applyBorder="0" applyAlignment="0" applyProtection="0"/>
    <xf numFmtId="0" fontId="61" fillId="0" borderId="0"/>
    <xf numFmtId="0" fontId="72" fillId="0" borderId="0">
      <alignment vertical="center"/>
    </xf>
    <xf numFmtId="1" fontId="63" fillId="0" borderId="0"/>
    <xf numFmtId="0" fontId="62" fillId="0" borderId="0"/>
    <xf numFmtId="0" fontId="62" fillId="0" borderId="0"/>
    <xf numFmtId="176" fontId="62" fillId="0" borderId="0" applyFont="0" applyFill="0" applyBorder="0" applyAlignment="0" applyProtection="0"/>
  </cellStyleXfs>
  <cellXfs count="449">
    <xf numFmtId="0" fontId="0" fillId="0" borderId="0" xfId="0"/>
    <xf numFmtId="0" fontId="1" fillId="2" borderId="0" xfId="0" applyFont="1" applyFill="1" applyAlignment="1">
      <alignment horizontal="center"/>
    </xf>
    <xf numFmtId="180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shrinkToFit="1"/>
    </xf>
    <xf numFmtId="0" fontId="3" fillId="0" borderId="0" xfId="0" applyFont="1" applyAlignment="1">
      <alignment horizontal="center" shrinkToFit="1"/>
    </xf>
    <xf numFmtId="0" fontId="4" fillId="0" borderId="0" xfId="0" applyFont="1" applyAlignment="1">
      <alignment horizontal="center" vertical="center"/>
    </xf>
    <xf numFmtId="181" fontId="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82" fontId="6" fillId="0" borderId="0" xfId="0" applyNumberFormat="1" applyFont="1" applyAlignment="1">
      <alignment horizontal="center"/>
    </xf>
    <xf numFmtId="183" fontId="7" fillId="0" borderId="0" xfId="1" applyNumberFormat="1" applyFont="1" applyAlignment="1">
      <alignment horizontal="center"/>
    </xf>
    <xf numFmtId="181" fontId="8" fillId="3" borderId="1" xfId="0" applyNumberFormat="1" applyFont="1" applyFill="1" applyBorder="1" applyAlignment="1">
      <alignment vertical="center"/>
    </xf>
    <xf numFmtId="181" fontId="9" fillId="3" borderId="1" xfId="0" applyNumberFormat="1" applyFont="1" applyFill="1" applyBorder="1" applyAlignment="1">
      <alignment vertical="center"/>
    </xf>
    <xf numFmtId="181" fontId="10" fillId="3" borderId="1" xfId="0" applyNumberFormat="1" applyFont="1" applyFill="1" applyBorder="1" applyAlignment="1">
      <alignment horizontal="center" vertical="center"/>
    </xf>
    <xf numFmtId="181" fontId="11" fillId="3" borderId="1" xfId="0" applyNumberFormat="1" applyFont="1" applyFill="1" applyBorder="1" applyAlignment="1">
      <alignment vertical="center"/>
    </xf>
    <xf numFmtId="0" fontId="6" fillId="2" borderId="0" xfId="0" applyFont="1" applyFill="1" applyAlignment="1">
      <alignment horizontal="center"/>
    </xf>
    <xf numFmtId="184" fontId="6" fillId="2" borderId="0" xfId="0" applyNumberFormat="1" applyFont="1" applyFill="1" applyAlignment="1">
      <alignment horizontal="center"/>
    </xf>
    <xf numFmtId="182" fontId="6" fillId="2" borderId="0" xfId="0" applyNumberFormat="1" applyFont="1" applyFill="1" applyAlignment="1">
      <alignment horizontal="center"/>
    </xf>
    <xf numFmtId="183" fontId="7" fillId="2" borderId="0" xfId="1" applyNumberFormat="1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180" fontId="2" fillId="4" borderId="2" xfId="0" applyNumberFormat="1" applyFont="1" applyFill="1" applyBorder="1" applyAlignment="1">
      <alignment horizontal="center" vertical="center"/>
    </xf>
    <xf numFmtId="180" fontId="13" fillId="4" borderId="2" xfId="0" applyNumberFormat="1" applyFont="1" applyFill="1" applyBorder="1" applyAlignment="1">
      <alignment horizontal="center" vertical="center"/>
    </xf>
    <xf numFmtId="180" fontId="2" fillId="4" borderId="3" xfId="0" applyNumberFormat="1" applyFont="1" applyFill="1" applyBorder="1" applyAlignment="1">
      <alignment horizontal="center" vertical="center"/>
    </xf>
    <xf numFmtId="180" fontId="2" fillId="5" borderId="3" xfId="0" applyNumberFormat="1" applyFont="1" applyFill="1" applyBorder="1" applyAlignment="1">
      <alignment horizontal="center" vertical="center"/>
    </xf>
    <xf numFmtId="185" fontId="13" fillId="5" borderId="3" xfId="0" applyNumberFormat="1" applyFont="1" applyFill="1" applyBorder="1" applyAlignment="1">
      <alignment horizontal="center" vertical="center"/>
    </xf>
    <xf numFmtId="183" fontId="14" fillId="2" borderId="0" xfId="1" applyNumberFormat="1" applyFont="1" applyFill="1" applyAlignment="1">
      <alignment horizontal="center"/>
    </xf>
    <xf numFmtId="181" fontId="1" fillId="2" borderId="2" xfId="0" applyNumberFormat="1" applyFont="1" applyFill="1" applyBorder="1" applyAlignment="1">
      <alignment horizontal="center" shrinkToFit="1"/>
    </xf>
    <xf numFmtId="0" fontId="5" fillId="0" borderId="2" xfId="0" applyFont="1" applyBorder="1" applyAlignment="1">
      <alignment horizontal="center" shrinkToFit="1"/>
    </xf>
    <xf numFmtId="0" fontId="1" fillId="2" borderId="3" xfId="0" applyFont="1" applyFill="1" applyBorder="1" applyAlignment="1">
      <alignment horizontal="center" shrinkToFit="1"/>
    </xf>
    <xf numFmtId="184" fontId="15" fillId="6" borderId="3" xfId="1" applyNumberFormat="1" applyFont="1" applyFill="1" applyBorder="1" applyAlignment="1">
      <alignment horizontal="center" shrinkToFit="1"/>
    </xf>
    <xf numFmtId="184" fontId="16" fillId="7" borderId="3" xfId="1" applyNumberFormat="1" applyFont="1" applyFill="1" applyBorder="1" applyAlignment="1">
      <alignment horizontal="center" shrinkToFit="1"/>
    </xf>
    <xf numFmtId="38" fontId="17" fillId="2" borderId="3" xfId="1" applyNumberFormat="1" applyFont="1" applyFill="1" applyBorder="1" applyAlignment="1">
      <alignment horizontal="center" shrinkToFit="1"/>
    </xf>
    <xf numFmtId="38" fontId="18" fillId="2" borderId="3" xfId="1" applyNumberFormat="1" applyFont="1" applyFill="1" applyBorder="1" applyAlignment="1">
      <alignment horizontal="center" shrinkToFit="1"/>
    </xf>
    <xf numFmtId="183" fontId="14" fillId="2" borderId="0" xfId="1" applyNumberFormat="1" applyFont="1" applyFill="1" applyAlignment="1">
      <alignment horizontal="center" shrinkToFit="1"/>
    </xf>
    <xf numFmtId="183" fontId="1" fillId="0" borderId="0" xfId="0" applyNumberFormat="1" applyFont="1" applyAlignment="1">
      <alignment horizontal="center" shrinkToFit="1"/>
    </xf>
    <xf numFmtId="38" fontId="16" fillId="7" borderId="3" xfId="1" applyNumberFormat="1" applyFont="1" applyFill="1" applyBorder="1" applyAlignment="1">
      <alignment horizontal="center" shrinkToFit="1"/>
    </xf>
    <xf numFmtId="0" fontId="19" fillId="2" borderId="4" xfId="14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center" shrinkToFit="1"/>
    </xf>
    <xf numFmtId="184" fontId="15" fillId="6" borderId="5" xfId="1" applyNumberFormat="1" applyFont="1" applyFill="1" applyBorder="1" applyAlignment="1">
      <alignment horizontal="center" shrinkToFit="1"/>
    </xf>
    <xf numFmtId="184" fontId="16" fillId="7" borderId="5" xfId="1" applyNumberFormat="1" applyFont="1" applyFill="1" applyBorder="1" applyAlignment="1">
      <alignment horizontal="center" shrinkToFit="1"/>
    </xf>
    <xf numFmtId="38" fontId="17" fillId="2" borderId="5" xfId="1" applyNumberFormat="1" applyFont="1" applyFill="1" applyBorder="1" applyAlignment="1">
      <alignment horizontal="center" shrinkToFit="1"/>
    </xf>
    <xf numFmtId="38" fontId="18" fillId="2" borderId="5" xfId="1" applyNumberFormat="1" applyFont="1" applyFill="1" applyBorder="1" applyAlignment="1">
      <alignment horizontal="center" shrinkToFit="1"/>
    </xf>
    <xf numFmtId="181" fontId="3" fillId="2" borderId="0" xfId="0" applyNumberFormat="1" applyFont="1" applyFill="1" applyAlignment="1">
      <alignment horizontal="center" shrinkToFit="1"/>
    </xf>
    <xf numFmtId="0" fontId="5" fillId="0" borderId="0" xfId="0" applyFont="1" applyAlignment="1">
      <alignment horizontal="center" shrinkToFit="1"/>
    </xf>
    <xf numFmtId="184" fontId="21" fillId="8" borderId="0" xfId="1" applyNumberFormat="1" applyFont="1" applyFill="1" applyAlignment="1">
      <alignment horizontal="center" shrinkToFit="1"/>
    </xf>
    <xf numFmtId="183" fontId="15" fillId="8" borderId="0" xfId="1" applyNumberFormat="1" applyFont="1" applyFill="1" applyAlignment="1">
      <alignment horizontal="center" shrinkToFit="1"/>
    </xf>
    <xf numFmtId="181" fontId="4" fillId="2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85" fontId="17" fillId="9" borderId="2" xfId="0" applyNumberFormat="1" applyFont="1" applyFill="1" applyBorder="1" applyAlignment="1">
      <alignment horizontal="center" vertical="center"/>
    </xf>
    <xf numFmtId="181" fontId="1" fillId="0" borderId="2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84" fontId="4" fillId="5" borderId="2" xfId="1" applyNumberFormat="1" applyFont="1" applyFill="1" applyBorder="1" applyAlignment="1">
      <alignment horizontal="center"/>
    </xf>
    <xf numFmtId="184" fontId="6" fillId="2" borderId="3" xfId="1" applyNumberFormat="1" applyFont="1" applyFill="1" applyBorder="1" applyAlignment="1">
      <alignment horizontal="center"/>
    </xf>
    <xf numFmtId="184" fontId="6" fillId="2" borderId="5" xfId="1" applyNumberFormat="1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181" fontId="4" fillId="4" borderId="2" xfId="0" applyNumberFormat="1" applyFont="1" applyFill="1" applyBorder="1" applyAlignment="1">
      <alignment horizontal="center" vertical="center"/>
    </xf>
    <xf numFmtId="184" fontId="4" fillId="2" borderId="5" xfId="0" applyNumberFormat="1" applyFont="1" applyFill="1" applyBorder="1" applyAlignment="1">
      <alignment horizontal="center" vertical="center"/>
    </xf>
    <xf numFmtId="185" fontId="13" fillId="11" borderId="3" xfId="0" applyNumberFormat="1" applyFont="1" applyFill="1" applyBorder="1" applyAlignment="1">
      <alignment horizontal="center" vertical="center"/>
    </xf>
    <xf numFmtId="185" fontId="17" fillId="10" borderId="3" xfId="0" applyNumberFormat="1" applyFont="1" applyFill="1" applyBorder="1" applyAlignment="1">
      <alignment horizontal="center" vertical="center"/>
    </xf>
    <xf numFmtId="183" fontId="22" fillId="0" borderId="0" xfId="1" applyNumberFormat="1" applyFont="1" applyAlignment="1">
      <alignment horizontal="center" vertical="center"/>
    </xf>
    <xf numFmtId="181" fontId="1" fillId="0" borderId="2" xfId="0" applyNumberFormat="1" applyFont="1" applyBorder="1" applyAlignment="1">
      <alignment horizontal="center" shrinkToFit="1"/>
    </xf>
    <xf numFmtId="184" fontId="4" fillId="8" borderId="2" xfId="1" applyNumberFormat="1" applyFont="1" applyFill="1" applyBorder="1" applyAlignment="1">
      <alignment horizontal="center" shrinkToFit="1"/>
    </xf>
    <xf numFmtId="38" fontId="6" fillId="2" borderId="2" xfId="1" applyNumberFormat="1" applyFont="1" applyFill="1" applyBorder="1" applyAlignment="1">
      <alignment horizontal="center" shrinkToFit="1"/>
    </xf>
    <xf numFmtId="183" fontId="7" fillId="0" borderId="0" xfId="1" applyNumberFormat="1" applyFont="1" applyAlignment="1">
      <alignment horizontal="center" shrinkToFit="1"/>
    </xf>
    <xf numFmtId="184" fontId="4" fillId="2" borderId="2" xfId="1" applyNumberFormat="1" applyFont="1" applyFill="1" applyBorder="1" applyAlignment="1">
      <alignment horizontal="center" shrinkToFit="1"/>
    </xf>
    <xf numFmtId="184" fontId="4" fillId="3" borderId="2" xfId="1" applyNumberFormat="1" applyFont="1" applyFill="1" applyBorder="1" applyAlignment="1">
      <alignment horizontal="center" shrinkToFit="1"/>
    </xf>
    <xf numFmtId="0" fontId="9" fillId="4" borderId="2" xfId="0" applyFont="1" applyFill="1" applyBorder="1" applyAlignment="1">
      <alignment horizontal="center" vertical="center"/>
    </xf>
    <xf numFmtId="184" fontId="4" fillId="2" borderId="2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shrinkToFit="1"/>
    </xf>
    <xf numFmtId="184" fontId="4" fillId="8" borderId="2" xfId="1" applyNumberFormat="1" applyFont="1" applyFill="1" applyBorder="1" applyAlignment="1">
      <alignment horizontal="center" vertical="center" shrinkToFit="1"/>
    </xf>
    <xf numFmtId="184" fontId="4" fillId="9" borderId="2" xfId="1" applyNumberFormat="1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184" fontId="1" fillId="0" borderId="0" xfId="1" applyNumberFormat="1" applyFont="1" applyAlignment="1">
      <alignment horizontal="center"/>
    </xf>
    <xf numFmtId="184" fontId="4" fillId="8" borderId="0" xfId="1" applyNumberFormat="1" applyFont="1" applyFill="1" applyAlignment="1">
      <alignment horizontal="center"/>
    </xf>
    <xf numFmtId="0" fontId="2" fillId="10" borderId="2" xfId="0" applyFont="1" applyFill="1" applyBorder="1" applyAlignment="1">
      <alignment horizontal="center" vertical="center"/>
    </xf>
    <xf numFmtId="184" fontId="4" fillId="10" borderId="2" xfId="1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84" fontId="1" fillId="0" borderId="2" xfId="1" applyNumberFormat="1" applyFont="1" applyBorder="1" applyAlignment="1">
      <alignment horizontal="center"/>
    </xf>
    <xf numFmtId="184" fontId="24" fillId="6" borderId="2" xfId="1" applyNumberFormat="1" applyFont="1" applyFill="1" applyBorder="1" applyAlignment="1">
      <alignment horizontal="center"/>
    </xf>
    <xf numFmtId="184" fontId="24" fillId="8" borderId="0" xfId="1" applyNumberFormat="1" applyFont="1" applyFill="1" applyAlignment="1">
      <alignment horizontal="center"/>
    </xf>
    <xf numFmtId="184" fontId="23" fillId="0" borderId="0" xfId="0" applyNumberFormat="1" applyFon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184" fontId="1" fillId="2" borderId="2" xfId="1" applyNumberFormat="1" applyFont="1" applyFill="1" applyBorder="1" applyAlignment="1">
      <alignment horizontal="center"/>
    </xf>
    <xf numFmtId="0" fontId="25" fillId="2" borderId="2" xfId="0" applyFont="1" applyFill="1" applyBorder="1" applyAlignment="1">
      <alignment horizontal="center" vertical="center"/>
    </xf>
    <xf numFmtId="184" fontId="1" fillId="0" borderId="0" xfId="0" applyNumberFormat="1" applyFont="1" applyAlignment="1">
      <alignment horizontal="center"/>
    </xf>
    <xf numFmtId="184" fontId="1" fillId="9" borderId="2" xfId="1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5" fillId="0" borderId="0" xfId="14" applyFont="1"/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84" fontId="26" fillId="2" borderId="0" xfId="1" applyNumberFormat="1" applyFont="1" applyFill="1" applyAlignment="1">
      <alignment horizontal="center"/>
    </xf>
    <xf numFmtId="179" fontId="26" fillId="0" borderId="0" xfId="2" applyFont="1"/>
    <xf numFmtId="0" fontId="27" fillId="0" borderId="0" xfId="14" applyFont="1"/>
    <xf numFmtId="0" fontId="28" fillId="0" borderId="0" xfId="14" applyFont="1"/>
    <xf numFmtId="0" fontId="29" fillId="0" borderId="0" xfId="14" applyFont="1"/>
    <xf numFmtId="179" fontId="28" fillId="0" borderId="0" xfId="2" applyFont="1"/>
    <xf numFmtId="179" fontId="30" fillId="2" borderId="0" xfId="2" applyFont="1" applyFill="1" applyAlignment="1">
      <alignment horizontal="right"/>
    </xf>
    <xf numFmtId="179" fontId="26" fillId="2" borderId="0" xfId="2" applyFont="1" applyFill="1" applyAlignment="1">
      <alignment horizontal="right"/>
    </xf>
    <xf numFmtId="38" fontId="26" fillId="2" borderId="0" xfId="1" applyNumberFormat="1" applyFont="1" applyFill="1" applyAlignment="1">
      <alignment horizontal="center"/>
    </xf>
    <xf numFmtId="181" fontId="26" fillId="0" borderId="0" xfId="14" applyNumberFormat="1" applyFont="1"/>
    <xf numFmtId="0" fontId="26" fillId="0" borderId="0" xfId="14" applyFont="1"/>
    <xf numFmtId="0" fontId="32" fillId="0" borderId="0" xfId="0" applyFont="1" applyAlignment="1">
      <alignment horizontal="center" wrapText="1"/>
    </xf>
    <xf numFmtId="38" fontId="34" fillId="2" borderId="0" xfId="1" applyNumberFormat="1" applyFont="1" applyFill="1" applyAlignment="1">
      <alignment horizontal="center" wrapText="1"/>
    </xf>
    <xf numFmtId="0" fontId="36" fillId="2" borderId="0" xfId="0" applyFont="1" applyFill="1" applyAlignment="1">
      <alignment horizontal="left" vertical="center" wrapText="1"/>
    </xf>
    <xf numFmtId="0" fontId="37" fillId="2" borderId="0" xfId="0" applyFont="1" applyFill="1" applyAlignment="1">
      <alignment horizontal="center" vertical="center" wrapText="1"/>
    </xf>
    <xf numFmtId="0" fontId="37" fillId="2" borderId="0" xfId="0" applyFont="1" applyFill="1" applyAlignment="1">
      <alignment horizontal="center" vertical="center"/>
    </xf>
    <xf numFmtId="181" fontId="25" fillId="0" borderId="0" xfId="14" applyNumberFormat="1" applyFont="1"/>
    <xf numFmtId="179" fontId="38" fillId="2" borderId="2" xfId="2" applyFont="1" applyFill="1" applyBorder="1" applyAlignment="1">
      <alignment horizontal="center" vertical="center" wrapText="1"/>
    </xf>
    <xf numFmtId="179" fontId="38" fillId="2" borderId="22" xfId="2" applyFont="1" applyFill="1" applyBorder="1" applyAlignment="1">
      <alignment horizontal="center" vertical="center"/>
    </xf>
    <xf numFmtId="181" fontId="2" fillId="0" borderId="0" xfId="14" applyNumberFormat="1" applyFont="1" applyAlignment="1">
      <alignment horizontal="center"/>
    </xf>
    <xf numFmtId="0" fontId="13" fillId="2" borderId="25" xfId="14" applyFont="1" applyFill="1" applyBorder="1" applyAlignment="1">
      <alignment horizontal="center" vertical="center" shrinkToFit="1"/>
    </xf>
    <xf numFmtId="0" fontId="13" fillId="2" borderId="26" xfId="14" applyFont="1" applyFill="1" applyBorder="1" applyAlignment="1">
      <alignment horizontal="center" vertical="center" shrinkToFit="1"/>
    </xf>
    <xf numFmtId="0" fontId="41" fillId="2" borderId="26" xfId="14" applyFont="1" applyFill="1" applyBorder="1" applyAlignment="1">
      <alignment horizontal="center" vertical="center" shrinkToFit="1"/>
    </xf>
    <xf numFmtId="3" fontId="13" fillId="2" borderId="26" xfId="14" applyNumberFormat="1" applyFont="1" applyFill="1" applyBorder="1" applyAlignment="1">
      <alignment horizontal="center" vertical="center" shrinkToFit="1"/>
    </xf>
    <xf numFmtId="179" fontId="13" fillId="10" borderId="27" xfId="2" applyFont="1" applyFill="1" applyBorder="1" applyAlignment="1">
      <alignment horizontal="center" vertical="center" shrinkToFit="1"/>
    </xf>
    <xf numFmtId="179" fontId="13" fillId="2" borderId="27" xfId="2" applyFont="1" applyFill="1" applyBorder="1" applyAlignment="1">
      <alignment horizontal="center" vertical="center" shrinkToFit="1"/>
    </xf>
    <xf numFmtId="179" fontId="13" fillId="2" borderId="20" xfId="2" applyFont="1" applyFill="1" applyBorder="1" applyAlignment="1">
      <alignment horizontal="center" vertical="center" shrinkToFit="1"/>
    </xf>
    <xf numFmtId="179" fontId="13" fillId="8" borderId="28" xfId="2" applyFont="1" applyFill="1" applyBorder="1" applyAlignment="1">
      <alignment horizontal="center" vertical="center" shrinkToFit="1"/>
    </xf>
    <xf numFmtId="179" fontId="42" fillId="2" borderId="29" xfId="2" applyFont="1" applyFill="1" applyBorder="1" applyAlignment="1">
      <alignment horizontal="center" vertical="center" shrinkToFit="1"/>
    </xf>
    <xf numFmtId="179" fontId="13" fillId="2" borderId="26" xfId="2" applyFont="1" applyFill="1" applyBorder="1" applyAlignment="1">
      <alignment horizontal="center" vertical="center" shrinkToFit="1"/>
    </xf>
    <xf numFmtId="186" fontId="24" fillId="10" borderId="30" xfId="2" applyNumberFormat="1" applyFont="1" applyFill="1" applyBorder="1" applyAlignment="1">
      <alignment horizontal="right" vertical="center" shrinkToFit="1"/>
    </xf>
    <xf numFmtId="186" fontId="4" fillId="2" borderId="10" xfId="2" applyNumberFormat="1" applyFont="1" applyFill="1" applyBorder="1" applyAlignment="1">
      <alignment horizontal="right" vertical="center" shrinkToFit="1"/>
    </xf>
    <xf numFmtId="38" fontId="4" fillId="2" borderId="31" xfId="1" applyNumberFormat="1" applyFont="1" applyFill="1" applyBorder="1" applyAlignment="1">
      <alignment horizontal="center" vertical="center"/>
    </xf>
    <xf numFmtId="181" fontId="25" fillId="2" borderId="0" xfId="14" applyNumberFormat="1" applyFont="1" applyFill="1"/>
    <xf numFmtId="186" fontId="25" fillId="2" borderId="0" xfId="14" applyNumberFormat="1" applyFont="1" applyFill="1"/>
    <xf numFmtId="0" fontId="25" fillId="2" borderId="0" xfId="14" applyFont="1" applyFill="1"/>
    <xf numFmtId="186" fontId="13" fillId="10" borderId="26" xfId="2" applyNumberFormat="1" applyFont="1" applyFill="1" applyBorder="1" applyAlignment="1">
      <alignment horizontal="right" vertical="center" shrinkToFit="1"/>
    </xf>
    <xf numFmtId="179" fontId="42" fillId="2" borderId="26" xfId="2" applyFont="1" applyFill="1" applyBorder="1" applyAlignment="1">
      <alignment horizontal="center" vertical="center" shrinkToFit="1"/>
    </xf>
    <xf numFmtId="186" fontId="24" fillId="10" borderId="32" xfId="2" applyNumberFormat="1" applyFont="1" applyFill="1" applyBorder="1" applyAlignment="1">
      <alignment horizontal="right" vertical="center" shrinkToFit="1"/>
    </xf>
    <xf numFmtId="179" fontId="25" fillId="2" borderId="0" xfId="14" applyNumberFormat="1" applyFont="1" applyFill="1"/>
    <xf numFmtId="0" fontId="41" fillId="2" borderId="33" xfId="14" applyFont="1" applyFill="1" applyBorder="1" applyAlignment="1">
      <alignment horizontal="center" vertical="center" shrinkToFit="1"/>
    </xf>
    <xf numFmtId="186" fontId="2" fillId="2" borderId="10" xfId="2" applyNumberFormat="1" applyFont="1" applyFill="1" applyBorder="1" applyAlignment="1">
      <alignment horizontal="right" vertical="center" shrinkToFit="1"/>
    </xf>
    <xf numFmtId="0" fontId="13" fillId="2" borderId="34" xfId="14" applyFont="1" applyFill="1" applyBorder="1" applyAlignment="1">
      <alignment horizontal="center" vertical="center" shrinkToFit="1"/>
    </xf>
    <xf numFmtId="0" fontId="13" fillId="2" borderId="4" xfId="14" applyFont="1" applyFill="1" applyBorder="1" applyAlignment="1">
      <alignment horizontal="center" vertical="center" shrinkToFit="1"/>
    </xf>
    <xf numFmtId="0" fontId="41" fillId="2" borderId="4" xfId="14" applyFont="1" applyFill="1" applyBorder="1" applyAlignment="1">
      <alignment horizontal="center" vertical="center" shrinkToFit="1"/>
    </xf>
    <xf numFmtId="186" fontId="12" fillId="2" borderId="0" xfId="14" applyNumberFormat="1" applyFont="1" applyFill="1"/>
    <xf numFmtId="0" fontId="13" fillId="2" borderId="27" xfId="14" applyFont="1" applyFill="1" applyBorder="1" applyAlignment="1">
      <alignment horizontal="center" vertical="center" shrinkToFit="1"/>
    </xf>
    <xf numFmtId="0" fontId="41" fillId="2" borderId="27" xfId="14" applyFont="1" applyFill="1" applyBorder="1" applyAlignment="1">
      <alignment horizontal="center" vertical="center" shrinkToFit="1"/>
    </xf>
    <xf numFmtId="3" fontId="13" fillId="2" borderId="27" xfId="14" applyNumberFormat="1" applyFont="1" applyFill="1" applyBorder="1" applyAlignment="1">
      <alignment horizontal="center" vertical="center" shrinkToFit="1"/>
    </xf>
    <xf numFmtId="0" fontId="13" fillId="2" borderId="2" xfId="14" applyFont="1" applyFill="1" applyBorder="1" applyAlignment="1">
      <alignment horizontal="center" vertical="center" shrinkToFit="1"/>
    </xf>
    <xf numFmtId="0" fontId="41" fillId="2" borderId="2" xfId="14" applyFont="1" applyFill="1" applyBorder="1" applyAlignment="1">
      <alignment horizontal="center" vertical="center" shrinkToFit="1"/>
    </xf>
    <xf numFmtId="179" fontId="13" fillId="2" borderId="2" xfId="2" applyFont="1" applyFill="1" applyBorder="1" applyAlignment="1">
      <alignment horizontal="center" vertical="center" shrinkToFit="1"/>
    </xf>
    <xf numFmtId="179" fontId="13" fillId="2" borderId="35" xfId="2" applyFont="1" applyFill="1" applyBorder="1" applyAlignment="1">
      <alignment horizontal="center" vertical="center" shrinkToFit="1"/>
    </xf>
    <xf numFmtId="0" fontId="13" fillId="2" borderId="36" xfId="14" applyFont="1" applyFill="1" applyBorder="1" applyAlignment="1">
      <alignment horizontal="center" vertical="center" shrinkToFit="1"/>
    </xf>
    <xf numFmtId="0" fontId="13" fillId="2" borderId="37" xfId="14" applyFont="1" applyFill="1" applyBorder="1" applyAlignment="1">
      <alignment horizontal="center" vertical="center" shrinkToFit="1"/>
    </xf>
    <xf numFmtId="179" fontId="13" fillId="2" borderId="0" xfId="2" applyFont="1" applyFill="1" applyBorder="1" applyAlignment="1">
      <alignment horizontal="center" vertical="center" shrinkToFit="1"/>
    </xf>
    <xf numFmtId="179" fontId="13" fillId="2" borderId="38" xfId="2" applyFont="1" applyFill="1" applyBorder="1" applyAlignment="1">
      <alignment horizontal="center" vertical="center" shrinkToFit="1"/>
    </xf>
    <xf numFmtId="0" fontId="41" fillId="2" borderId="4" xfId="15" applyFont="1" applyFill="1" applyBorder="1" applyAlignment="1">
      <alignment horizontal="center" vertical="center" shrinkToFit="1"/>
    </xf>
    <xf numFmtId="0" fontId="13" fillId="2" borderId="39" xfId="14" applyFont="1" applyFill="1" applyBorder="1" applyAlignment="1">
      <alignment horizontal="center" vertical="center" shrinkToFit="1"/>
    </xf>
    <xf numFmtId="181" fontId="2" fillId="2" borderId="0" xfId="14" applyNumberFormat="1" applyFont="1" applyFill="1" applyAlignment="1">
      <alignment horizontal="right" vertical="center"/>
    </xf>
    <xf numFmtId="0" fontId="5" fillId="2" borderId="40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9" fontId="44" fillId="10" borderId="44" xfId="2" applyFont="1" applyFill="1" applyBorder="1" applyAlignment="1">
      <alignment horizontal="left" vertical="center" shrinkToFit="1"/>
    </xf>
    <xf numFmtId="179" fontId="44" fillId="8" borderId="44" xfId="2" applyFont="1" applyFill="1" applyBorder="1" applyAlignment="1">
      <alignment horizontal="left" vertical="center" shrinkToFit="1"/>
    </xf>
    <xf numFmtId="179" fontId="44" fillId="12" borderId="44" xfId="2" applyFont="1" applyFill="1" applyBorder="1" applyAlignment="1">
      <alignment horizontal="left" vertical="center" shrinkToFit="1"/>
    </xf>
    <xf numFmtId="179" fontId="4" fillId="10" borderId="45" xfId="2" applyFont="1" applyFill="1" applyBorder="1" applyAlignment="1">
      <alignment horizontal="left" vertical="center" shrinkToFit="1"/>
    </xf>
    <xf numFmtId="0" fontId="28" fillId="2" borderId="0" xfId="14" applyFont="1" applyFill="1"/>
    <xf numFmtId="0" fontId="29" fillId="2" borderId="0" xfId="14" applyFont="1" applyFill="1"/>
    <xf numFmtId="0" fontId="28" fillId="13" borderId="0" xfId="14" applyFont="1" applyFill="1"/>
    <xf numFmtId="187" fontId="28" fillId="0" borderId="0" xfId="2" applyNumberFormat="1" applyFont="1"/>
    <xf numFmtId="38" fontId="26" fillId="0" borderId="0" xfId="1" applyNumberFormat="1" applyFont="1" applyAlignment="1">
      <alignment horizontal="center"/>
    </xf>
    <xf numFmtId="181" fontId="27" fillId="2" borderId="0" xfId="14" applyNumberFormat="1" applyFont="1" applyFill="1"/>
    <xf numFmtId="0" fontId="27" fillId="2" borderId="0" xfId="14" applyFont="1" applyFill="1"/>
    <xf numFmtId="0" fontId="26" fillId="2" borderId="0" xfId="14" applyFont="1" applyFill="1"/>
    <xf numFmtId="179" fontId="28" fillId="2" borderId="0" xfId="14" applyNumberFormat="1" applyFont="1" applyFill="1"/>
    <xf numFmtId="179" fontId="30" fillId="2" borderId="0" xfId="14" applyNumberFormat="1" applyFont="1" applyFill="1" applyAlignment="1">
      <alignment horizontal="right"/>
    </xf>
    <xf numFmtId="179" fontId="26" fillId="2" borderId="0" xfId="14" applyNumberFormat="1" applyFont="1" applyFill="1" applyAlignment="1">
      <alignment horizontal="right"/>
    </xf>
    <xf numFmtId="0" fontId="45" fillId="2" borderId="0" xfId="14" applyFont="1" applyFill="1" applyAlignment="1">
      <alignment horizontal="center" wrapText="1"/>
    </xf>
    <xf numFmtId="0" fontId="46" fillId="2" borderId="0" xfId="14" applyFont="1" applyFill="1" applyAlignment="1">
      <alignment horizontal="center" wrapText="1"/>
    </xf>
    <xf numFmtId="0" fontId="45" fillId="2" borderId="0" xfId="14" applyFont="1" applyFill="1" applyAlignment="1">
      <alignment horizontal="center"/>
    </xf>
    <xf numFmtId="0" fontId="47" fillId="2" borderId="0" xfId="14" applyFont="1" applyFill="1" applyAlignment="1">
      <alignment horizontal="center"/>
    </xf>
    <xf numFmtId="38" fontId="26" fillId="2" borderId="0" xfId="1" applyNumberFormat="1" applyFont="1" applyFill="1" applyBorder="1" applyAlignment="1">
      <alignment horizontal="center"/>
    </xf>
    <xf numFmtId="0" fontId="45" fillId="2" borderId="0" xfId="14" applyFont="1" applyFill="1" applyAlignment="1">
      <alignment horizontal="center" vertical="center"/>
    </xf>
    <xf numFmtId="0" fontId="46" fillId="2" borderId="0" xfId="14" applyFont="1" applyFill="1" applyAlignment="1">
      <alignment horizontal="center" vertical="center"/>
    </xf>
    <xf numFmtId="38" fontId="47" fillId="2" borderId="0" xfId="14" applyNumberFormat="1" applyFont="1" applyFill="1"/>
    <xf numFmtId="188" fontId="28" fillId="0" borderId="0" xfId="2" applyNumberFormat="1" applyFont="1"/>
    <xf numFmtId="179" fontId="28" fillId="2" borderId="0" xfId="2" applyFont="1" applyFill="1" applyBorder="1"/>
    <xf numFmtId="0" fontId="28" fillId="2" borderId="0" xfId="14" applyFont="1" applyFill="1" applyAlignment="1">
      <alignment horizontal="center"/>
    </xf>
    <xf numFmtId="0" fontId="29" fillId="2" borderId="0" xfId="14" applyFont="1" applyFill="1" applyAlignment="1">
      <alignment horizontal="center"/>
    </xf>
    <xf numFmtId="179" fontId="45" fillId="2" borderId="0" xfId="2" applyFont="1" applyFill="1" applyBorder="1"/>
    <xf numFmtId="179" fontId="45" fillId="2" borderId="0" xfId="14" applyNumberFormat="1" applyFont="1" applyFill="1"/>
    <xf numFmtId="179" fontId="47" fillId="2" borderId="0" xfId="14" applyNumberFormat="1" applyFont="1" applyFill="1"/>
    <xf numFmtId="184" fontId="28" fillId="2" borderId="0" xfId="1" applyNumberFormat="1" applyFont="1" applyFill="1" applyAlignment="1">
      <alignment horizontal="center"/>
    </xf>
    <xf numFmtId="179" fontId="30" fillId="2" borderId="0" xfId="2" applyFont="1" applyFill="1" applyBorder="1" applyAlignment="1">
      <alignment horizontal="right"/>
    </xf>
    <xf numFmtId="179" fontId="26" fillId="2" borderId="0" xfId="2" applyFont="1" applyFill="1" applyBorder="1" applyAlignment="1">
      <alignment horizontal="right"/>
    </xf>
    <xf numFmtId="0" fontId="46" fillId="2" borderId="0" xfId="14" applyFont="1" applyFill="1" applyAlignment="1">
      <alignment horizontal="center"/>
    </xf>
    <xf numFmtId="179" fontId="28" fillId="2" borderId="0" xfId="2" applyFont="1" applyFill="1" applyBorder="1" applyAlignment="1">
      <alignment horizontal="center"/>
    </xf>
    <xf numFmtId="179" fontId="30" fillId="0" borderId="0" xfId="14" applyNumberFormat="1" applyFont="1"/>
    <xf numFmtId="0" fontId="49" fillId="2" borderId="0" xfId="14" applyFont="1" applyFill="1" applyAlignment="1">
      <alignment horizontal="center" vertical="center" wrapText="1"/>
    </xf>
    <xf numFmtId="0" fontId="50" fillId="2" borderId="0" xfId="0" applyFont="1" applyFill="1" applyAlignment="1">
      <alignment horizontal="center" vertical="center"/>
    </xf>
    <xf numFmtId="0" fontId="30" fillId="2" borderId="0" xfId="14" applyFont="1" applyFill="1" applyAlignment="1">
      <alignment horizontal="right"/>
    </xf>
    <xf numFmtId="0" fontId="26" fillId="2" borderId="0" xfId="14" applyFont="1" applyFill="1" applyAlignment="1">
      <alignment horizontal="right"/>
    </xf>
    <xf numFmtId="179" fontId="45" fillId="2" borderId="0" xfId="2" applyFont="1" applyFill="1" applyBorder="1" applyAlignment="1">
      <alignment horizontal="center"/>
    </xf>
    <xf numFmtId="184" fontId="30" fillId="2" borderId="0" xfId="1" applyNumberFormat="1" applyFont="1" applyFill="1" applyAlignment="1">
      <alignment horizontal="center"/>
    </xf>
    <xf numFmtId="186" fontId="50" fillId="2" borderId="0" xfId="0" applyNumberFormat="1" applyFont="1" applyFill="1" applyAlignment="1">
      <alignment horizontal="center" vertical="center"/>
    </xf>
    <xf numFmtId="179" fontId="30" fillId="0" borderId="0" xfId="2" applyFont="1"/>
    <xf numFmtId="179" fontId="26" fillId="2" borderId="0" xfId="2" applyFont="1" applyFill="1"/>
    <xf numFmtId="1" fontId="51" fillId="14" borderId="0" xfId="13" applyFont="1" applyFill="1" applyAlignment="1">
      <alignment vertical="center"/>
    </xf>
    <xf numFmtId="1" fontId="51" fillId="0" borderId="0" xfId="13" applyFont="1" applyAlignment="1">
      <alignment horizontal="center" vertical="center"/>
    </xf>
    <xf numFmtId="1" fontId="51" fillId="2" borderId="0" xfId="13" applyFont="1" applyFill="1" applyAlignment="1">
      <alignment horizontal="center" vertical="center"/>
    </xf>
    <xf numFmtId="1" fontId="51" fillId="0" borderId="8" xfId="13" applyFont="1" applyBorder="1" applyAlignment="1">
      <alignment horizontal="center" vertical="center"/>
    </xf>
    <xf numFmtId="1" fontId="51" fillId="0" borderId="0" xfId="13" applyFont="1" applyAlignment="1">
      <alignment vertical="center"/>
    </xf>
    <xf numFmtId="1" fontId="52" fillId="0" borderId="0" xfId="13" applyFont="1" applyAlignment="1">
      <alignment horizontal="center" vertical="center"/>
    </xf>
    <xf numFmtId="1" fontId="52" fillId="2" borderId="0" xfId="13" applyFont="1" applyFill="1" applyAlignment="1">
      <alignment horizontal="center" vertical="center"/>
    </xf>
    <xf numFmtId="1" fontId="53" fillId="0" borderId="0" xfId="13" applyFont="1" applyAlignment="1">
      <alignment horizontal="center" vertical="center" readingOrder="1"/>
    </xf>
    <xf numFmtId="4" fontId="51" fillId="0" borderId="0" xfId="13" applyNumberFormat="1" applyFont="1" applyAlignment="1">
      <alignment vertical="center"/>
    </xf>
    <xf numFmtId="3" fontId="51" fillId="15" borderId="2" xfId="6" applyNumberFormat="1" applyFont="1" applyFill="1" applyBorder="1" applyAlignment="1">
      <alignment horizontal="center" vertical="center"/>
    </xf>
    <xf numFmtId="3" fontId="51" fillId="8" borderId="2" xfId="6" applyNumberFormat="1" applyFont="1" applyFill="1" applyBorder="1" applyAlignment="1">
      <alignment horizontal="center" vertical="center"/>
    </xf>
    <xf numFmtId="1" fontId="51" fillId="2" borderId="46" xfId="13" applyFont="1" applyFill="1" applyBorder="1" applyAlignment="1" applyProtection="1">
      <alignment horizontal="center" vertical="center" shrinkToFit="1"/>
      <protection locked="0"/>
    </xf>
    <xf numFmtId="177" fontId="51" fillId="2" borderId="47" xfId="10" applyFont="1" applyFill="1" applyBorder="1" applyAlignment="1">
      <alignment horizontal="center" vertical="center"/>
    </xf>
    <xf numFmtId="3" fontId="51" fillId="0" borderId="48" xfId="13" applyNumberFormat="1" applyFont="1" applyBorder="1" applyAlignment="1">
      <alignment horizontal="center" vertical="center"/>
    </xf>
    <xf numFmtId="3" fontId="51" fillId="2" borderId="48" xfId="6" applyNumberFormat="1" applyFont="1" applyFill="1" applyBorder="1" applyAlignment="1">
      <alignment horizontal="center" vertical="center"/>
    </xf>
    <xf numFmtId="190" fontId="51" fillId="2" borderId="48" xfId="6" applyNumberFormat="1" applyFont="1" applyFill="1" applyBorder="1" applyAlignment="1" applyProtection="1">
      <alignment horizontal="center" vertical="center"/>
    </xf>
    <xf numFmtId="191" fontId="51" fillId="0" borderId="0" xfId="13" applyNumberFormat="1" applyFont="1" applyAlignment="1">
      <alignment vertical="center"/>
    </xf>
    <xf numFmtId="1" fontId="51" fillId="2" borderId="49" xfId="13" applyFont="1" applyFill="1" applyBorder="1" applyAlignment="1" applyProtection="1">
      <alignment horizontal="center" vertical="center" shrinkToFit="1"/>
      <protection locked="0"/>
    </xf>
    <xf numFmtId="190" fontId="51" fillId="2" borderId="50" xfId="6" applyNumberFormat="1" applyFont="1" applyFill="1" applyBorder="1" applyAlignment="1" applyProtection="1">
      <alignment horizontal="center" vertical="center"/>
    </xf>
    <xf numFmtId="1" fontId="51" fillId="0" borderId="11" xfId="13" applyFont="1" applyBorder="1" applyAlignment="1">
      <alignment horizontal="center" vertical="center"/>
    </xf>
    <xf numFmtId="3" fontId="51" fillId="0" borderId="50" xfId="6" applyNumberFormat="1" applyFont="1" applyFill="1" applyBorder="1" applyAlignment="1">
      <alignment horizontal="center" vertical="center"/>
    </xf>
    <xf numFmtId="1" fontId="51" fillId="0" borderId="51" xfId="13" applyFont="1" applyBorder="1" applyAlignment="1">
      <alignment horizontal="center" vertical="center"/>
    </xf>
    <xf numFmtId="189" fontId="51" fillId="0" borderId="48" xfId="13" applyNumberFormat="1" applyFont="1" applyBorder="1" applyAlignment="1">
      <alignment horizontal="center" vertical="center"/>
    </xf>
    <xf numFmtId="177" fontId="51" fillId="2" borderId="51" xfId="10" applyFont="1" applyFill="1" applyBorder="1" applyAlignment="1">
      <alignment horizontal="center" vertical="center"/>
    </xf>
    <xf numFmtId="3" fontId="51" fillId="2" borderId="48" xfId="16" applyNumberFormat="1" applyFont="1" applyFill="1" applyBorder="1" applyAlignment="1">
      <alignment horizontal="center" vertical="center"/>
    </xf>
    <xf numFmtId="0" fontId="51" fillId="0" borderId="52" xfId="13" applyNumberFormat="1" applyFont="1" applyBorder="1" applyAlignment="1" applyProtection="1">
      <alignment horizontal="center" vertical="center"/>
      <protection locked="0"/>
    </xf>
    <xf numFmtId="1" fontId="51" fillId="2" borderId="51" xfId="13" applyFont="1" applyFill="1" applyBorder="1" applyAlignment="1">
      <alignment horizontal="center" vertical="center"/>
    </xf>
    <xf numFmtId="3" fontId="51" fillId="8" borderId="48" xfId="13" applyNumberFormat="1" applyFont="1" applyFill="1" applyBorder="1" applyAlignment="1">
      <alignment horizontal="center" vertical="center"/>
    </xf>
    <xf numFmtId="3" fontId="51" fillId="14" borderId="48" xfId="13" applyNumberFormat="1" applyFont="1" applyFill="1" applyBorder="1" applyAlignment="1">
      <alignment horizontal="center" vertical="center"/>
    </xf>
    <xf numFmtId="3" fontId="51" fillId="2" borderId="48" xfId="13" applyNumberFormat="1" applyFont="1" applyFill="1" applyBorder="1" applyAlignment="1">
      <alignment horizontal="center" vertical="center"/>
    </xf>
    <xf numFmtId="3" fontId="51" fillId="0" borderId="48" xfId="6" applyNumberFormat="1" applyFont="1" applyFill="1" applyBorder="1" applyAlignment="1">
      <alignment horizontal="center" vertical="center"/>
    </xf>
    <xf numFmtId="3" fontId="51" fillId="16" borderId="48" xfId="6" applyNumberFormat="1" applyFont="1" applyFill="1" applyBorder="1" applyAlignment="1">
      <alignment horizontal="center" vertical="center"/>
    </xf>
    <xf numFmtId="1" fontId="51" fillId="14" borderId="51" xfId="13" applyFont="1" applyFill="1" applyBorder="1" applyAlignment="1">
      <alignment horizontal="center" vertical="center"/>
    </xf>
    <xf numFmtId="3" fontId="51" fillId="0" borderId="54" xfId="13" applyNumberFormat="1" applyFont="1" applyBorder="1" applyAlignment="1">
      <alignment horizontal="center" vertical="center"/>
    </xf>
    <xf numFmtId="3" fontId="51" fillId="2" borderId="54" xfId="6" applyNumberFormat="1" applyFont="1" applyFill="1" applyBorder="1" applyAlignment="1">
      <alignment horizontal="center" vertical="center"/>
    </xf>
    <xf numFmtId="3" fontId="51" fillId="16" borderId="54" xfId="6" applyNumberFormat="1" applyFont="1" applyFill="1" applyBorder="1" applyAlignment="1">
      <alignment horizontal="center" vertical="center"/>
    </xf>
    <xf numFmtId="1" fontId="51" fillId="0" borderId="52" xfId="13" applyFont="1" applyBorder="1" applyAlignment="1">
      <alignment horizontal="center" vertical="center"/>
    </xf>
    <xf numFmtId="0" fontId="6" fillId="2" borderId="0" xfId="0" applyFont="1" applyFill="1" applyAlignment="1">
      <alignment wrapText="1"/>
    </xf>
    <xf numFmtId="0" fontId="6" fillId="2" borderId="0" xfId="0" applyFont="1" applyFill="1" applyAlignment="1">
      <alignment horizontal="center" wrapText="1"/>
    </xf>
    <xf numFmtId="192" fontId="1" fillId="2" borderId="0" xfId="0" applyNumberFormat="1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179" fontId="17" fillId="2" borderId="0" xfId="0" applyNumberFormat="1" applyFont="1" applyFill="1"/>
    <xf numFmtId="179" fontId="55" fillId="2" borderId="0" xfId="0" applyNumberFormat="1" applyFont="1" applyFill="1"/>
    <xf numFmtId="0" fontId="6" fillId="7" borderId="56" xfId="0" applyFont="1" applyFill="1" applyBorder="1" applyAlignment="1">
      <alignment horizontal="center" wrapText="1"/>
    </xf>
    <xf numFmtId="0" fontId="6" fillId="7" borderId="57" xfId="0" applyFont="1" applyFill="1" applyBorder="1" applyAlignment="1">
      <alignment wrapText="1"/>
    </xf>
    <xf numFmtId="0" fontId="6" fillId="7" borderId="58" xfId="0" applyFont="1" applyFill="1" applyBorder="1" applyAlignment="1">
      <alignment wrapText="1"/>
    </xf>
    <xf numFmtId="0" fontId="6" fillId="7" borderId="59" xfId="0" applyFont="1" applyFill="1" applyBorder="1" applyAlignment="1">
      <alignment wrapText="1"/>
    </xf>
    <xf numFmtId="0" fontId="6" fillId="7" borderId="61" xfId="0" applyFont="1" applyFill="1" applyBorder="1" applyAlignment="1">
      <alignment horizontal="center" wrapText="1"/>
    </xf>
    <xf numFmtId="0" fontId="6" fillId="2" borderId="11" xfId="0" applyFont="1" applyFill="1" applyBorder="1" applyAlignment="1">
      <alignment horizontal="center" wrapText="1"/>
    </xf>
    <xf numFmtId="0" fontId="6" fillId="2" borderId="62" xfId="0" applyFont="1" applyFill="1" applyBorder="1" applyAlignment="1">
      <alignment horizontal="center" wrapText="1"/>
    </xf>
    <xf numFmtId="0" fontId="6" fillId="2" borderId="63" xfId="0" applyFont="1" applyFill="1" applyBorder="1" applyAlignment="1">
      <alignment horizontal="center" vertical="center" shrinkToFit="1"/>
    </xf>
    <xf numFmtId="0" fontId="1" fillId="2" borderId="11" xfId="0" applyFont="1" applyFill="1" applyBorder="1" applyAlignment="1">
      <alignment horizontal="center" vertical="center" shrinkToFit="1"/>
    </xf>
    <xf numFmtId="179" fontId="6" fillId="17" borderId="11" xfId="2" applyFont="1" applyFill="1" applyBorder="1" applyAlignment="1">
      <alignment horizontal="center" shrinkToFit="1"/>
    </xf>
    <xf numFmtId="179" fontId="56" fillId="2" borderId="11" xfId="2" applyFont="1" applyFill="1" applyBorder="1" applyAlignment="1">
      <alignment shrinkToFit="1"/>
    </xf>
    <xf numFmtId="179" fontId="56" fillId="2" borderId="62" xfId="2" applyFont="1" applyFill="1" applyBorder="1" applyAlignment="1">
      <alignment shrinkToFit="1"/>
    </xf>
    <xf numFmtId="179" fontId="1" fillId="2" borderId="0" xfId="0" applyNumberFormat="1" applyFont="1" applyFill="1"/>
    <xf numFmtId="0" fontId="1" fillId="2" borderId="64" xfId="0" applyFont="1" applyFill="1" applyBorder="1" applyAlignment="1">
      <alignment horizontal="center" vertical="center" shrinkToFit="1"/>
    </xf>
    <xf numFmtId="193" fontId="56" fillId="2" borderId="11" xfId="1" applyNumberFormat="1" applyFont="1" applyFill="1" applyBorder="1" applyAlignment="1">
      <alignment shrinkToFit="1"/>
    </xf>
    <xf numFmtId="193" fontId="56" fillId="2" borderId="62" xfId="1" applyNumberFormat="1" applyFont="1" applyFill="1" applyBorder="1" applyAlignment="1">
      <alignment shrinkToFit="1"/>
    </xf>
    <xf numFmtId="193" fontId="56" fillId="2" borderId="64" xfId="1" applyNumberFormat="1" applyFont="1" applyFill="1" applyBorder="1" applyAlignment="1">
      <alignment shrinkToFit="1"/>
    </xf>
    <xf numFmtId="0" fontId="6" fillId="2" borderId="65" xfId="0" applyFont="1" applyFill="1" applyBorder="1" applyAlignment="1">
      <alignment horizontal="center" vertical="center" shrinkToFit="1"/>
    </xf>
    <xf numFmtId="0" fontId="6" fillId="2" borderId="66" xfId="0" applyFont="1" applyFill="1" applyBorder="1" applyAlignment="1">
      <alignment horizontal="center" vertical="center" shrinkToFit="1"/>
    </xf>
    <xf numFmtId="0" fontId="25" fillId="2" borderId="11" xfId="0" applyFont="1" applyFill="1" applyBorder="1" applyAlignment="1">
      <alignment horizontal="center" vertical="center" shrinkToFit="1"/>
    </xf>
    <xf numFmtId="193" fontId="56" fillId="2" borderId="67" xfId="1" applyNumberFormat="1" applyFont="1" applyFill="1" applyBorder="1" applyAlignment="1">
      <alignment shrinkToFit="1"/>
    </xf>
    <xf numFmtId="0" fontId="6" fillId="2" borderId="68" xfId="0" applyFont="1" applyFill="1" applyBorder="1" applyAlignment="1">
      <alignment horizontal="center" vertical="center" shrinkToFit="1"/>
    </xf>
    <xf numFmtId="0" fontId="25" fillId="2" borderId="64" xfId="0" applyFont="1" applyFill="1" applyBorder="1" applyAlignment="1">
      <alignment horizontal="center" vertical="center" shrinkToFit="1"/>
    </xf>
    <xf numFmtId="0" fontId="6" fillId="2" borderId="69" xfId="0" applyFont="1" applyFill="1" applyBorder="1" applyAlignment="1">
      <alignment horizontal="center" vertical="center" shrinkToFit="1"/>
    </xf>
    <xf numFmtId="0" fontId="25" fillId="2" borderId="70" xfId="0" applyFont="1" applyFill="1" applyBorder="1" applyAlignment="1">
      <alignment horizontal="center" vertical="center" shrinkToFit="1"/>
    </xf>
    <xf numFmtId="0" fontId="25" fillId="2" borderId="71" xfId="0" applyFont="1" applyFill="1" applyBorder="1" applyAlignment="1">
      <alignment horizontal="center" vertical="center" shrinkToFit="1"/>
    </xf>
    <xf numFmtId="0" fontId="55" fillId="2" borderId="68" xfId="0" applyFont="1" applyFill="1" applyBorder="1" applyAlignment="1">
      <alignment horizontal="center" vertical="center" shrinkToFit="1"/>
    </xf>
    <xf numFmtId="0" fontId="57" fillId="2" borderId="71" xfId="0" applyFont="1" applyFill="1" applyBorder="1" applyAlignment="1">
      <alignment horizontal="center" vertical="center" shrinkToFit="1"/>
    </xf>
    <xf numFmtId="0" fontId="55" fillId="2" borderId="11" xfId="0" applyFont="1" applyFill="1" applyBorder="1" applyAlignment="1">
      <alignment horizontal="center" vertical="center" shrinkToFit="1"/>
    </xf>
    <xf numFmtId="179" fontId="17" fillId="18" borderId="74" xfId="2" applyFont="1" applyFill="1" applyBorder="1" applyAlignment="1">
      <alignment horizontal="center" shrinkToFit="1"/>
    </xf>
    <xf numFmtId="179" fontId="56" fillId="18" borderId="74" xfId="2" applyFont="1" applyFill="1" applyBorder="1" applyAlignment="1">
      <alignment horizontal="center" shrinkToFit="1"/>
    </xf>
    <xf numFmtId="179" fontId="56" fillId="18" borderId="75" xfId="2" applyFont="1" applyFill="1" applyBorder="1" applyAlignment="1">
      <alignment horizontal="center" shrinkToFit="1"/>
    </xf>
    <xf numFmtId="192" fontId="1" fillId="2" borderId="0" xfId="0" applyNumberFormat="1" applyFont="1" applyFill="1" applyAlignment="1">
      <alignment horizontal="center"/>
    </xf>
    <xf numFmtId="192" fontId="1" fillId="2" borderId="0" xfId="0" applyNumberFormat="1" applyFont="1" applyFill="1" applyAlignment="1">
      <alignment vertical="center"/>
    </xf>
    <xf numFmtId="192" fontId="6" fillId="2" borderId="0" xfId="0" applyNumberFormat="1" applyFont="1" applyFill="1"/>
    <xf numFmtId="179" fontId="6" fillId="2" borderId="0" xfId="0" applyNumberFormat="1" applyFont="1" applyFill="1"/>
    <xf numFmtId="0" fontId="17" fillId="2" borderId="0" xfId="0" applyFont="1" applyFill="1" applyAlignment="1">
      <alignment shrinkToFit="1"/>
    </xf>
    <xf numFmtId="0" fontId="6" fillId="2" borderId="0" xfId="0" applyFont="1" applyFill="1" applyAlignment="1">
      <alignment vertical="top" shrinkToFit="1"/>
    </xf>
    <xf numFmtId="0" fontId="6" fillId="2" borderId="0" xfId="0" applyFont="1" applyFill="1" applyAlignment="1">
      <alignment horizontal="center" shrinkToFit="1"/>
    </xf>
    <xf numFmtId="0" fontId="25" fillId="2" borderId="0" xfId="0" applyFont="1" applyFill="1" applyAlignment="1">
      <alignment shrinkToFit="1"/>
    </xf>
    <xf numFmtId="0" fontId="6" fillId="2" borderId="0" xfId="0" applyFont="1" applyFill="1" applyAlignment="1">
      <alignment shrinkToFit="1"/>
    </xf>
    <xf numFmtId="0" fontId="6" fillId="2" borderId="0" xfId="0" applyFont="1" applyFill="1" applyAlignment="1">
      <alignment horizontal="left" shrinkToFit="1"/>
    </xf>
    <xf numFmtId="0" fontId="1" fillId="2" borderId="0" xfId="0" applyFont="1" applyFill="1" applyAlignment="1">
      <alignment shrinkToFit="1"/>
    </xf>
    <xf numFmtId="0" fontId="1" fillId="2" borderId="0" xfId="0" applyFont="1" applyFill="1" applyAlignment="1">
      <alignment horizontal="right" shrinkToFit="1"/>
    </xf>
    <xf numFmtId="194" fontId="1" fillId="2" borderId="0" xfId="0" applyNumberFormat="1" applyFont="1" applyFill="1" applyAlignment="1">
      <alignment horizontal="center" shrinkToFit="1"/>
    </xf>
    <xf numFmtId="179" fontId="1" fillId="2" borderId="0" xfId="2" applyFont="1" applyFill="1" applyAlignment="1">
      <alignment shrinkToFit="1"/>
    </xf>
    <xf numFmtId="0" fontId="20" fillId="2" borderId="1" xfId="0" applyFont="1" applyFill="1" applyBorder="1" applyAlignment="1">
      <alignment shrinkToFit="1"/>
    </xf>
    <xf numFmtId="179" fontId="17" fillId="2" borderId="1" xfId="0" applyNumberFormat="1" applyFont="1" applyFill="1" applyBorder="1" applyAlignment="1">
      <alignment shrinkToFit="1"/>
    </xf>
    <xf numFmtId="0" fontId="58" fillId="2" borderId="0" xfId="0" applyFont="1" applyFill="1" applyAlignment="1">
      <alignment shrinkToFit="1"/>
    </xf>
    <xf numFmtId="179" fontId="1" fillId="2" borderId="0" xfId="0" applyNumberFormat="1" applyFont="1" applyFill="1" applyAlignment="1">
      <alignment shrinkToFit="1"/>
    </xf>
    <xf numFmtId="179" fontId="55" fillId="2" borderId="0" xfId="0" applyNumberFormat="1" applyFont="1" applyFill="1" applyAlignment="1">
      <alignment shrinkToFit="1"/>
    </xf>
    <xf numFmtId="179" fontId="17" fillId="19" borderId="5" xfId="0" applyNumberFormat="1" applyFont="1" applyFill="1" applyBorder="1" applyAlignment="1">
      <alignment shrinkToFit="1"/>
    </xf>
    <xf numFmtId="179" fontId="17" fillId="19" borderId="9" xfId="0" applyNumberFormat="1" applyFont="1" applyFill="1" applyBorder="1" applyAlignment="1">
      <alignment shrinkToFit="1"/>
    </xf>
    <xf numFmtId="179" fontId="17" fillId="2" borderId="0" xfId="2" applyFont="1" applyFill="1" applyAlignment="1">
      <alignment shrinkToFit="1"/>
    </xf>
    <xf numFmtId="0" fontId="5" fillId="2" borderId="11" xfId="0" applyFont="1" applyFill="1" applyBorder="1" applyAlignment="1">
      <alignment horizontal="center" shrinkToFit="1"/>
    </xf>
    <xf numFmtId="0" fontId="6" fillId="20" borderId="11" xfId="0" applyFont="1" applyFill="1" applyBorder="1" applyAlignment="1">
      <alignment horizontal="center" shrinkToFit="1"/>
    </xf>
    <xf numFmtId="0" fontId="6" fillId="20" borderId="50" xfId="0" applyFont="1" applyFill="1" applyBorder="1" applyAlignment="1">
      <alignment horizontal="center" shrinkToFit="1"/>
    </xf>
    <xf numFmtId="0" fontId="5" fillId="2" borderId="51" xfId="0" applyFont="1" applyFill="1" applyBorder="1" applyAlignment="1">
      <alignment horizontal="center" vertical="center" shrinkToFit="1"/>
    </xf>
    <xf numFmtId="0" fontId="6" fillId="2" borderId="40" xfId="0" applyFont="1" applyFill="1" applyBorder="1" applyAlignment="1">
      <alignment horizontal="center" vertical="center" shrinkToFit="1"/>
    </xf>
    <xf numFmtId="0" fontId="1" fillId="21" borderId="11" xfId="0" applyFont="1" applyFill="1" applyBorder="1" applyAlignment="1">
      <alignment shrinkToFit="1"/>
    </xf>
    <xf numFmtId="179" fontId="17" fillId="20" borderId="11" xfId="2" applyFont="1" applyFill="1" applyBorder="1" applyAlignment="1">
      <alignment horizontal="center" shrinkToFit="1"/>
    </xf>
    <xf numFmtId="179" fontId="5" fillId="2" borderId="11" xfId="2" applyFont="1" applyFill="1" applyBorder="1" applyAlignment="1">
      <alignment shrinkToFit="1"/>
    </xf>
    <xf numFmtId="179" fontId="5" fillId="20" borderId="11" xfId="2" applyFont="1" applyFill="1" applyBorder="1" applyAlignment="1">
      <alignment shrinkToFit="1"/>
    </xf>
    <xf numFmtId="179" fontId="5" fillId="20" borderId="50" xfId="2" applyFont="1" applyFill="1" applyBorder="1" applyAlignment="1">
      <alignment shrinkToFit="1"/>
    </xf>
    <xf numFmtId="0" fontId="6" fillId="2" borderId="64" xfId="0" applyFont="1" applyFill="1" applyBorder="1" applyAlignment="1">
      <alignment horizontal="center" vertical="center" shrinkToFit="1"/>
    </xf>
    <xf numFmtId="0" fontId="6" fillId="2" borderId="11" xfId="0" applyFont="1" applyFill="1" applyBorder="1" applyAlignment="1">
      <alignment horizontal="center" vertical="center" shrinkToFit="1"/>
    </xf>
    <xf numFmtId="179" fontId="60" fillId="2" borderId="11" xfId="2" applyFont="1" applyFill="1" applyBorder="1" applyAlignment="1">
      <alignment shrinkToFit="1"/>
    </xf>
    <xf numFmtId="179" fontId="9" fillId="2" borderId="11" xfId="2" applyFont="1" applyFill="1" applyBorder="1" applyAlignment="1">
      <alignment shrinkToFit="1"/>
    </xf>
    <xf numFmtId="0" fontId="5" fillId="2" borderId="81" xfId="0" applyFont="1" applyFill="1" applyBorder="1" applyAlignment="1">
      <alignment horizontal="center" vertical="center" shrinkToFit="1"/>
    </xf>
    <xf numFmtId="0" fontId="5" fillId="2" borderId="82" xfId="0" applyFont="1" applyFill="1" applyBorder="1" applyAlignment="1">
      <alignment horizontal="center" vertical="center" shrinkToFit="1"/>
    </xf>
    <xf numFmtId="0" fontId="57" fillId="2" borderId="11" xfId="0" applyFont="1" applyFill="1" applyBorder="1" applyAlignment="1">
      <alignment horizontal="center" vertical="center" shrinkToFit="1"/>
    </xf>
    <xf numFmtId="0" fontId="1" fillId="21" borderId="64" xfId="0" applyFont="1" applyFill="1" applyBorder="1" applyAlignment="1">
      <alignment shrinkToFit="1"/>
    </xf>
    <xf numFmtId="179" fontId="5" fillId="2" borderId="64" xfId="2" applyFont="1" applyFill="1" applyBorder="1" applyAlignment="1">
      <alignment shrinkToFit="1"/>
    </xf>
    <xf numFmtId="179" fontId="5" fillId="20" borderId="64" xfId="2" applyFont="1" applyFill="1" applyBorder="1" applyAlignment="1">
      <alignment shrinkToFit="1"/>
    </xf>
    <xf numFmtId="179" fontId="5" fillId="20" borderId="83" xfId="2" applyFont="1" applyFill="1" applyBorder="1" applyAlignment="1">
      <alignment shrinkToFit="1"/>
    </xf>
    <xf numFmtId="0" fontId="6" fillId="2" borderId="82" xfId="0" applyFont="1" applyFill="1" applyBorder="1" applyAlignment="1">
      <alignment horizontal="center" vertical="center" shrinkToFit="1"/>
    </xf>
    <xf numFmtId="0" fontId="5" fillId="2" borderId="11" xfId="0" applyFont="1" applyFill="1" applyBorder="1" applyAlignment="1">
      <alignment horizontal="center" vertical="center" shrinkToFit="1"/>
    </xf>
    <xf numFmtId="179" fontId="60" fillId="20" borderId="11" xfId="2" applyFont="1" applyFill="1" applyBorder="1" applyAlignment="1">
      <alignment shrinkToFit="1"/>
    </xf>
    <xf numFmtId="0" fontId="57" fillId="2" borderId="64" xfId="0" applyFont="1" applyFill="1" applyBorder="1" applyAlignment="1">
      <alignment horizontal="center" vertical="center" shrinkToFit="1"/>
    </xf>
    <xf numFmtId="0" fontId="60" fillId="2" borderId="82" xfId="0" applyFont="1" applyFill="1" applyBorder="1" applyAlignment="1">
      <alignment horizontal="center" vertical="center" shrinkToFit="1"/>
    </xf>
    <xf numFmtId="0" fontId="25" fillId="21" borderId="64" xfId="0" applyFont="1" applyFill="1" applyBorder="1" applyAlignment="1">
      <alignment shrinkToFit="1"/>
    </xf>
    <xf numFmtId="179" fontId="60" fillId="2" borderId="64" xfId="2" applyFont="1" applyFill="1" applyBorder="1" applyAlignment="1">
      <alignment shrinkToFit="1"/>
    </xf>
    <xf numFmtId="179" fontId="60" fillId="20" borderId="64" xfId="2" applyFont="1" applyFill="1" applyBorder="1" applyAlignment="1">
      <alignment shrinkToFit="1"/>
    </xf>
    <xf numFmtId="179" fontId="60" fillId="20" borderId="83" xfId="2" applyFont="1" applyFill="1" applyBorder="1" applyAlignment="1">
      <alignment shrinkToFit="1"/>
    </xf>
    <xf numFmtId="179" fontId="9" fillId="2" borderId="64" xfId="2" applyFont="1" applyFill="1" applyBorder="1" applyAlignment="1">
      <alignment shrinkToFit="1"/>
    </xf>
    <xf numFmtId="0" fontId="5" fillId="2" borderId="71" xfId="0" applyFont="1" applyFill="1" applyBorder="1" applyAlignment="1">
      <alignment horizontal="center" vertical="center" shrinkToFit="1"/>
    </xf>
    <xf numFmtId="0" fontId="57" fillId="2" borderId="84" xfId="0" applyFont="1" applyFill="1" applyBorder="1" applyAlignment="1">
      <alignment horizontal="center" vertical="center" shrinkToFit="1"/>
    </xf>
    <xf numFmtId="179" fontId="17" fillId="18" borderId="87" xfId="2" applyFont="1" applyFill="1" applyBorder="1" applyAlignment="1">
      <alignment horizontal="center" shrinkToFit="1"/>
    </xf>
    <xf numFmtId="179" fontId="17" fillId="18" borderId="88" xfId="2" applyFont="1" applyFill="1" applyBorder="1" applyAlignment="1">
      <alignment horizontal="center" shrinkToFit="1"/>
    </xf>
    <xf numFmtId="179" fontId="6" fillId="8" borderId="0" xfId="2" applyFont="1" applyFill="1" applyAlignment="1">
      <alignment shrinkToFit="1"/>
    </xf>
    <xf numFmtId="179" fontId="5" fillId="2" borderId="0" xfId="0" applyNumberFormat="1" applyFont="1" applyFill="1" applyAlignment="1">
      <alignment shrinkToFit="1"/>
    </xf>
    <xf numFmtId="0" fontId="13" fillId="2" borderId="26" xfId="14" quotePrefix="1" applyFont="1" applyFill="1" applyBorder="1" applyAlignment="1">
      <alignment horizontal="center" vertical="center" shrinkToFit="1"/>
    </xf>
    <xf numFmtId="0" fontId="13" fillId="2" borderId="27" xfId="14" quotePrefix="1" applyFont="1" applyFill="1" applyBorder="1" applyAlignment="1">
      <alignment horizontal="center" vertical="center" shrinkToFit="1"/>
    </xf>
    <xf numFmtId="0" fontId="13" fillId="2" borderId="37" xfId="14" quotePrefix="1" applyFont="1" applyFill="1" applyBorder="1" applyAlignment="1">
      <alignment horizontal="center" vertical="center" shrinkToFit="1"/>
    </xf>
    <xf numFmtId="3" fontId="13" fillId="2" borderId="2" xfId="14" quotePrefix="1" applyNumberFormat="1" applyFont="1" applyFill="1" applyBorder="1" applyAlignment="1">
      <alignment horizontal="center" vertical="center" shrinkToFit="1"/>
    </xf>
    <xf numFmtId="0" fontId="13" fillId="2" borderId="5" xfId="14" quotePrefix="1" applyFont="1" applyFill="1" applyBorder="1" applyAlignment="1">
      <alignment horizontal="center" vertical="center" shrinkToFit="1"/>
    </xf>
    <xf numFmtId="185" fontId="17" fillId="4" borderId="2" xfId="0" quotePrefix="1" applyNumberFormat="1" applyFont="1" applyFill="1" applyBorder="1" applyAlignment="1">
      <alignment horizontal="center" vertical="center"/>
    </xf>
    <xf numFmtId="14" fontId="52" fillId="0" borderId="0" xfId="13" applyNumberFormat="1" applyFont="1" applyAlignment="1">
      <alignment horizontal="center" vertical="center"/>
    </xf>
    <xf numFmtId="14" fontId="51" fillId="0" borderId="47" xfId="13" applyNumberFormat="1" applyFont="1" applyBorder="1" applyAlignment="1">
      <alignment horizontal="center" vertical="center"/>
    </xf>
    <xf numFmtId="14" fontId="51" fillId="0" borderId="48" xfId="13" applyNumberFormat="1" applyFont="1" applyBorder="1" applyAlignment="1">
      <alignment horizontal="center" vertical="center"/>
    </xf>
    <xf numFmtId="14" fontId="51" fillId="0" borderId="53" xfId="13" applyNumberFormat="1" applyFont="1" applyBorder="1" applyAlignment="1">
      <alignment horizontal="center" vertical="center"/>
    </xf>
    <xf numFmtId="14" fontId="51" fillId="0" borderId="0" xfId="13" applyNumberFormat="1" applyFont="1" applyAlignment="1">
      <alignment horizontal="center" vertical="center"/>
    </xf>
    <xf numFmtId="181" fontId="52" fillId="2" borderId="0" xfId="13" applyNumberFormat="1" applyFont="1" applyFill="1" applyAlignment="1">
      <alignment horizontal="center" vertical="center"/>
    </xf>
    <xf numFmtId="181" fontId="51" fillId="2" borderId="0" xfId="13" applyNumberFormat="1" applyFont="1" applyFill="1" applyAlignment="1">
      <alignment horizontal="center" vertical="center"/>
    </xf>
    <xf numFmtId="181" fontId="51" fillId="15" borderId="2" xfId="6" applyNumberFormat="1" applyFont="1" applyFill="1" applyBorder="1" applyAlignment="1">
      <alignment horizontal="center" vertical="center"/>
    </xf>
    <xf numFmtId="181" fontId="51" fillId="8" borderId="2" xfId="6" applyNumberFormat="1" applyFont="1" applyFill="1" applyBorder="1" applyAlignment="1">
      <alignment horizontal="center" vertical="center"/>
    </xf>
    <xf numFmtId="181" fontId="51" fillId="2" borderId="48" xfId="6" applyNumberFormat="1" applyFont="1" applyFill="1" applyBorder="1" applyAlignment="1">
      <alignment horizontal="center" vertical="center"/>
    </xf>
    <xf numFmtId="181" fontId="51" fillId="2" borderId="48" xfId="16" applyNumberFormat="1" applyFont="1" applyFill="1" applyBorder="1" applyAlignment="1">
      <alignment horizontal="center" vertical="center"/>
    </xf>
    <xf numFmtId="181" fontId="51" fillId="2" borderId="48" xfId="13" applyNumberFormat="1" applyFont="1" applyFill="1" applyBorder="1" applyAlignment="1">
      <alignment horizontal="center" vertical="center"/>
    </xf>
    <xf numFmtId="181" fontId="51" fillId="2" borderId="54" xfId="6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1" fillId="22" borderId="2" xfId="0" applyFont="1" applyFill="1" applyBorder="1" applyAlignment="1">
      <alignment horizontal="center"/>
    </xf>
    <xf numFmtId="0" fontId="6" fillId="22" borderId="2" xfId="0" applyFont="1" applyFill="1" applyBorder="1" applyAlignment="1">
      <alignment horizontal="center"/>
    </xf>
    <xf numFmtId="181" fontId="6" fillId="0" borderId="0" xfId="0" applyNumberFormat="1" applyFont="1" applyAlignment="1">
      <alignment horizontal="center"/>
    </xf>
    <xf numFmtId="181" fontId="6" fillId="22" borderId="2" xfId="0" applyNumberFormat="1" applyFont="1" applyFill="1" applyBorder="1" applyAlignment="1">
      <alignment horizontal="center"/>
    </xf>
    <xf numFmtId="181" fontId="6" fillId="0" borderId="2" xfId="0" applyNumberFormat="1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184" fontId="5" fillId="2" borderId="0" xfId="0" applyNumberFormat="1" applyFont="1" applyFill="1" applyAlignment="1">
      <alignment horizontal="center"/>
    </xf>
    <xf numFmtId="184" fontId="20" fillId="3" borderId="2" xfId="0" applyNumberFormat="1" applyFont="1" applyFill="1" applyBorder="1" applyAlignment="1">
      <alignment horizontal="center" shrinkToFit="1"/>
    </xf>
    <xf numFmtId="184" fontId="10" fillId="8" borderId="2" xfId="1" applyNumberFormat="1" applyFont="1" applyFill="1" applyBorder="1" applyAlignment="1">
      <alignment horizontal="center" shrinkToFit="1"/>
    </xf>
    <xf numFmtId="184" fontId="1" fillId="2" borderId="2" xfId="0" applyNumberFormat="1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184" fontId="75" fillId="8" borderId="2" xfId="1" applyNumberFormat="1" applyFont="1" applyFill="1" applyBorder="1" applyAlignment="1">
      <alignment horizontal="center" shrinkToFit="1"/>
    </xf>
    <xf numFmtId="0" fontId="78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78" fillId="0" borderId="0" xfId="0" applyFont="1" applyAlignment="1">
      <alignment horizontal="left"/>
    </xf>
    <xf numFmtId="195" fontId="6" fillId="19" borderId="79" xfId="0" applyNumberFormat="1" applyFont="1" applyFill="1" applyBorder="1" applyAlignment="1">
      <alignment horizontal="center" vertical="top" shrinkToFit="1"/>
    </xf>
    <xf numFmtId="195" fontId="6" fillId="19" borderId="80" xfId="0" applyNumberFormat="1" applyFont="1" applyFill="1" applyBorder="1" applyAlignment="1">
      <alignment horizontal="center" vertical="top" shrinkToFit="1"/>
    </xf>
    <xf numFmtId="0" fontId="6" fillId="19" borderId="80" xfId="0" applyFont="1" applyFill="1" applyBorder="1" applyAlignment="1">
      <alignment horizontal="center" vertical="top" shrinkToFit="1"/>
    </xf>
    <xf numFmtId="179" fontId="6" fillId="8" borderId="0" xfId="2" applyFont="1" applyFill="1" applyBorder="1" applyAlignment="1">
      <alignment shrinkToFit="1"/>
    </xf>
    <xf numFmtId="0" fontId="17" fillId="18" borderId="85" xfId="0" applyFont="1" applyFill="1" applyBorder="1" applyAlignment="1">
      <alignment horizontal="center" shrinkToFit="1"/>
    </xf>
    <xf numFmtId="0" fontId="17" fillId="18" borderId="86" xfId="0" applyFont="1" applyFill="1" applyBorder="1" applyAlignment="1">
      <alignment horizontal="center" shrinkToFit="1"/>
    </xf>
    <xf numFmtId="0" fontId="59" fillId="19" borderId="76" xfId="0" applyFont="1" applyFill="1" applyBorder="1" applyAlignment="1">
      <alignment horizontal="center" vertical="center" shrinkToFit="1"/>
    </xf>
    <xf numFmtId="0" fontId="59" fillId="19" borderId="70" xfId="0" applyFont="1" applyFill="1" applyBorder="1" applyAlignment="1">
      <alignment horizontal="center" vertical="center" shrinkToFit="1"/>
    </xf>
    <xf numFmtId="0" fontId="59" fillId="19" borderId="61" xfId="0" applyFont="1" applyFill="1" applyBorder="1" applyAlignment="1">
      <alignment horizontal="center" vertical="center" shrinkToFit="1"/>
    </xf>
    <xf numFmtId="0" fontId="17" fillId="19" borderId="77" xfId="0" applyFont="1" applyFill="1" applyBorder="1" applyAlignment="1">
      <alignment horizontal="center" vertical="center" wrapText="1" shrinkToFit="1"/>
    </xf>
    <xf numFmtId="0" fontId="17" fillId="19" borderId="61" xfId="0" applyFont="1" applyFill="1" applyBorder="1" applyAlignment="1">
      <alignment horizontal="center" vertical="center" wrapText="1" shrinkToFit="1"/>
    </xf>
    <xf numFmtId="0" fontId="17" fillId="19" borderId="11" xfId="0" applyFont="1" applyFill="1" applyBorder="1" applyAlignment="1">
      <alignment horizontal="center" vertical="center" wrapText="1" shrinkToFit="1"/>
    </xf>
    <xf numFmtId="0" fontId="17" fillId="19" borderId="77" xfId="0" applyFont="1" applyFill="1" applyBorder="1" applyAlignment="1">
      <alignment horizontal="center" shrinkToFit="1"/>
    </xf>
    <xf numFmtId="0" fontId="17" fillId="19" borderId="61" xfId="0" applyFont="1" applyFill="1" applyBorder="1" applyAlignment="1">
      <alignment horizontal="center" shrinkToFit="1"/>
    </xf>
    <xf numFmtId="0" fontId="17" fillId="19" borderId="11" xfId="0" applyFont="1" applyFill="1" applyBorder="1" applyAlignment="1">
      <alignment horizontal="center" shrinkToFit="1"/>
    </xf>
    <xf numFmtId="0" fontId="17" fillId="19" borderId="78" xfId="0" applyFont="1" applyFill="1" applyBorder="1" applyAlignment="1">
      <alignment horizontal="center" vertical="center" shrinkToFit="1"/>
    </xf>
    <xf numFmtId="0" fontId="17" fillId="19" borderId="70" xfId="0" applyFont="1" applyFill="1" applyBorder="1" applyAlignment="1">
      <alignment horizontal="center" vertical="center" shrinkToFit="1"/>
    </xf>
    <xf numFmtId="0" fontId="17" fillId="19" borderId="61" xfId="0" applyFont="1" applyFill="1" applyBorder="1" applyAlignment="1">
      <alignment horizontal="center" vertical="center" shrinkToFit="1"/>
    </xf>
    <xf numFmtId="0" fontId="20" fillId="2" borderId="0" xfId="0" applyFont="1" applyFill="1" applyAlignment="1">
      <alignment horizontal="center"/>
    </xf>
    <xf numFmtId="0" fontId="1" fillId="18" borderId="72" xfId="0" applyFont="1" applyFill="1" applyBorder="1" applyAlignment="1">
      <alignment horizontal="center" shrinkToFit="1"/>
    </xf>
    <xf numFmtId="0" fontId="1" fillId="18" borderId="73" xfId="0" applyFont="1" applyFill="1" applyBorder="1" applyAlignment="1">
      <alignment horizontal="center" shrinkToFit="1"/>
    </xf>
    <xf numFmtId="0" fontId="6" fillId="7" borderId="55" xfId="0" applyFont="1" applyFill="1" applyBorder="1" applyAlignment="1">
      <alignment horizontal="center" vertical="center" wrapText="1"/>
    </xf>
    <xf numFmtId="0" fontId="6" fillId="7" borderId="60" xfId="0" applyFont="1" applyFill="1" applyBorder="1" applyAlignment="1">
      <alignment horizontal="center" vertical="center" wrapText="1"/>
    </xf>
    <xf numFmtId="0" fontId="6" fillId="7" borderId="56" xfId="0" applyFont="1" applyFill="1" applyBorder="1" applyAlignment="1">
      <alignment horizontal="center" vertical="center" wrapText="1"/>
    </xf>
    <xf numFmtId="0" fontId="6" fillId="7" borderId="61" xfId="0" applyFont="1" applyFill="1" applyBorder="1" applyAlignment="1">
      <alignment horizontal="center" vertical="center" wrapText="1"/>
    </xf>
    <xf numFmtId="1" fontId="51" fillId="15" borderId="2" xfId="13" applyFont="1" applyFill="1" applyBorder="1" applyAlignment="1">
      <alignment horizontal="center" vertical="center"/>
    </xf>
    <xf numFmtId="177" fontId="51" fillId="15" borderId="2" xfId="10" applyFont="1" applyFill="1" applyBorder="1" applyAlignment="1">
      <alignment horizontal="center" vertical="center"/>
    </xf>
    <xf numFmtId="14" fontId="51" fillId="15" borderId="2" xfId="13" applyNumberFormat="1" applyFont="1" applyFill="1" applyBorder="1" applyAlignment="1">
      <alignment horizontal="center" vertical="center"/>
    </xf>
    <xf numFmtId="3" fontId="51" fillId="15" borderId="2" xfId="13" applyNumberFormat="1" applyFont="1" applyFill="1" applyBorder="1" applyAlignment="1">
      <alignment horizontal="center" vertical="center"/>
    </xf>
    <xf numFmtId="190" fontId="54" fillId="15" borderId="2" xfId="6" applyNumberFormat="1" applyFont="1" applyFill="1" applyBorder="1" applyAlignment="1" applyProtection="1">
      <alignment horizontal="center" vertical="center"/>
    </xf>
    <xf numFmtId="0" fontId="31" fillId="0" borderId="0" xfId="0" applyFont="1" applyAlignment="1">
      <alignment horizontal="center" wrapText="1"/>
    </xf>
    <xf numFmtId="0" fontId="32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4" fontId="35" fillId="2" borderId="0" xfId="0" applyNumberFormat="1" applyFont="1" applyFill="1" applyAlignment="1">
      <alignment horizontal="left" vertical="center" wrapText="1"/>
    </xf>
    <xf numFmtId="179" fontId="38" fillId="2" borderId="14" xfId="2" applyFont="1" applyFill="1" applyBorder="1" applyAlignment="1">
      <alignment horizontal="center" vertical="center"/>
    </xf>
    <xf numFmtId="179" fontId="38" fillId="2" borderId="15" xfId="2" applyFont="1" applyFill="1" applyBorder="1" applyAlignment="1">
      <alignment horizontal="center" vertical="center"/>
    </xf>
    <xf numFmtId="179" fontId="38" fillId="2" borderId="16" xfId="2" applyFont="1" applyFill="1" applyBorder="1" applyAlignment="1">
      <alignment horizontal="center" vertical="center"/>
    </xf>
    <xf numFmtId="0" fontId="43" fillId="2" borderId="41" xfId="14" applyFont="1" applyFill="1" applyBorder="1" applyAlignment="1">
      <alignment horizontal="center" vertical="center" shrinkToFit="1"/>
    </xf>
    <xf numFmtId="0" fontId="43" fillId="2" borderId="42" xfId="14" applyFont="1" applyFill="1" applyBorder="1" applyAlignment="1">
      <alignment horizontal="center" vertical="center" shrinkToFit="1"/>
    </xf>
    <xf numFmtId="0" fontId="43" fillId="2" borderId="43" xfId="14" applyFont="1" applyFill="1" applyBorder="1" applyAlignment="1">
      <alignment horizontal="center" vertical="center" shrinkToFit="1"/>
    </xf>
    <xf numFmtId="0" fontId="38" fillId="2" borderId="12" xfId="14" applyFont="1" applyFill="1" applyBorder="1" applyAlignment="1">
      <alignment horizontal="center" vertical="center" wrapText="1"/>
    </xf>
    <xf numFmtId="0" fontId="38" fillId="2" borderId="19" xfId="14" applyFont="1" applyFill="1" applyBorder="1" applyAlignment="1">
      <alignment horizontal="center" vertical="center" wrapText="1"/>
    </xf>
    <xf numFmtId="0" fontId="38" fillId="2" borderId="13" xfId="14" applyFont="1" applyFill="1" applyBorder="1" applyAlignment="1">
      <alignment horizontal="center" vertical="center" wrapText="1"/>
    </xf>
    <xf numFmtId="0" fontId="38" fillId="2" borderId="20" xfId="14" applyFont="1" applyFill="1" applyBorder="1" applyAlignment="1">
      <alignment horizontal="center" vertical="center" wrapText="1"/>
    </xf>
    <xf numFmtId="179" fontId="38" fillId="2" borderId="14" xfId="2" applyFont="1" applyFill="1" applyBorder="1" applyAlignment="1">
      <alignment horizontal="center" vertical="center" wrapText="1"/>
    </xf>
    <xf numFmtId="179" fontId="38" fillId="2" borderId="21" xfId="2" applyFont="1" applyFill="1" applyBorder="1" applyAlignment="1">
      <alignment horizontal="center" vertical="center" wrapText="1"/>
    </xf>
    <xf numFmtId="179" fontId="40" fillId="2" borderId="17" xfId="2" applyFont="1" applyFill="1" applyBorder="1" applyAlignment="1">
      <alignment horizontal="center" vertical="center" wrapText="1"/>
    </xf>
    <xf numFmtId="179" fontId="40" fillId="2" borderId="23" xfId="2" applyFont="1" applyFill="1" applyBorder="1" applyAlignment="1">
      <alignment horizontal="center" vertical="center" wrapText="1"/>
    </xf>
    <xf numFmtId="179" fontId="39" fillId="2" borderId="18" xfId="2" applyFont="1" applyFill="1" applyBorder="1" applyAlignment="1">
      <alignment horizontal="center" vertical="center" wrapText="1"/>
    </xf>
    <xf numFmtId="179" fontId="39" fillId="2" borderId="24" xfId="2" applyFont="1" applyFill="1" applyBorder="1" applyAlignment="1">
      <alignment horizontal="center" vertical="center" wrapText="1"/>
    </xf>
    <xf numFmtId="0" fontId="48" fillId="2" borderId="0" xfId="14" applyFont="1" applyFill="1" applyAlignment="1">
      <alignment horizontal="center" vertical="center" wrapText="1"/>
    </xf>
    <xf numFmtId="0" fontId="39" fillId="2" borderId="13" xfId="14" applyFont="1" applyFill="1" applyBorder="1" applyAlignment="1">
      <alignment horizontal="center" vertical="center" wrapText="1"/>
    </xf>
    <xf numFmtId="0" fontId="39" fillId="2" borderId="20" xfId="14" applyFont="1" applyFill="1" applyBorder="1" applyAlignment="1">
      <alignment horizontal="center" vertical="center" wrapText="1"/>
    </xf>
    <xf numFmtId="184" fontId="39" fillId="2" borderId="3" xfId="1" applyNumberFormat="1" applyFont="1" applyFill="1" applyBorder="1" applyAlignment="1">
      <alignment horizontal="center" vertical="center" wrapText="1"/>
    </xf>
    <xf numFmtId="184" fontId="39" fillId="2" borderId="1" xfId="1" applyNumberFormat="1" applyFont="1" applyFill="1" applyBorder="1" applyAlignment="1">
      <alignment horizontal="center" vertical="center" wrapText="1"/>
    </xf>
    <xf numFmtId="38" fontId="39" fillId="2" borderId="2" xfId="1" applyNumberFormat="1" applyFont="1" applyFill="1" applyBorder="1" applyAlignment="1">
      <alignment horizontal="center" vertical="center" wrapText="1"/>
    </xf>
    <xf numFmtId="184" fontId="39" fillId="2" borderId="0" xfId="1" applyNumberFormat="1" applyFont="1" applyFill="1" applyBorder="1" applyAlignment="1">
      <alignment horizontal="center" vertical="center" wrapText="1"/>
    </xf>
    <xf numFmtId="0" fontId="50" fillId="2" borderId="0" xfId="0" applyFont="1" applyFill="1" applyAlignment="1">
      <alignment horizontal="center" vertical="center"/>
    </xf>
    <xf numFmtId="0" fontId="38" fillId="10" borderId="13" xfId="14" applyFont="1" applyFill="1" applyBorder="1" applyAlignment="1">
      <alignment horizontal="center" vertical="center" wrapText="1"/>
    </xf>
    <xf numFmtId="0" fontId="38" fillId="10" borderId="20" xfId="14" applyFont="1" applyFill="1" applyBorder="1" applyAlignment="1">
      <alignment horizontal="center" vertical="center" wrapText="1"/>
    </xf>
    <xf numFmtId="179" fontId="38" fillId="2" borderId="13" xfId="2" applyFont="1" applyFill="1" applyBorder="1" applyAlignment="1">
      <alignment horizontal="center" vertical="center" wrapText="1"/>
    </xf>
    <xf numFmtId="179" fontId="38" fillId="2" borderId="20" xfId="2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4" fillId="10" borderId="2" xfId="0" applyFont="1" applyFill="1" applyBorder="1" applyAlignment="1">
      <alignment horizontal="center"/>
    </xf>
    <xf numFmtId="0" fontId="24" fillId="10" borderId="5" xfId="0" applyFont="1" applyFill="1" applyBorder="1" applyAlignment="1">
      <alignment horizontal="center"/>
    </xf>
    <xf numFmtId="0" fontId="24" fillId="10" borderId="9" xfId="0" applyFont="1" applyFill="1" applyBorder="1" applyAlignment="1">
      <alignment horizontal="center"/>
    </xf>
    <xf numFmtId="0" fontId="24" fillId="10" borderId="10" xfId="0" applyFont="1" applyFill="1" applyBorder="1" applyAlignment="1">
      <alignment horizontal="center"/>
    </xf>
    <xf numFmtId="0" fontId="24" fillId="10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 wrapText="1"/>
    </xf>
    <xf numFmtId="0" fontId="1" fillId="23" borderId="2" xfId="0" applyFont="1" applyFill="1" applyBorder="1" applyAlignment="1">
      <alignment horizontal="center" vertical="center"/>
    </xf>
    <xf numFmtId="184" fontId="1" fillId="23" borderId="2" xfId="1" applyNumberFormat="1" applyFont="1" applyFill="1" applyBorder="1" applyAlignment="1">
      <alignment horizontal="center"/>
    </xf>
  </cellXfs>
  <cellStyles count="17">
    <cellStyle name="Comma" xfId="1" builtinId="3"/>
    <cellStyle name="Comma [0]" xfId="2" builtinId="6"/>
    <cellStyle name="Comma [0] 2" xfId="3"/>
    <cellStyle name="Comma [0] 2 2 2 2" xfId="4"/>
    <cellStyle name="Comma [0] 3" xfId="5"/>
    <cellStyle name="Comma [0] 4" xfId="6"/>
    <cellStyle name="Comma 2" xfId="7"/>
    <cellStyle name="Comma 2 2 2 2" xfId="8"/>
    <cellStyle name="Comma 6" xfId="9"/>
    <cellStyle name="Comma 7" xfId="10"/>
    <cellStyle name="Normal" xfId="0" builtinId="0"/>
    <cellStyle name="Normal 2" xfId="11"/>
    <cellStyle name="Normal 3" xfId="12"/>
    <cellStyle name="Normal 4" xfId="13"/>
    <cellStyle name="표준 2" xfId="14"/>
    <cellStyle name="표준 2 9 2" xfId="15"/>
    <cellStyle name="千位分隔[0] 2" xfId="16"/>
  </cellStyles>
  <dxfs count="2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2" defaultTableStyle="Table Style 1" defaultPivotStyle="PivotTable Style 1">
    <tableStyle name="PivotTable Style 1" table="0" count="0"/>
    <tableStyle name="Table Style 1" pivot="0" count="0"/>
  </tableStyles>
  <colors>
    <mruColors>
      <color rgb="FFFF33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%20TAPE/B&#193;O%20C&#193;O%20K&#7870;%20TO&#193;N/KMI/T8/KOSTAT%20MATERIAL%20RM%20Daily%20report%20August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RJSPH"/>
      <sheetName val="Daily"/>
      <sheetName val="（NG）"/>
      <sheetName val="(IN_TRANSIT）"/>
      <sheetName val="RECEIVING DETAIL（INPUT）"/>
      <sheetName val="ISSUE DETAIL（OUTPUT）"/>
      <sheetName val="Small Roll"/>
    </sheetNames>
    <sheetDataSet>
      <sheetData sheetId="0" refreshError="1"/>
      <sheetData sheetId="1">
        <row r="1">
          <cell r="A1" t="str">
            <v>RAW MATERIAL DAILY INVENTORY STATUS</v>
          </cell>
        </row>
        <row r="2">
          <cell r="A2">
            <v>46270</v>
          </cell>
          <cell r="C2" t="str">
            <v>KOSTAT MATERIAL</v>
          </cell>
        </row>
        <row r="3">
          <cell r="A3" t="str">
            <v>CODE</v>
          </cell>
          <cell r="C3" t="str">
            <v>(Description)</v>
          </cell>
        </row>
        <row r="4">
          <cell r="B4" t="str">
            <v>规格</v>
          </cell>
        </row>
        <row r="6">
          <cell r="A6">
            <v>1</v>
          </cell>
          <cell r="B6">
            <v>2</v>
          </cell>
          <cell r="C6">
            <v>3</v>
          </cell>
        </row>
        <row r="7">
          <cell r="A7" t="str">
            <v>SH301425</v>
          </cell>
          <cell r="C7" t="str">
            <v>KKB2 2002211050_KM</v>
          </cell>
        </row>
        <row r="8">
          <cell r="A8" t="str">
            <v>SH301406</v>
          </cell>
          <cell r="C8" t="str">
            <v>KKB2 2503011050_KM</v>
          </cell>
        </row>
        <row r="9">
          <cell r="A9" t="str">
            <v>SH301545</v>
          </cell>
          <cell r="C9" t="str">
            <v>KKB2 300662640_KM</v>
          </cell>
        </row>
        <row r="10">
          <cell r="A10" t="str">
            <v>SH301540</v>
          </cell>
          <cell r="C10" t="str">
            <v>KKB2 2002211050_KM</v>
          </cell>
        </row>
        <row r="11">
          <cell r="A11" t="str">
            <v>SH301546</v>
          </cell>
          <cell r="C11" t="str">
            <v>KKB2 2003011050_KM</v>
          </cell>
        </row>
        <row r="12">
          <cell r="A12" t="str">
            <v>SH301547</v>
          </cell>
          <cell r="C12" t="str">
            <v>KKB2 2502211050_KM</v>
          </cell>
        </row>
        <row r="13">
          <cell r="A13" t="str">
            <v>SH301548</v>
          </cell>
          <cell r="C13" t="str">
            <v>KKB2 300495640_KM</v>
          </cell>
        </row>
        <row r="14">
          <cell r="A14" t="str">
            <v>SH301551</v>
          </cell>
          <cell r="C14" t="str">
            <v>KKB2 300301540_KM</v>
          </cell>
        </row>
        <row r="15">
          <cell r="A15" t="str">
            <v>SH301541</v>
          </cell>
          <cell r="C15" t="str">
            <v>KKB2 2503011050_KM</v>
          </cell>
        </row>
        <row r="16">
          <cell r="A16" t="str">
            <v>SH301552</v>
          </cell>
          <cell r="C16" t="str">
            <v>KKB2 250495540_KM</v>
          </cell>
        </row>
        <row r="17">
          <cell r="A17" t="str">
            <v>SH301554</v>
          </cell>
          <cell r="C17" t="str">
            <v>KKB2 300495540_KM</v>
          </cell>
        </row>
        <row r="18">
          <cell r="A18" t="str">
            <v>SH301562</v>
          </cell>
          <cell r="C18" t="str">
            <v>KKB2 400441420_KM</v>
          </cell>
        </row>
        <row r="19">
          <cell r="A19" t="str">
            <v>SH200094</v>
          </cell>
          <cell r="C19" t="str">
            <v>KDP 200221550 (AP2)_KM</v>
          </cell>
        </row>
        <row r="20">
          <cell r="A20" t="str">
            <v>S-Total:</v>
          </cell>
          <cell r="C20" t="str">
            <v>OK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 filterMode="1">
    <tabColor theme="8" tint="0.59999389629810485"/>
  </sheetPr>
  <dimension ref="A1:BQ293"/>
  <sheetViews>
    <sheetView workbookViewId="0">
      <pane xSplit="4" ySplit="4" topLeftCell="E5" activePane="bottomRight" state="frozen"/>
      <selection pane="topRight"/>
      <selection pane="bottomLeft"/>
      <selection pane="bottomRight" activeCell="L59" sqref="L59:L270"/>
    </sheetView>
  </sheetViews>
  <sheetFormatPr defaultColWidth="9.125" defaultRowHeight="15"/>
  <cols>
    <col min="1" max="1" width="11.25" style="285" customWidth="1"/>
    <col min="2" max="2" width="11.25" style="286" customWidth="1"/>
    <col min="3" max="4" width="9" style="286" customWidth="1"/>
    <col min="5" max="6" width="6.875" style="286" customWidth="1"/>
    <col min="7" max="7" width="6.875" style="287" customWidth="1"/>
    <col min="8" max="8" width="6.875" style="286" customWidth="1"/>
    <col min="9" max="9" width="6.875" style="288" customWidth="1"/>
    <col min="10" max="57" width="6.875" style="286" customWidth="1"/>
    <col min="58" max="58" width="7" style="286" customWidth="1"/>
    <col min="59" max="59" width="6.875" style="286" customWidth="1"/>
    <col min="60" max="60" width="7.125" style="286" customWidth="1"/>
    <col min="61" max="61" width="6.75" style="286" customWidth="1"/>
    <col min="62" max="62" width="6.375" style="286" customWidth="1"/>
    <col min="63" max="63" width="7.375" style="286" customWidth="1"/>
    <col min="64" max="64" width="6.375" style="286" customWidth="1"/>
    <col min="65" max="65" width="7.125" style="286" customWidth="1"/>
    <col min="66" max="66" width="7.375" style="286" customWidth="1"/>
    <col min="67" max="67" width="9.375" style="289" hidden="1" customWidth="1"/>
    <col min="68" max="69" width="9.125" style="286" customWidth="1"/>
    <col min="70" max="16384" width="9.125" style="286"/>
  </cols>
  <sheetData>
    <row r="1" spans="1:69" ht="14.25" customHeight="1">
      <c r="A1" s="290"/>
      <c r="B1" s="290"/>
      <c r="C1" s="290"/>
      <c r="D1" s="291">
        <f>SUM(D5:D266)</f>
        <v>45720</v>
      </c>
      <c r="E1" s="292">
        <v>7</v>
      </c>
      <c r="G1" s="293"/>
      <c r="I1" s="286"/>
      <c r="AL1" s="294"/>
    </row>
    <row r="2" spans="1:69" s="280" customFormat="1" ht="22.5" customHeight="1">
      <c r="A2" s="377" t="s">
        <v>0</v>
      </c>
      <c r="B2" s="380" t="s">
        <v>1</v>
      </c>
      <c r="C2" s="383" t="s">
        <v>2</v>
      </c>
      <c r="D2" s="386" t="s">
        <v>3</v>
      </c>
      <c r="E2" s="295"/>
      <c r="F2" s="296">
        <f t="shared" ref="F2:AK2" si="0">SUM(F5:F274)</f>
        <v>0</v>
      </c>
      <c r="G2" s="296">
        <f t="shared" si="0"/>
        <v>0</v>
      </c>
      <c r="H2" s="296">
        <f t="shared" si="0"/>
        <v>0</v>
      </c>
      <c r="I2" s="296">
        <f t="shared" si="0"/>
        <v>0</v>
      </c>
      <c r="J2" s="296">
        <f t="shared" si="0"/>
        <v>28040</v>
      </c>
      <c r="K2" s="296">
        <f t="shared" si="0"/>
        <v>0</v>
      </c>
      <c r="L2" s="296">
        <f t="shared" si="0"/>
        <v>25480</v>
      </c>
      <c r="M2" s="296">
        <f t="shared" si="0"/>
        <v>0</v>
      </c>
      <c r="N2" s="296">
        <f t="shared" si="0"/>
        <v>0</v>
      </c>
      <c r="O2" s="296">
        <f t="shared" si="0"/>
        <v>0</v>
      </c>
      <c r="P2" s="296">
        <f t="shared" si="0"/>
        <v>0</v>
      </c>
      <c r="Q2" s="296">
        <f t="shared" si="0"/>
        <v>0</v>
      </c>
      <c r="R2" s="296">
        <f t="shared" si="0"/>
        <v>0</v>
      </c>
      <c r="S2" s="296">
        <f t="shared" si="0"/>
        <v>0</v>
      </c>
      <c r="T2" s="296">
        <f t="shared" si="0"/>
        <v>0</v>
      </c>
      <c r="U2" s="296">
        <f t="shared" si="0"/>
        <v>0</v>
      </c>
      <c r="V2" s="296">
        <f t="shared" si="0"/>
        <v>0</v>
      </c>
      <c r="W2" s="296">
        <f t="shared" si="0"/>
        <v>0</v>
      </c>
      <c r="X2" s="296">
        <f t="shared" si="0"/>
        <v>0</v>
      </c>
      <c r="Y2" s="296">
        <f t="shared" si="0"/>
        <v>0</v>
      </c>
      <c r="Z2" s="296">
        <f t="shared" si="0"/>
        <v>0</v>
      </c>
      <c r="AA2" s="296">
        <f t="shared" si="0"/>
        <v>0</v>
      </c>
      <c r="AB2" s="296">
        <f t="shared" si="0"/>
        <v>0</v>
      </c>
      <c r="AC2" s="296">
        <f t="shared" si="0"/>
        <v>0</v>
      </c>
      <c r="AD2" s="296">
        <f t="shared" si="0"/>
        <v>0</v>
      </c>
      <c r="AE2" s="296">
        <f t="shared" si="0"/>
        <v>0</v>
      </c>
      <c r="AF2" s="296">
        <f t="shared" si="0"/>
        <v>0</v>
      </c>
      <c r="AG2" s="296">
        <f t="shared" si="0"/>
        <v>0</v>
      </c>
      <c r="AH2" s="296">
        <f t="shared" si="0"/>
        <v>0</v>
      </c>
      <c r="AI2" s="296">
        <f t="shared" si="0"/>
        <v>0</v>
      </c>
      <c r="AJ2" s="296">
        <f t="shared" si="0"/>
        <v>0</v>
      </c>
      <c r="AK2" s="296">
        <f t="shared" si="0"/>
        <v>0</v>
      </c>
      <c r="AL2" s="296">
        <f t="shared" ref="AL2:BN2" si="1">SUM(AL5:AL274)</f>
        <v>0</v>
      </c>
      <c r="AM2" s="296">
        <f t="shared" si="1"/>
        <v>0</v>
      </c>
      <c r="AN2" s="296">
        <f t="shared" si="1"/>
        <v>0</v>
      </c>
      <c r="AO2" s="296">
        <f t="shared" si="1"/>
        <v>0</v>
      </c>
      <c r="AP2" s="296">
        <f t="shared" si="1"/>
        <v>0</v>
      </c>
      <c r="AQ2" s="296">
        <f t="shared" si="1"/>
        <v>0</v>
      </c>
      <c r="AR2" s="296">
        <f t="shared" si="1"/>
        <v>0</v>
      </c>
      <c r="AS2" s="296">
        <f t="shared" si="1"/>
        <v>0</v>
      </c>
      <c r="AT2" s="296">
        <f t="shared" si="1"/>
        <v>0</v>
      </c>
      <c r="AU2" s="296">
        <f t="shared" si="1"/>
        <v>0</v>
      </c>
      <c r="AV2" s="296">
        <f t="shared" si="1"/>
        <v>0</v>
      </c>
      <c r="AW2" s="296">
        <f t="shared" si="1"/>
        <v>0</v>
      </c>
      <c r="AX2" s="296">
        <f t="shared" si="1"/>
        <v>0</v>
      </c>
      <c r="AY2" s="296">
        <f t="shared" si="1"/>
        <v>0</v>
      </c>
      <c r="AZ2" s="296">
        <f t="shared" si="1"/>
        <v>0</v>
      </c>
      <c r="BA2" s="296">
        <f t="shared" si="1"/>
        <v>0</v>
      </c>
      <c r="BB2" s="296">
        <f t="shared" si="1"/>
        <v>0</v>
      </c>
      <c r="BC2" s="296">
        <f t="shared" si="1"/>
        <v>0</v>
      </c>
      <c r="BD2" s="296">
        <f t="shared" si="1"/>
        <v>0</v>
      </c>
      <c r="BE2" s="296">
        <f t="shared" si="1"/>
        <v>0</v>
      </c>
      <c r="BF2" s="296">
        <f t="shared" si="1"/>
        <v>0</v>
      </c>
      <c r="BG2" s="296">
        <f t="shared" si="1"/>
        <v>0</v>
      </c>
      <c r="BH2" s="296">
        <f t="shared" si="1"/>
        <v>0</v>
      </c>
      <c r="BI2" s="296">
        <f t="shared" si="1"/>
        <v>0</v>
      </c>
      <c r="BJ2" s="296">
        <f t="shared" si="1"/>
        <v>0</v>
      </c>
      <c r="BK2" s="296">
        <f t="shared" si="1"/>
        <v>0</v>
      </c>
      <c r="BL2" s="296">
        <f t="shared" si="1"/>
        <v>0</v>
      </c>
      <c r="BM2" s="296">
        <f t="shared" si="1"/>
        <v>0</v>
      </c>
      <c r="BN2" s="296">
        <f t="shared" si="1"/>
        <v>0</v>
      </c>
      <c r="BO2" s="297"/>
    </row>
    <row r="3" spans="1:69" s="281" customFormat="1" ht="12" customHeight="1">
      <c r="A3" s="378"/>
      <c r="B3" s="381"/>
      <c r="C3" s="384"/>
      <c r="D3" s="387"/>
      <c r="E3" s="371">
        <f>DATE(2026,$E$1,1)</f>
        <v>46204</v>
      </c>
      <c r="F3" s="372"/>
      <c r="G3" s="371">
        <f>+E3+1</f>
        <v>46205</v>
      </c>
      <c r="H3" s="373"/>
      <c r="I3" s="371">
        <f t="shared" ref="I3" si="2">+G3+1</f>
        <v>46206</v>
      </c>
      <c r="J3" s="373"/>
      <c r="K3" s="371">
        <f t="shared" ref="K3" si="3">+I3+1</f>
        <v>46207</v>
      </c>
      <c r="L3" s="373"/>
      <c r="M3" s="371">
        <f t="shared" ref="M3" si="4">+K3+1</f>
        <v>46208</v>
      </c>
      <c r="N3" s="373"/>
      <c r="O3" s="371">
        <f t="shared" ref="O3" si="5">+M3+1</f>
        <v>46209</v>
      </c>
      <c r="P3" s="373"/>
      <c r="Q3" s="371">
        <f t="shared" ref="Q3" si="6">+O3+1</f>
        <v>46210</v>
      </c>
      <c r="R3" s="373"/>
      <c r="S3" s="371">
        <f t="shared" ref="S3" si="7">+Q3+1</f>
        <v>46211</v>
      </c>
      <c r="T3" s="373"/>
      <c r="U3" s="371">
        <f t="shared" ref="U3" si="8">+S3+1</f>
        <v>46212</v>
      </c>
      <c r="V3" s="373"/>
      <c r="W3" s="371">
        <f t="shared" ref="W3" si="9">+U3+1</f>
        <v>46213</v>
      </c>
      <c r="X3" s="373"/>
      <c r="Y3" s="371">
        <f t="shared" ref="Y3" si="10">+W3+1</f>
        <v>46214</v>
      </c>
      <c r="Z3" s="373"/>
      <c r="AA3" s="371">
        <f t="shared" ref="AA3" si="11">+Y3+1</f>
        <v>46215</v>
      </c>
      <c r="AB3" s="373"/>
      <c r="AC3" s="371">
        <f t="shared" ref="AC3" si="12">+AA3+1</f>
        <v>46216</v>
      </c>
      <c r="AD3" s="373"/>
      <c r="AE3" s="371">
        <f t="shared" ref="AE3" si="13">+AC3+1</f>
        <v>46217</v>
      </c>
      <c r="AF3" s="373"/>
      <c r="AG3" s="371">
        <f t="shared" ref="AG3" si="14">+AE3+1</f>
        <v>46218</v>
      </c>
      <c r="AH3" s="373"/>
      <c r="AI3" s="371">
        <f t="shared" ref="AI3" si="15">+AG3+1</f>
        <v>46219</v>
      </c>
      <c r="AJ3" s="373"/>
      <c r="AK3" s="371">
        <f t="shared" ref="AK3" si="16">+AI3+1</f>
        <v>46220</v>
      </c>
      <c r="AL3" s="373"/>
      <c r="AM3" s="371">
        <f t="shared" ref="AM3" si="17">+AK3+1</f>
        <v>46221</v>
      </c>
      <c r="AN3" s="373"/>
      <c r="AO3" s="371">
        <f t="shared" ref="AO3" si="18">+AM3+1</f>
        <v>46222</v>
      </c>
      <c r="AP3" s="373"/>
      <c r="AQ3" s="371">
        <f t="shared" ref="AQ3" si="19">+AO3+1</f>
        <v>46223</v>
      </c>
      <c r="AR3" s="373"/>
      <c r="AS3" s="371">
        <f t="shared" ref="AS3" si="20">+AQ3+1</f>
        <v>46224</v>
      </c>
      <c r="AT3" s="373"/>
      <c r="AU3" s="371">
        <f t="shared" ref="AU3" si="21">+AS3+1</f>
        <v>46225</v>
      </c>
      <c r="AV3" s="373"/>
      <c r="AW3" s="371">
        <f t="shared" ref="AW3" si="22">+AU3+1</f>
        <v>46226</v>
      </c>
      <c r="AX3" s="373"/>
      <c r="AY3" s="371">
        <f t="shared" ref="AY3" si="23">+AW3+1</f>
        <v>46227</v>
      </c>
      <c r="AZ3" s="373"/>
      <c r="BA3" s="371">
        <f t="shared" ref="BA3" si="24">+AY3+1</f>
        <v>46228</v>
      </c>
      <c r="BB3" s="373"/>
      <c r="BC3" s="371">
        <f t="shared" ref="BC3" si="25">+BA3+1</f>
        <v>46229</v>
      </c>
      <c r="BD3" s="373"/>
      <c r="BE3" s="371">
        <f t="shared" ref="BE3" si="26">+BC3+1</f>
        <v>46230</v>
      </c>
      <c r="BF3" s="373"/>
      <c r="BG3" s="371">
        <f t="shared" ref="BG3" si="27">+BE3+1</f>
        <v>46231</v>
      </c>
      <c r="BH3" s="373"/>
      <c r="BI3" s="371">
        <f t="shared" ref="BI3" si="28">+BG3+1</f>
        <v>46232</v>
      </c>
      <c r="BJ3" s="373"/>
      <c r="BK3" s="371">
        <f t="shared" ref="BK3" si="29">+BI3+1</f>
        <v>46233</v>
      </c>
      <c r="BL3" s="373"/>
      <c r="BM3" s="371">
        <f t="shared" ref="BM3" si="30">+BK3+1</f>
        <v>46234</v>
      </c>
      <c r="BN3" s="373"/>
      <c r="BO3" s="374" t="s">
        <v>4</v>
      </c>
    </row>
    <row r="4" spans="1:69" s="282" customFormat="1" ht="16.5" customHeight="1">
      <c r="A4" s="379"/>
      <c r="B4" s="382"/>
      <c r="C4" s="385"/>
      <c r="D4" s="388"/>
      <c r="E4" s="298" t="s">
        <v>5</v>
      </c>
      <c r="F4" s="299" t="s">
        <v>6</v>
      </c>
      <c r="G4" s="298" t="s">
        <v>5</v>
      </c>
      <c r="H4" s="299" t="s">
        <v>6</v>
      </c>
      <c r="I4" s="298" t="s">
        <v>5</v>
      </c>
      <c r="J4" s="299" t="s">
        <v>6</v>
      </c>
      <c r="K4" s="298" t="s">
        <v>5</v>
      </c>
      <c r="L4" s="299" t="s">
        <v>6</v>
      </c>
      <c r="M4" s="298" t="s">
        <v>5</v>
      </c>
      <c r="N4" s="299" t="s">
        <v>6</v>
      </c>
      <c r="O4" s="298" t="s">
        <v>5</v>
      </c>
      <c r="P4" s="299" t="s">
        <v>6</v>
      </c>
      <c r="Q4" s="298" t="s">
        <v>5</v>
      </c>
      <c r="R4" s="299" t="s">
        <v>6</v>
      </c>
      <c r="S4" s="298" t="s">
        <v>5</v>
      </c>
      <c r="T4" s="299" t="s">
        <v>6</v>
      </c>
      <c r="U4" s="298" t="s">
        <v>5</v>
      </c>
      <c r="V4" s="299" t="s">
        <v>6</v>
      </c>
      <c r="W4" s="298" t="s">
        <v>5</v>
      </c>
      <c r="X4" s="299" t="s">
        <v>6</v>
      </c>
      <c r="Y4" s="298" t="s">
        <v>5</v>
      </c>
      <c r="Z4" s="299" t="s">
        <v>6</v>
      </c>
      <c r="AA4" s="298" t="s">
        <v>5</v>
      </c>
      <c r="AB4" s="299" t="s">
        <v>6</v>
      </c>
      <c r="AC4" s="298" t="s">
        <v>5</v>
      </c>
      <c r="AD4" s="299" t="s">
        <v>6</v>
      </c>
      <c r="AE4" s="298" t="s">
        <v>5</v>
      </c>
      <c r="AF4" s="299" t="s">
        <v>6</v>
      </c>
      <c r="AG4" s="298" t="s">
        <v>5</v>
      </c>
      <c r="AH4" s="299" t="s">
        <v>6</v>
      </c>
      <c r="AI4" s="298" t="s">
        <v>5</v>
      </c>
      <c r="AJ4" s="299" t="s">
        <v>6</v>
      </c>
      <c r="AK4" s="298" t="s">
        <v>5</v>
      </c>
      <c r="AL4" s="299" t="s">
        <v>6</v>
      </c>
      <c r="AM4" s="298" t="s">
        <v>5</v>
      </c>
      <c r="AN4" s="299" t="s">
        <v>6</v>
      </c>
      <c r="AO4" s="298" t="s">
        <v>5</v>
      </c>
      <c r="AP4" s="299" t="s">
        <v>6</v>
      </c>
      <c r="AQ4" s="298" t="s">
        <v>5</v>
      </c>
      <c r="AR4" s="299" t="s">
        <v>6</v>
      </c>
      <c r="AS4" s="298" t="s">
        <v>5</v>
      </c>
      <c r="AT4" s="299" t="s">
        <v>6</v>
      </c>
      <c r="AU4" s="298" t="s">
        <v>5</v>
      </c>
      <c r="AV4" s="299" t="s">
        <v>6</v>
      </c>
      <c r="AW4" s="298" t="s">
        <v>5</v>
      </c>
      <c r="AX4" s="299" t="s">
        <v>6</v>
      </c>
      <c r="AY4" s="298" t="s">
        <v>5</v>
      </c>
      <c r="AZ4" s="299" t="s">
        <v>6</v>
      </c>
      <c r="BA4" s="298" t="s">
        <v>5</v>
      </c>
      <c r="BB4" s="299" t="s">
        <v>6</v>
      </c>
      <c r="BC4" s="298" t="s">
        <v>5</v>
      </c>
      <c r="BD4" s="299" t="s">
        <v>6</v>
      </c>
      <c r="BE4" s="298" t="s">
        <v>5</v>
      </c>
      <c r="BF4" s="299" t="s">
        <v>6</v>
      </c>
      <c r="BG4" s="298" t="s">
        <v>5</v>
      </c>
      <c r="BH4" s="299" t="s">
        <v>6</v>
      </c>
      <c r="BI4" s="298" t="s">
        <v>5</v>
      </c>
      <c r="BJ4" s="299" t="s">
        <v>6</v>
      </c>
      <c r="BK4" s="298" t="s">
        <v>5</v>
      </c>
      <c r="BL4" s="299" t="s">
        <v>6</v>
      </c>
      <c r="BM4" s="298" t="s">
        <v>5</v>
      </c>
      <c r="BN4" s="300" t="s">
        <v>6</v>
      </c>
      <c r="BO4" s="374"/>
    </row>
    <row r="5" spans="1:69" ht="18" hidden="1" customHeight="1">
      <c r="A5" s="301" t="s">
        <v>7</v>
      </c>
      <c r="B5" s="302" t="s">
        <v>8</v>
      </c>
      <c r="C5" s="303"/>
      <c r="D5" s="304">
        <f>SUMIF($E$4:BN$4,$F$4,E5:BN5)</f>
        <v>0</v>
      </c>
      <c r="E5" s="305"/>
      <c r="F5" s="306"/>
      <c r="G5" s="305"/>
      <c r="H5" s="306"/>
      <c r="I5" s="305"/>
      <c r="J5" s="306"/>
      <c r="K5" s="305"/>
      <c r="L5" s="306"/>
      <c r="M5" s="305"/>
      <c r="N5" s="306"/>
      <c r="O5" s="305"/>
      <c r="P5" s="306"/>
      <c r="Q5" s="305"/>
      <c r="R5" s="306"/>
      <c r="S5" s="305"/>
      <c r="T5" s="306"/>
      <c r="U5" s="305"/>
      <c r="V5" s="306"/>
      <c r="W5" s="305"/>
      <c r="X5" s="306"/>
      <c r="Y5" s="305"/>
      <c r="Z5" s="306"/>
      <c r="AA5" s="305"/>
      <c r="AB5" s="306"/>
      <c r="AC5" s="305"/>
      <c r="AD5" s="306"/>
      <c r="AE5" s="305"/>
      <c r="AF5" s="306"/>
      <c r="AG5" s="305"/>
      <c r="AH5" s="306"/>
      <c r="AI5" s="305"/>
      <c r="AJ5" s="306"/>
      <c r="AK5" s="305"/>
      <c r="AL5" s="306"/>
      <c r="AM5" s="305"/>
      <c r="AN5" s="306"/>
      <c r="AO5" s="305"/>
      <c r="AP5" s="306"/>
      <c r="AQ5" s="305"/>
      <c r="AR5" s="306"/>
      <c r="AS5" s="305"/>
      <c r="AT5" s="306"/>
      <c r="AU5" s="305"/>
      <c r="AV5" s="306"/>
      <c r="AW5" s="305"/>
      <c r="AX5" s="306"/>
      <c r="AY5" s="305"/>
      <c r="AZ5" s="306"/>
      <c r="BA5" s="305"/>
      <c r="BB5" s="306"/>
      <c r="BC5" s="305"/>
      <c r="BD5" s="306"/>
      <c r="BE5" s="305"/>
      <c r="BF5" s="306"/>
      <c r="BG5" s="305"/>
      <c r="BH5" s="306"/>
      <c r="BI5" s="305"/>
      <c r="BJ5" s="306"/>
      <c r="BK5" s="305"/>
      <c r="BL5" s="306"/>
      <c r="BM5" s="305"/>
      <c r="BN5" s="307"/>
      <c r="BO5" s="289">
        <f>SUMIF(E4:$BN$4,$E$4,E5:BN5)</f>
        <v>0</v>
      </c>
      <c r="BP5" s="286">
        <f>+VLOOKUP(A5,'Tổng,SUMMARY'!C:K,8,0)</f>
        <v>1300</v>
      </c>
      <c r="BQ5" s="293">
        <f>+D5-BP5</f>
        <v>-1300</v>
      </c>
    </row>
    <row r="6" spans="1:69" ht="18" hidden="1" customHeight="1">
      <c r="A6" s="301" t="s">
        <v>9</v>
      </c>
      <c r="B6" s="302" t="s">
        <v>10</v>
      </c>
      <c r="C6" s="303"/>
      <c r="D6" s="304">
        <f>SUMIF($E$4:BN$4,$F$4,E6:BN6)</f>
        <v>0</v>
      </c>
      <c r="E6" s="305"/>
      <c r="F6" s="306"/>
      <c r="G6" s="305"/>
      <c r="H6" s="306"/>
      <c r="I6" s="305"/>
      <c r="J6" s="306"/>
      <c r="K6" s="305"/>
      <c r="L6" s="306"/>
      <c r="M6" s="305"/>
      <c r="N6" s="306"/>
      <c r="O6" s="305"/>
      <c r="P6" s="306"/>
      <c r="Q6" s="305"/>
      <c r="R6" s="306"/>
      <c r="S6" s="305"/>
      <c r="T6" s="306"/>
      <c r="U6" s="305"/>
      <c r="V6" s="306"/>
      <c r="W6" s="305"/>
      <c r="X6" s="306"/>
      <c r="Y6" s="305"/>
      <c r="Z6" s="306"/>
      <c r="AA6" s="305"/>
      <c r="AB6" s="306"/>
      <c r="AC6" s="305"/>
      <c r="AD6" s="306"/>
      <c r="AE6" s="305"/>
      <c r="AF6" s="306"/>
      <c r="AG6" s="305"/>
      <c r="AH6" s="306"/>
      <c r="AI6" s="305"/>
      <c r="AJ6" s="306"/>
      <c r="AK6" s="305"/>
      <c r="AL6" s="306"/>
      <c r="AM6" s="305"/>
      <c r="AN6" s="306"/>
      <c r="AO6" s="305"/>
      <c r="AP6" s="306"/>
      <c r="AQ6" s="305"/>
      <c r="AR6" s="306"/>
      <c r="AS6" s="305"/>
      <c r="AT6" s="306"/>
      <c r="AU6" s="305"/>
      <c r="AV6" s="306"/>
      <c r="AW6" s="305"/>
      <c r="AX6" s="306"/>
      <c r="AY6" s="305"/>
      <c r="AZ6" s="306"/>
      <c r="BA6" s="305"/>
      <c r="BB6" s="306"/>
      <c r="BC6" s="305"/>
      <c r="BD6" s="306"/>
      <c r="BE6" s="305"/>
      <c r="BF6" s="306"/>
      <c r="BG6" s="305"/>
      <c r="BH6" s="306"/>
      <c r="BI6" s="305"/>
      <c r="BJ6" s="306"/>
      <c r="BK6" s="305"/>
      <c r="BL6" s="306"/>
      <c r="BM6" s="305"/>
      <c r="BN6" s="307"/>
      <c r="BO6" s="289">
        <f ca="1">SUMIF(E$4:$BN5,$E$4,E6:BN6)</f>
        <v>0</v>
      </c>
      <c r="BP6" s="286">
        <f>+VLOOKUP(A6,'Tổng,SUMMARY'!C:K,8,0)</f>
        <v>950</v>
      </c>
      <c r="BQ6" s="293">
        <f t="shared" ref="BQ6:BQ71" si="31">+D6-BP6</f>
        <v>-950</v>
      </c>
    </row>
    <row r="7" spans="1:69" ht="18" hidden="1" customHeight="1">
      <c r="A7" s="301" t="s">
        <v>11</v>
      </c>
      <c r="B7" s="308" t="s">
        <v>12</v>
      </c>
      <c r="C7" s="303"/>
      <c r="D7" s="304">
        <f>SUMIF($E$4:BN$4,$F$4,E7:BN7)</f>
        <v>0</v>
      </c>
      <c r="E7" s="305"/>
      <c r="F7" s="306"/>
      <c r="G7" s="305"/>
      <c r="H7" s="306"/>
      <c r="I7" s="305"/>
      <c r="J7" s="306"/>
      <c r="K7" s="305"/>
      <c r="L7" s="306"/>
      <c r="M7" s="305"/>
      <c r="N7" s="306"/>
      <c r="O7" s="305"/>
      <c r="P7" s="306"/>
      <c r="Q7" s="305"/>
      <c r="R7" s="306"/>
      <c r="S7" s="305"/>
      <c r="T7" s="306"/>
      <c r="U7" s="305"/>
      <c r="V7" s="306"/>
      <c r="W7" s="305"/>
      <c r="X7" s="306"/>
      <c r="Y7" s="305"/>
      <c r="Z7" s="306"/>
      <c r="AA7" s="305"/>
      <c r="AB7" s="306"/>
      <c r="AC7" s="305"/>
      <c r="AD7" s="306"/>
      <c r="AE7" s="305"/>
      <c r="AF7" s="306"/>
      <c r="AG7" s="305"/>
      <c r="AH7" s="306"/>
      <c r="AI7" s="305"/>
      <c r="AJ7" s="306"/>
      <c r="AK7" s="305"/>
      <c r="AL7" s="306"/>
      <c r="AM7" s="305"/>
      <c r="AN7" s="306"/>
      <c r="AO7" s="305"/>
      <c r="AP7" s="306"/>
      <c r="AQ7" s="305"/>
      <c r="AR7" s="306"/>
      <c r="AS7" s="305"/>
      <c r="AT7" s="306"/>
      <c r="AU7" s="305"/>
      <c r="AV7" s="306"/>
      <c r="AW7" s="305"/>
      <c r="AX7" s="306"/>
      <c r="AY7" s="305"/>
      <c r="AZ7" s="306"/>
      <c r="BA7" s="305"/>
      <c r="BB7" s="306"/>
      <c r="BC7" s="305"/>
      <c r="BD7" s="306"/>
      <c r="BE7" s="305"/>
      <c r="BF7" s="306"/>
      <c r="BG7" s="305"/>
      <c r="BH7" s="306"/>
      <c r="BI7" s="305"/>
      <c r="BJ7" s="306"/>
      <c r="BK7" s="305"/>
      <c r="BL7" s="306"/>
      <c r="BM7" s="305"/>
      <c r="BN7" s="307"/>
      <c r="BO7" s="289">
        <f ca="1">SUMIF(E$4:$BN6,$E$4,E7:BN7)</f>
        <v>0</v>
      </c>
      <c r="BP7" s="286">
        <f>+VLOOKUP(A7,'Tổng,SUMMARY'!C:K,8,0)</f>
        <v>1500</v>
      </c>
      <c r="BQ7" s="293">
        <f t="shared" si="31"/>
        <v>-1500</v>
      </c>
    </row>
    <row r="8" spans="1:69" ht="18" hidden="1" customHeight="1">
      <c r="A8" s="301" t="s">
        <v>13</v>
      </c>
      <c r="B8" s="308" t="s">
        <v>14</v>
      </c>
      <c r="C8" s="303"/>
      <c r="D8" s="304">
        <f>SUMIF($E$4:BN$4,$F$4,E8:BN8)</f>
        <v>0</v>
      </c>
      <c r="E8" s="305"/>
      <c r="F8" s="306"/>
      <c r="G8" s="305"/>
      <c r="H8" s="306"/>
      <c r="I8" s="305"/>
      <c r="J8" s="306"/>
      <c r="K8" s="305"/>
      <c r="L8" s="306"/>
      <c r="M8" s="305"/>
      <c r="N8" s="306"/>
      <c r="O8" s="305"/>
      <c r="P8" s="306"/>
      <c r="Q8" s="305"/>
      <c r="R8" s="306"/>
      <c r="S8" s="305"/>
      <c r="T8" s="306"/>
      <c r="U8" s="305"/>
      <c r="V8" s="306"/>
      <c r="W8" s="305"/>
      <c r="X8" s="306"/>
      <c r="Y8" s="305"/>
      <c r="Z8" s="306"/>
      <c r="AA8" s="305"/>
      <c r="AB8" s="306"/>
      <c r="AC8" s="305"/>
      <c r="AD8" s="306"/>
      <c r="AE8" s="305"/>
      <c r="AF8" s="306"/>
      <c r="AG8" s="305"/>
      <c r="AH8" s="306"/>
      <c r="AI8" s="305"/>
      <c r="AJ8" s="306"/>
      <c r="AK8" s="305"/>
      <c r="AL8" s="306"/>
      <c r="AM8" s="305"/>
      <c r="AN8" s="306"/>
      <c r="AO8" s="305"/>
      <c r="AP8" s="306"/>
      <c r="AQ8" s="305"/>
      <c r="AR8" s="306"/>
      <c r="AS8" s="305"/>
      <c r="AT8" s="306"/>
      <c r="AU8" s="305"/>
      <c r="AV8" s="306"/>
      <c r="AW8" s="305"/>
      <c r="AX8" s="306"/>
      <c r="AY8" s="305"/>
      <c r="AZ8" s="306"/>
      <c r="BA8" s="305"/>
      <c r="BB8" s="306"/>
      <c r="BC8" s="305"/>
      <c r="BD8" s="306"/>
      <c r="BE8" s="305"/>
      <c r="BF8" s="306"/>
      <c r="BG8" s="305"/>
      <c r="BH8" s="306"/>
      <c r="BI8" s="305"/>
      <c r="BJ8" s="306"/>
      <c r="BK8" s="305"/>
      <c r="BL8" s="306"/>
      <c r="BM8" s="305"/>
      <c r="BN8" s="307"/>
      <c r="BO8" s="289">
        <f ca="1">SUMIF(E$4:$BN7,$E$4,E8:BN8)</f>
        <v>0</v>
      </c>
      <c r="BP8" s="286">
        <f>+VLOOKUP(A8,'Tổng,SUMMARY'!C:K,8,0)</f>
        <v>1800</v>
      </c>
      <c r="BQ8" s="293">
        <f t="shared" si="31"/>
        <v>-1800</v>
      </c>
    </row>
    <row r="9" spans="1:69" ht="18" hidden="1" customHeight="1">
      <c r="A9" s="301" t="s">
        <v>15</v>
      </c>
      <c r="B9" s="309" t="s">
        <v>14</v>
      </c>
      <c r="C9" s="303"/>
      <c r="D9" s="304">
        <f>SUMIF($E$4:BN$4,$F$4,E9:BN9)</f>
        <v>0</v>
      </c>
      <c r="E9" s="305"/>
      <c r="F9" s="306"/>
      <c r="G9" s="305"/>
      <c r="H9" s="306"/>
      <c r="I9" s="310"/>
      <c r="J9" s="306"/>
      <c r="K9" s="305"/>
      <c r="L9" s="306"/>
      <c r="M9" s="305"/>
      <c r="N9" s="306"/>
      <c r="O9" s="305"/>
      <c r="P9" s="306"/>
      <c r="Q9" s="305"/>
      <c r="R9" s="306"/>
      <c r="S9" s="305"/>
      <c r="T9" s="306"/>
      <c r="U9" s="305"/>
      <c r="V9" s="306"/>
      <c r="W9" s="305"/>
      <c r="X9" s="306"/>
      <c r="Y9" s="305"/>
      <c r="Z9" s="306"/>
      <c r="AA9" s="305"/>
      <c r="AB9" s="306"/>
      <c r="AC9" s="305"/>
      <c r="AD9" s="306"/>
      <c r="AE9" s="305"/>
      <c r="AF9" s="306"/>
      <c r="AG9" s="305"/>
      <c r="AH9" s="306"/>
      <c r="AI9" s="305"/>
      <c r="AJ9" s="306"/>
      <c r="AK9" s="305"/>
      <c r="AL9" s="306"/>
      <c r="AM9" s="305"/>
      <c r="AN9" s="306"/>
      <c r="AO9" s="305"/>
      <c r="AP9" s="306"/>
      <c r="AQ9" s="305"/>
      <c r="AR9" s="306"/>
      <c r="AS9" s="305"/>
      <c r="AT9" s="306"/>
      <c r="AU9" s="305"/>
      <c r="AV9" s="306"/>
      <c r="AW9" s="305"/>
      <c r="AX9" s="306"/>
      <c r="AY9" s="305"/>
      <c r="AZ9" s="306"/>
      <c r="BA9" s="305"/>
      <c r="BB9" s="306"/>
      <c r="BC9" s="305"/>
      <c r="BD9" s="306"/>
      <c r="BE9" s="305"/>
      <c r="BF9" s="306"/>
      <c r="BG9" s="305"/>
      <c r="BH9" s="306"/>
      <c r="BI9" s="305"/>
      <c r="BJ9" s="306"/>
      <c r="BK9" s="305"/>
      <c r="BL9" s="306"/>
      <c r="BM9" s="305"/>
      <c r="BN9" s="307"/>
      <c r="BO9" s="289">
        <f ca="1">SUMIF(E$4:$BN8,$E$4,E9:BN9)</f>
        <v>0</v>
      </c>
      <c r="BP9" s="286">
        <f>+VLOOKUP(A9,'Tổng,SUMMARY'!C:K,8,0)</f>
        <v>0</v>
      </c>
      <c r="BQ9" s="293">
        <f t="shared" si="31"/>
        <v>0</v>
      </c>
    </row>
    <row r="10" spans="1:69" ht="18" hidden="1" customHeight="1">
      <c r="A10" s="301" t="s">
        <v>16</v>
      </c>
      <c r="B10" s="308" t="s">
        <v>17</v>
      </c>
      <c r="C10" s="303"/>
      <c r="D10" s="304">
        <f>SUMIF($E$4:BN$4,$F$4,E10:BN10)</f>
        <v>0</v>
      </c>
      <c r="E10" s="305"/>
      <c r="F10" s="306"/>
      <c r="G10" s="305"/>
      <c r="H10" s="306"/>
      <c r="I10" s="305"/>
      <c r="J10" s="306"/>
      <c r="K10" s="305"/>
      <c r="L10" s="306"/>
      <c r="M10" s="305"/>
      <c r="N10" s="306"/>
      <c r="O10" s="305"/>
      <c r="P10" s="306"/>
      <c r="Q10" s="305"/>
      <c r="R10" s="306"/>
      <c r="S10" s="305"/>
      <c r="T10" s="306"/>
      <c r="U10" s="305"/>
      <c r="V10" s="306"/>
      <c r="W10" s="305"/>
      <c r="X10" s="306"/>
      <c r="Y10" s="305"/>
      <c r="Z10" s="306"/>
      <c r="AA10" s="305"/>
      <c r="AB10" s="306"/>
      <c r="AC10" s="305"/>
      <c r="AD10" s="306"/>
      <c r="AE10" s="305"/>
      <c r="AF10" s="306"/>
      <c r="AG10" s="305"/>
      <c r="AH10" s="306"/>
      <c r="AI10" s="305"/>
      <c r="AJ10" s="306"/>
      <c r="AK10" s="305"/>
      <c r="AL10" s="306"/>
      <c r="AM10" s="305"/>
      <c r="AN10" s="306"/>
      <c r="AO10" s="305"/>
      <c r="AP10" s="306"/>
      <c r="AQ10" s="305"/>
      <c r="AR10" s="306"/>
      <c r="AS10" s="305"/>
      <c r="AT10" s="306"/>
      <c r="AU10" s="305"/>
      <c r="AV10" s="306"/>
      <c r="AW10" s="305"/>
      <c r="AX10" s="306"/>
      <c r="AY10" s="305"/>
      <c r="AZ10" s="306"/>
      <c r="BA10" s="305"/>
      <c r="BB10" s="306"/>
      <c r="BC10" s="305"/>
      <c r="BD10" s="306"/>
      <c r="BE10" s="305"/>
      <c r="BF10" s="306"/>
      <c r="BG10" s="305"/>
      <c r="BH10" s="306"/>
      <c r="BI10" s="305"/>
      <c r="BJ10" s="306"/>
      <c r="BK10" s="305"/>
      <c r="BL10" s="306"/>
      <c r="BM10" s="305"/>
      <c r="BN10" s="307"/>
      <c r="BO10" s="289">
        <f ca="1">SUMIF(E$4:$BN9,$E$4,E10:BN10)</f>
        <v>0</v>
      </c>
      <c r="BP10" s="286">
        <f>+VLOOKUP(A10,'Tổng,SUMMARY'!C:K,8,0)</f>
        <v>850</v>
      </c>
      <c r="BQ10" s="293">
        <f t="shared" si="31"/>
        <v>-850</v>
      </c>
    </row>
    <row r="11" spans="1:69" ht="18" hidden="1" customHeight="1">
      <c r="A11" s="301" t="s">
        <v>18</v>
      </c>
      <c r="B11" s="308" t="s">
        <v>19</v>
      </c>
      <c r="C11" s="303"/>
      <c r="D11" s="304">
        <f>SUMIF($E$4:BN$4,$F$4,E11:BN11)</f>
        <v>0</v>
      </c>
      <c r="E11" s="305"/>
      <c r="F11" s="306"/>
      <c r="G11" s="305"/>
      <c r="H11" s="306"/>
      <c r="I11" s="305"/>
      <c r="J11" s="306"/>
      <c r="K11" s="305"/>
      <c r="L11" s="306"/>
      <c r="M11" s="305"/>
      <c r="N11" s="306"/>
      <c r="O11" s="305"/>
      <c r="P11" s="306"/>
      <c r="Q11" s="305"/>
      <c r="R11" s="306"/>
      <c r="S11" s="305"/>
      <c r="T11" s="306"/>
      <c r="U11" s="305"/>
      <c r="V11" s="306"/>
      <c r="W11" s="305"/>
      <c r="X11" s="306"/>
      <c r="Y11" s="305"/>
      <c r="Z11" s="306"/>
      <c r="AA11" s="305"/>
      <c r="AB11" s="306"/>
      <c r="AC11" s="305"/>
      <c r="AD11" s="306"/>
      <c r="AE11" s="305"/>
      <c r="AF11" s="306"/>
      <c r="AG11" s="305"/>
      <c r="AH11" s="306"/>
      <c r="AI11" s="305"/>
      <c r="AJ11" s="306"/>
      <c r="AK11" s="311"/>
      <c r="AL11" s="306"/>
      <c r="AM11" s="305"/>
      <c r="AN11" s="306"/>
      <c r="AO11" s="305"/>
      <c r="AP11" s="306"/>
      <c r="AQ11" s="305"/>
      <c r="AR11" s="306"/>
      <c r="AS11" s="305"/>
      <c r="AT11" s="306"/>
      <c r="AU11" s="305"/>
      <c r="AV11" s="306"/>
      <c r="AW11" s="305"/>
      <c r="AX11" s="306"/>
      <c r="AY11" s="305"/>
      <c r="AZ11" s="306"/>
      <c r="BA11" s="305"/>
      <c r="BB11" s="306"/>
      <c r="BC11" s="305"/>
      <c r="BD11" s="306"/>
      <c r="BE11" s="305"/>
      <c r="BF11" s="306"/>
      <c r="BG11" s="305"/>
      <c r="BH11" s="306"/>
      <c r="BI11" s="305"/>
      <c r="BJ11" s="306"/>
      <c r="BK11" s="305"/>
      <c r="BL11" s="306"/>
      <c r="BM11" s="305"/>
      <c r="BN11" s="307"/>
      <c r="BO11" s="289">
        <f ca="1">SUMIF(E$4:$BN10,$E$4,E11:BN11)</f>
        <v>0</v>
      </c>
      <c r="BP11" s="286">
        <f>+VLOOKUP(A11,'Tổng,SUMMARY'!C:K,8,0)</f>
        <v>400</v>
      </c>
      <c r="BQ11" s="293">
        <f t="shared" si="31"/>
        <v>-400</v>
      </c>
    </row>
    <row r="12" spans="1:69" ht="18" hidden="1" customHeight="1">
      <c r="A12" s="301" t="s">
        <v>20</v>
      </c>
      <c r="B12" s="302" t="s">
        <v>19</v>
      </c>
      <c r="C12" s="303"/>
      <c r="D12" s="304">
        <f>SUMIF($E$4:BN$4,$F$4,E12:BN12)</f>
        <v>0</v>
      </c>
      <c r="E12" s="305"/>
      <c r="F12" s="306"/>
      <c r="G12" s="305"/>
      <c r="H12" s="306"/>
      <c r="I12" s="305"/>
      <c r="J12" s="306"/>
      <c r="K12" s="305"/>
      <c r="L12" s="306"/>
      <c r="M12" s="305"/>
      <c r="N12" s="306"/>
      <c r="O12" s="305"/>
      <c r="P12" s="306"/>
      <c r="Q12" s="305"/>
      <c r="R12" s="306"/>
      <c r="S12" s="305"/>
      <c r="T12" s="306"/>
      <c r="U12" s="305"/>
      <c r="V12" s="306"/>
      <c r="W12" s="305"/>
      <c r="X12" s="306"/>
      <c r="Y12" s="305"/>
      <c r="Z12" s="306"/>
      <c r="AA12" s="305"/>
      <c r="AB12" s="306"/>
      <c r="AC12" s="305"/>
      <c r="AD12" s="306"/>
      <c r="AE12" s="305"/>
      <c r="AF12" s="306"/>
      <c r="AG12" s="305"/>
      <c r="AH12" s="306"/>
      <c r="AI12" s="305"/>
      <c r="AJ12" s="306"/>
      <c r="AK12" s="305"/>
      <c r="AL12" s="306"/>
      <c r="AM12" s="305"/>
      <c r="AN12" s="306"/>
      <c r="AO12" s="305"/>
      <c r="AP12" s="306"/>
      <c r="AQ12" s="305"/>
      <c r="AR12" s="306"/>
      <c r="AS12" s="305"/>
      <c r="AT12" s="306"/>
      <c r="AU12" s="305"/>
      <c r="AV12" s="306"/>
      <c r="AW12" s="305"/>
      <c r="AX12" s="306"/>
      <c r="AY12" s="305"/>
      <c r="AZ12" s="306"/>
      <c r="BA12" s="305"/>
      <c r="BB12" s="306"/>
      <c r="BC12" s="305"/>
      <c r="BD12" s="306"/>
      <c r="BE12" s="305"/>
      <c r="BF12" s="306"/>
      <c r="BG12" s="305"/>
      <c r="BH12" s="306"/>
      <c r="BI12" s="305"/>
      <c r="BJ12" s="306"/>
      <c r="BK12" s="305"/>
      <c r="BL12" s="306"/>
      <c r="BM12" s="305"/>
      <c r="BN12" s="307"/>
      <c r="BO12" s="289">
        <f ca="1">SUMIF(E$4:$BN11,$E$4,E12:BN12)</f>
        <v>0</v>
      </c>
      <c r="BP12" s="286">
        <f>+VLOOKUP(A12,'Tổng,SUMMARY'!C:K,8,0)</f>
        <v>0</v>
      </c>
      <c r="BQ12" s="293">
        <f t="shared" si="31"/>
        <v>0</v>
      </c>
    </row>
    <row r="13" spans="1:69" ht="18" hidden="1" customHeight="1">
      <c r="A13" s="312" t="s">
        <v>21</v>
      </c>
      <c r="B13" s="302" t="s">
        <v>22</v>
      </c>
      <c r="C13" s="303"/>
      <c r="D13" s="304">
        <f>SUMIF($E$4:BN$4,$F$4,E13:BN13)</f>
        <v>0</v>
      </c>
      <c r="E13" s="305"/>
      <c r="F13" s="306"/>
      <c r="G13" s="305"/>
      <c r="H13" s="306"/>
      <c r="I13" s="305"/>
      <c r="J13" s="306"/>
      <c r="K13" s="305"/>
      <c r="L13" s="306"/>
      <c r="M13" s="305"/>
      <c r="N13" s="306"/>
      <c r="O13" s="305"/>
      <c r="P13" s="306"/>
      <c r="Q13" s="305"/>
      <c r="R13" s="306"/>
      <c r="S13" s="305"/>
      <c r="T13" s="306"/>
      <c r="U13" s="305"/>
      <c r="V13" s="306"/>
      <c r="W13" s="305"/>
      <c r="X13" s="306"/>
      <c r="Y13" s="305"/>
      <c r="Z13" s="306"/>
      <c r="AA13" s="305"/>
      <c r="AB13" s="306"/>
      <c r="AC13" s="305"/>
      <c r="AD13" s="306"/>
      <c r="AE13" s="305"/>
      <c r="AF13" s="306"/>
      <c r="AG13" s="305"/>
      <c r="AH13" s="306"/>
      <c r="AI13" s="305"/>
      <c r="AJ13" s="306"/>
      <c r="AK13" s="305"/>
      <c r="AL13" s="306"/>
      <c r="AM13" s="305"/>
      <c r="AN13" s="306"/>
      <c r="AO13" s="305"/>
      <c r="AP13" s="306"/>
      <c r="AQ13" s="305"/>
      <c r="AR13" s="306"/>
      <c r="AS13" s="305"/>
      <c r="AT13" s="306"/>
      <c r="AU13" s="305"/>
      <c r="AV13" s="306"/>
      <c r="AW13" s="305"/>
      <c r="AX13" s="306"/>
      <c r="AY13" s="305"/>
      <c r="AZ13" s="306"/>
      <c r="BA13" s="305"/>
      <c r="BB13" s="306"/>
      <c r="BC13" s="305"/>
      <c r="BD13" s="306"/>
      <c r="BE13" s="305"/>
      <c r="BF13" s="306"/>
      <c r="BG13" s="305"/>
      <c r="BH13" s="306"/>
      <c r="BI13" s="305"/>
      <c r="BJ13" s="306"/>
      <c r="BK13" s="305"/>
      <c r="BL13" s="306"/>
      <c r="BM13" s="305"/>
      <c r="BN13" s="307"/>
      <c r="BO13" s="289">
        <f ca="1">SUMIF(E$4:$BN12,$E$4,E13:BN13)</f>
        <v>0</v>
      </c>
      <c r="BP13" s="286">
        <f>+VLOOKUP(A13,'Tổng,SUMMARY'!C:K,8,0)</f>
        <v>300</v>
      </c>
      <c r="BQ13" s="293">
        <f t="shared" si="31"/>
        <v>-300</v>
      </c>
    </row>
    <row r="14" spans="1:69" ht="18" hidden="1" customHeight="1">
      <c r="A14" s="313" t="s">
        <v>23</v>
      </c>
      <c r="B14" s="314" t="s">
        <v>24</v>
      </c>
      <c r="C14" s="315"/>
      <c r="D14" s="304">
        <f>SUMIF($E$4:BN$4,$F$4,E14:BN14)</f>
        <v>0</v>
      </c>
      <c r="E14" s="316"/>
      <c r="F14" s="317"/>
      <c r="G14" s="316"/>
      <c r="H14" s="317"/>
      <c r="I14" s="316"/>
      <c r="J14" s="317"/>
      <c r="K14" s="316"/>
      <c r="L14" s="317"/>
      <c r="M14" s="316"/>
      <c r="N14" s="317"/>
      <c r="O14" s="316"/>
      <c r="P14" s="317"/>
      <c r="Q14" s="316"/>
      <c r="R14" s="317"/>
      <c r="S14" s="316"/>
      <c r="T14" s="317"/>
      <c r="U14" s="316"/>
      <c r="V14" s="317"/>
      <c r="W14" s="316"/>
      <c r="X14" s="317"/>
      <c r="Y14" s="316"/>
      <c r="Z14" s="317"/>
      <c r="AA14" s="316"/>
      <c r="AB14" s="317"/>
      <c r="AC14" s="316"/>
      <c r="AD14" s="317"/>
      <c r="AE14" s="316"/>
      <c r="AF14" s="317"/>
      <c r="AG14" s="316"/>
      <c r="AH14" s="317"/>
      <c r="AI14" s="316"/>
      <c r="AJ14" s="317"/>
      <c r="AK14" s="316"/>
      <c r="AL14" s="317"/>
      <c r="AM14" s="305"/>
      <c r="AN14" s="317"/>
      <c r="AO14" s="305"/>
      <c r="AP14" s="317"/>
      <c r="AQ14" s="316"/>
      <c r="AR14" s="317"/>
      <c r="AS14" s="316"/>
      <c r="AT14" s="317"/>
      <c r="AU14" s="316"/>
      <c r="AV14" s="317"/>
      <c r="AW14" s="316"/>
      <c r="AX14" s="317"/>
      <c r="AY14" s="316"/>
      <c r="AZ14" s="317"/>
      <c r="BA14" s="316"/>
      <c r="BB14" s="317"/>
      <c r="BC14" s="316"/>
      <c r="BD14" s="317"/>
      <c r="BE14" s="316"/>
      <c r="BF14" s="317"/>
      <c r="BG14" s="316"/>
      <c r="BH14" s="317"/>
      <c r="BI14" s="316"/>
      <c r="BJ14" s="317"/>
      <c r="BK14" s="316"/>
      <c r="BL14" s="317"/>
      <c r="BM14" s="316"/>
      <c r="BN14" s="318"/>
      <c r="BO14" s="289">
        <f ca="1">SUMIF(E$4:$BN13,$E$4,E14:BN14)</f>
        <v>0</v>
      </c>
      <c r="BP14" s="286">
        <f>+VLOOKUP(A14,'Tổng,SUMMARY'!C:K,8,0)</f>
        <v>50</v>
      </c>
      <c r="BQ14" s="293">
        <f t="shared" si="31"/>
        <v>-50</v>
      </c>
    </row>
    <row r="15" spans="1:69" ht="18" hidden="1" customHeight="1">
      <c r="A15" s="312" t="s">
        <v>25</v>
      </c>
      <c r="B15" s="308" t="s">
        <v>26</v>
      </c>
      <c r="C15" s="303"/>
      <c r="D15" s="304">
        <f>SUMIF($E$4:BN$4,$F$4,E15:BN15)</f>
        <v>0</v>
      </c>
      <c r="E15" s="305"/>
      <c r="F15" s="306"/>
      <c r="G15" s="305"/>
      <c r="H15" s="306"/>
      <c r="I15" s="305"/>
      <c r="J15" s="306"/>
      <c r="K15" s="305"/>
      <c r="L15" s="306"/>
      <c r="M15" s="305"/>
      <c r="N15" s="306"/>
      <c r="O15" s="305"/>
      <c r="P15" s="306"/>
      <c r="Q15" s="305"/>
      <c r="R15" s="306"/>
      <c r="S15" s="305"/>
      <c r="T15" s="306"/>
      <c r="U15" s="305"/>
      <c r="V15" s="306"/>
      <c r="W15" s="305"/>
      <c r="X15" s="306"/>
      <c r="Y15" s="305"/>
      <c r="Z15" s="306"/>
      <c r="AA15" s="305"/>
      <c r="AB15" s="306"/>
      <c r="AC15" s="305"/>
      <c r="AD15" s="306"/>
      <c r="AE15" s="305"/>
      <c r="AF15" s="306"/>
      <c r="AG15" s="305"/>
      <c r="AH15" s="306"/>
      <c r="AI15" s="305"/>
      <c r="AJ15" s="306"/>
      <c r="AK15" s="305"/>
      <c r="AL15" s="306"/>
      <c r="AM15" s="305"/>
      <c r="AN15" s="306"/>
      <c r="AO15" s="305"/>
      <c r="AP15" s="306"/>
      <c r="AQ15" s="305"/>
      <c r="AR15" s="306"/>
      <c r="AS15" s="305"/>
      <c r="AT15" s="306"/>
      <c r="AU15" s="305"/>
      <c r="AV15" s="306"/>
      <c r="AW15" s="305"/>
      <c r="AX15" s="306"/>
      <c r="AY15" s="305"/>
      <c r="AZ15" s="306"/>
      <c r="BA15" s="305"/>
      <c r="BB15" s="306"/>
      <c r="BC15" s="305"/>
      <c r="BD15" s="306"/>
      <c r="BE15" s="305"/>
      <c r="BF15" s="306"/>
      <c r="BG15" s="305"/>
      <c r="BH15" s="306"/>
      <c r="BI15" s="305"/>
      <c r="BJ15" s="306"/>
      <c r="BK15" s="305"/>
      <c r="BL15" s="306"/>
      <c r="BM15" s="305"/>
      <c r="BN15" s="307"/>
      <c r="BO15" s="289">
        <f ca="1">SUMIF(E$4:$BN14,$E$4,E15:BN15)</f>
        <v>0</v>
      </c>
      <c r="BP15" s="286">
        <f>+VLOOKUP(A15,'Tổng,SUMMARY'!C:K,8,0)</f>
        <v>0</v>
      </c>
      <c r="BQ15" s="293">
        <f t="shared" si="31"/>
        <v>0</v>
      </c>
    </row>
    <row r="16" spans="1:69" ht="18" hidden="1" customHeight="1">
      <c r="A16" s="312" t="s">
        <v>27</v>
      </c>
      <c r="B16" s="308" t="s">
        <v>26</v>
      </c>
      <c r="C16" s="303"/>
      <c r="D16" s="304">
        <f>SUMIF($E$4:BN$4,$F$4,E16:BN16)</f>
        <v>0</v>
      </c>
      <c r="E16" s="305"/>
      <c r="F16" s="306"/>
      <c r="G16" s="305"/>
      <c r="H16" s="306"/>
      <c r="I16" s="305"/>
      <c r="J16" s="306"/>
      <c r="K16" s="305"/>
      <c r="L16" s="306"/>
      <c r="M16" s="305"/>
      <c r="N16" s="306"/>
      <c r="O16" s="305"/>
      <c r="P16" s="306"/>
      <c r="Q16" s="305"/>
      <c r="R16" s="306"/>
      <c r="S16" s="305"/>
      <c r="T16" s="306"/>
      <c r="U16" s="305"/>
      <c r="V16" s="306"/>
      <c r="W16" s="305"/>
      <c r="X16" s="306"/>
      <c r="Y16" s="305"/>
      <c r="Z16" s="306"/>
      <c r="AA16" s="305"/>
      <c r="AB16" s="306"/>
      <c r="AC16" s="305"/>
      <c r="AD16" s="306"/>
      <c r="AE16" s="305"/>
      <c r="AF16" s="306"/>
      <c r="AG16" s="305"/>
      <c r="AH16" s="306"/>
      <c r="AI16" s="305"/>
      <c r="AJ16" s="306"/>
      <c r="AK16" s="305"/>
      <c r="AL16" s="306"/>
      <c r="AM16" s="305"/>
      <c r="AN16" s="306"/>
      <c r="AO16" s="305"/>
      <c r="AP16" s="306"/>
      <c r="AQ16" s="305"/>
      <c r="AR16" s="306"/>
      <c r="AS16" s="305"/>
      <c r="AT16" s="306"/>
      <c r="AU16" s="305"/>
      <c r="AV16" s="306"/>
      <c r="AW16" s="305"/>
      <c r="AX16" s="306"/>
      <c r="AY16" s="305"/>
      <c r="AZ16" s="306"/>
      <c r="BA16" s="305"/>
      <c r="BB16" s="306"/>
      <c r="BC16" s="305"/>
      <c r="BD16" s="306"/>
      <c r="BE16" s="305"/>
      <c r="BF16" s="306"/>
      <c r="BG16" s="305"/>
      <c r="BH16" s="306"/>
      <c r="BI16" s="305"/>
      <c r="BJ16" s="306"/>
      <c r="BK16" s="305"/>
      <c r="BL16" s="306"/>
      <c r="BM16" s="305"/>
      <c r="BN16" s="307"/>
      <c r="BO16" s="289">
        <f ca="1">SUMIF(E$4:$BN15,$E$4,E16:BN16)</f>
        <v>0</v>
      </c>
      <c r="BP16" s="286">
        <f>+VLOOKUP(A16,'Tổng,SUMMARY'!C:K,8,0)</f>
        <v>0</v>
      </c>
      <c r="BQ16" s="293">
        <f t="shared" si="31"/>
        <v>0</v>
      </c>
    </row>
    <row r="17" spans="1:69" ht="18" hidden="1" customHeight="1">
      <c r="A17" s="312" t="s">
        <v>28</v>
      </c>
      <c r="B17" s="319" t="s">
        <v>29</v>
      </c>
      <c r="C17" s="303"/>
      <c r="D17" s="304">
        <f>SUMIF($E$4:BN$4,$F$4,E17:BN17)</f>
        <v>0</v>
      </c>
      <c r="E17" s="305"/>
      <c r="F17" s="306"/>
      <c r="G17" s="305"/>
      <c r="H17" s="306"/>
      <c r="I17" s="305"/>
      <c r="J17" s="306"/>
      <c r="K17" s="305"/>
      <c r="L17" s="306"/>
      <c r="M17" s="305"/>
      <c r="N17" s="306"/>
      <c r="O17" s="305"/>
      <c r="P17" s="306"/>
      <c r="Q17" s="305"/>
      <c r="R17" s="306"/>
      <c r="S17" s="305"/>
      <c r="T17" s="306"/>
      <c r="U17" s="305"/>
      <c r="V17" s="306"/>
      <c r="W17" s="305"/>
      <c r="X17" s="306"/>
      <c r="Y17" s="305"/>
      <c r="Z17" s="306"/>
      <c r="AA17" s="305"/>
      <c r="AB17" s="306"/>
      <c r="AC17" s="305"/>
      <c r="AD17" s="306"/>
      <c r="AE17" s="305"/>
      <c r="AF17" s="306"/>
      <c r="AG17" s="305"/>
      <c r="AH17" s="306"/>
      <c r="AI17" s="305"/>
      <c r="AJ17" s="306"/>
      <c r="AK17" s="305"/>
      <c r="AL17" s="306"/>
      <c r="AM17" s="305"/>
      <c r="AN17" s="306"/>
      <c r="AO17" s="305"/>
      <c r="AP17" s="306"/>
      <c r="AQ17" s="305"/>
      <c r="AR17" s="306"/>
      <c r="AS17" s="305"/>
      <c r="AT17" s="306"/>
      <c r="AU17" s="305"/>
      <c r="AV17" s="306"/>
      <c r="AW17" s="305"/>
      <c r="AX17" s="306"/>
      <c r="AY17" s="305"/>
      <c r="AZ17" s="306"/>
      <c r="BA17" s="305"/>
      <c r="BB17" s="306"/>
      <c r="BC17" s="305"/>
      <c r="BD17" s="306"/>
      <c r="BE17" s="305"/>
      <c r="BF17" s="306"/>
      <c r="BG17" s="305"/>
      <c r="BH17" s="306"/>
      <c r="BI17" s="305"/>
      <c r="BJ17" s="306"/>
      <c r="BK17" s="305"/>
      <c r="BL17" s="306"/>
      <c r="BM17" s="305"/>
      <c r="BN17" s="307"/>
      <c r="BO17" s="289">
        <f ca="1">SUMIF(E$4:$BN16,$E$4,E17:BN17)</f>
        <v>0</v>
      </c>
      <c r="BP17" s="286">
        <f>+VLOOKUP(A17,'Tổng,SUMMARY'!C:K,8,0)</f>
        <v>200</v>
      </c>
      <c r="BQ17" s="293">
        <f t="shared" si="31"/>
        <v>-200</v>
      </c>
    </row>
    <row r="18" spans="1:69" ht="18" hidden="1" customHeight="1">
      <c r="A18" s="312" t="s">
        <v>30</v>
      </c>
      <c r="B18" s="308" t="s">
        <v>31</v>
      </c>
      <c r="C18" s="303"/>
      <c r="D18" s="304">
        <f>SUMIF($E$4:BN$4,$F$4,E18:BN18)</f>
        <v>0</v>
      </c>
      <c r="E18" s="305"/>
      <c r="F18" s="306"/>
      <c r="G18" s="305"/>
      <c r="H18" s="306"/>
      <c r="I18" s="305"/>
      <c r="J18" s="306"/>
      <c r="K18" s="305"/>
      <c r="L18" s="306"/>
      <c r="M18" s="305"/>
      <c r="N18" s="306"/>
      <c r="O18" s="305"/>
      <c r="P18" s="306"/>
      <c r="Q18" s="305"/>
      <c r="R18" s="306"/>
      <c r="S18" s="305"/>
      <c r="T18" s="306"/>
      <c r="U18" s="305"/>
      <c r="V18" s="306"/>
      <c r="W18" s="305"/>
      <c r="X18" s="306"/>
      <c r="Y18" s="305"/>
      <c r="Z18" s="306"/>
      <c r="AA18" s="305"/>
      <c r="AB18" s="306"/>
      <c r="AC18" s="305"/>
      <c r="AD18" s="306"/>
      <c r="AE18" s="305"/>
      <c r="AF18" s="306"/>
      <c r="AG18" s="305"/>
      <c r="AH18" s="306"/>
      <c r="AI18" s="305"/>
      <c r="AJ18" s="306"/>
      <c r="AK18" s="305"/>
      <c r="AL18" s="306"/>
      <c r="AM18" s="305"/>
      <c r="AN18" s="306"/>
      <c r="AO18" s="305"/>
      <c r="AP18" s="306"/>
      <c r="AQ18" s="305"/>
      <c r="AR18" s="306"/>
      <c r="AS18" s="305"/>
      <c r="AT18" s="306"/>
      <c r="AU18" s="305"/>
      <c r="AV18" s="306"/>
      <c r="AW18" s="305"/>
      <c r="AX18" s="306"/>
      <c r="AY18" s="305"/>
      <c r="AZ18" s="306"/>
      <c r="BA18" s="305"/>
      <c r="BB18" s="306"/>
      <c r="BC18" s="305"/>
      <c r="BD18" s="306"/>
      <c r="BE18" s="305"/>
      <c r="BF18" s="306"/>
      <c r="BG18" s="305"/>
      <c r="BH18" s="306"/>
      <c r="BI18" s="305"/>
      <c r="BJ18" s="306"/>
      <c r="BK18" s="305"/>
      <c r="BL18" s="306"/>
      <c r="BM18" s="305"/>
      <c r="BN18" s="307"/>
      <c r="BO18" s="289">
        <f ca="1">SUMIF(E$4:$BN17,$E$4,E18:BN18)</f>
        <v>0</v>
      </c>
      <c r="BP18" s="286">
        <f>+VLOOKUP(A18,'Tổng,SUMMARY'!C:K,8,0)</f>
        <v>0</v>
      </c>
      <c r="BQ18" s="293">
        <f t="shared" si="31"/>
        <v>0</v>
      </c>
    </row>
    <row r="19" spans="1:69" ht="18" hidden="1" customHeight="1">
      <c r="A19" s="312" t="s">
        <v>32</v>
      </c>
      <c r="B19" s="308" t="s">
        <v>33</v>
      </c>
      <c r="C19" s="303"/>
      <c r="D19" s="304">
        <f>SUMIF($E$4:BN$4,$F$4,E19:BN19)</f>
        <v>0</v>
      </c>
      <c r="E19" s="305"/>
      <c r="F19" s="306"/>
      <c r="G19" s="305"/>
      <c r="H19" s="306"/>
      <c r="I19" s="305"/>
      <c r="J19" s="306"/>
      <c r="K19" s="305"/>
      <c r="L19" s="306"/>
      <c r="M19" s="305"/>
      <c r="N19" s="306"/>
      <c r="O19" s="305"/>
      <c r="P19" s="306"/>
      <c r="Q19" s="305"/>
      <c r="R19" s="306"/>
      <c r="S19" s="305"/>
      <c r="T19" s="306"/>
      <c r="U19" s="305"/>
      <c r="V19" s="306"/>
      <c r="W19" s="305"/>
      <c r="X19" s="306"/>
      <c r="Y19" s="305"/>
      <c r="Z19" s="306"/>
      <c r="AA19" s="305"/>
      <c r="AB19" s="306"/>
      <c r="AC19" s="305"/>
      <c r="AD19" s="306"/>
      <c r="AE19" s="305"/>
      <c r="AF19" s="306"/>
      <c r="AG19" s="305"/>
      <c r="AH19" s="306"/>
      <c r="AI19" s="305"/>
      <c r="AJ19" s="306"/>
      <c r="AK19" s="305"/>
      <c r="AL19" s="306"/>
      <c r="AM19" s="305"/>
      <c r="AN19" s="306"/>
      <c r="AO19" s="305"/>
      <c r="AP19" s="306"/>
      <c r="AQ19" s="305"/>
      <c r="AR19" s="306"/>
      <c r="AS19" s="305"/>
      <c r="AT19" s="306"/>
      <c r="AU19" s="305"/>
      <c r="AV19" s="306"/>
      <c r="AW19" s="305"/>
      <c r="AX19" s="306"/>
      <c r="AY19" s="305"/>
      <c r="AZ19" s="306"/>
      <c r="BA19" s="305"/>
      <c r="BB19" s="306"/>
      <c r="BC19" s="305"/>
      <c r="BD19" s="306"/>
      <c r="BE19" s="305"/>
      <c r="BF19" s="306"/>
      <c r="BG19" s="305"/>
      <c r="BH19" s="306"/>
      <c r="BI19" s="305"/>
      <c r="BJ19" s="306"/>
      <c r="BK19" s="305"/>
      <c r="BL19" s="306"/>
      <c r="BM19" s="305"/>
      <c r="BN19" s="307"/>
      <c r="BO19" s="289">
        <f ca="1">SUMIF(E$4:$BN18,$E$4,E19:BN19)</f>
        <v>0</v>
      </c>
      <c r="BP19" s="286">
        <f>+VLOOKUP(A19,'Tổng,SUMMARY'!C:K,8,0)</f>
        <v>0</v>
      </c>
      <c r="BQ19" s="293">
        <f t="shared" si="31"/>
        <v>0</v>
      </c>
    </row>
    <row r="20" spans="1:69" ht="18" hidden="1" customHeight="1">
      <c r="A20" s="312" t="s">
        <v>34</v>
      </c>
      <c r="B20" s="308" t="s">
        <v>33</v>
      </c>
      <c r="C20" s="303"/>
      <c r="D20" s="304">
        <f>SUMIF($E$4:BN$4,$F$4,E20:BN20)</f>
        <v>0</v>
      </c>
      <c r="E20" s="305"/>
      <c r="F20" s="306"/>
      <c r="G20" s="305"/>
      <c r="H20" s="306"/>
      <c r="I20" s="305"/>
      <c r="J20" s="306"/>
      <c r="K20" s="305"/>
      <c r="L20" s="306"/>
      <c r="M20" s="305"/>
      <c r="N20" s="306"/>
      <c r="O20" s="305"/>
      <c r="P20" s="306"/>
      <c r="Q20" s="305"/>
      <c r="R20" s="306"/>
      <c r="S20" s="305"/>
      <c r="T20" s="306"/>
      <c r="U20" s="305"/>
      <c r="V20" s="306"/>
      <c r="W20" s="305"/>
      <c r="X20" s="306"/>
      <c r="Y20" s="305"/>
      <c r="Z20" s="306"/>
      <c r="AA20" s="305"/>
      <c r="AB20" s="306"/>
      <c r="AC20" s="305"/>
      <c r="AD20" s="306"/>
      <c r="AE20" s="305"/>
      <c r="AF20" s="306"/>
      <c r="AG20" s="305"/>
      <c r="AH20" s="306"/>
      <c r="AI20" s="305"/>
      <c r="AJ20" s="306"/>
      <c r="AK20" s="305"/>
      <c r="AL20" s="306"/>
      <c r="AM20" s="305"/>
      <c r="AN20" s="306"/>
      <c r="AO20" s="305"/>
      <c r="AP20" s="306"/>
      <c r="AQ20" s="305"/>
      <c r="AR20" s="306"/>
      <c r="AS20" s="305"/>
      <c r="AT20" s="306"/>
      <c r="AU20" s="305"/>
      <c r="AV20" s="306"/>
      <c r="AW20" s="305"/>
      <c r="AX20" s="306"/>
      <c r="AY20" s="305"/>
      <c r="AZ20" s="306"/>
      <c r="BA20" s="305"/>
      <c r="BB20" s="306"/>
      <c r="BC20" s="305"/>
      <c r="BD20" s="306"/>
      <c r="BE20" s="305"/>
      <c r="BF20" s="306"/>
      <c r="BG20" s="305"/>
      <c r="BH20" s="306"/>
      <c r="BI20" s="305"/>
      <c r="BJ20" s="306"/>
      <c r="BK20" s="305"/>
      <c r="BL20" s="306"/>
      <c r="BM20" s="305"/>
      <c r="BN20" s="307"/>
      <c r="BQ20" s="293"/>
    </row>
    <row r="21" spans="1:69" ht="18" hidden="1" customHeight="1">
      <c r="A21" s="312" t="s">
        <v>35</v>
      </c>
      <c r="B21" s="308" t="s">
        <v>33</v>
      </c>
      <c r="C21" s="303"/>
      <c r="D21" s="304">
        <f>SUMIF($E$4:BN$4,$F$4,E21:BN21)</f>
        <v>0</v>
      </c>
      <c r="E21" s="305"/>
      <c r="F21" s="306"/>
      <c r="G21" s="305"/>
      <c r="H21" s="306"/>
      <c r="I21" s="305"/>
      <c r="J21" s="306"/>
      <c r="K21" s="305"/>
      <c r="L21" s="306"/>
      <c r="M21" s="305"/>
      <c r="N21" s="306"/>
      <c r="O21" s="305"/>
      <c r="P21" s="306"/>
      <c r="Q21" s="305"/>
      <c r="R21" s="306"/>
      <c r="S21" s="305"/>
      <c r="T21" s="306"/>
      <c r="U21" s="305"/>
      <c r="V21" s="306"/>
      <c r="W21" s="305"/>
      <c r="X21" s="306"/>
      <c r="Y21" s="305"/>
      <c r="Z21" s="306"/>
      <c r="AA21" s="305"/>
      <c r="AB21" s="306"/>
      <c r="AC21" s="305"/>
      <c r="AD21" s="306"/>
      <c r="AE21" s="305"/>
      <c r="AF21" s="306"/>
      <c r="AG21" s="305"/>
      <c r="AH21" s="306"/>
      <c r="AI21" s="305"/>
      <c r="AJ21" s="306"/>
      <c r="AK21" s="305"/>
      <c r="AL21" s="306"/>
      <c r="AM21" s="305"/>
      <c r="AN21" s="306"/>
      <c r="AO21" s="305"/>
      <c r="AP21" s="306"/>
      <c r="AQ21" s="305"/>
      <c r="AR21" s="306"/>
      <c r="AS21" s="305"/>
      <c r="AT21" s="306"/>
      <c r="AU21" s="305"/>
      <c r="AV21" s="306"/>
      <c r="AW21" s="305"/>
      <c r="AX21" s="306"/>
      <c r="AY21" s="305"/>
      <c r="AZ21" s="306"/>
      <c r="BA21" s="305"/>
      <c r="BB21" s="306"/>
      <c r="BC21" s="305"/>
      <c r="BD21" s="306"/>
      <c r="BE21" s="305"/>
      <c r="BF21" s="306"/>
      <c r="BG21" s="305"/>
      <c r="BH21" s="306"/>
      <c r="BI21" s="305"/>
      <c r="BJ21" s="306"/>
      <c r="BK21" s="305"/>
      <c r="BL21" s="306"/>
      <c r="BM21" s="305"/>
      <c r="BN21" s="307"/>
      <c r="BO21" s="289">
        <f ca="1">SUMIF(E$4:$BN19,$E$4,E21:BN21)</f>
        <v>0</v>
      </c>
      <c r="BP21" s="286" t="e">
        <f>+VLOOKUP(A21,'Tổng,SUMMARY'!C:K,8,0)</f>
        <v>#N/A</v>
      </c>
      <c r="BQ21" s="293" t="e">
        <f t="shared" si="31"/>
        <v>#N/A</v>
      </c>
    </row>
    <row r="22" spans="1:69" ht="18" hidden="1" customHeight="1">
      <c r="A22" s="312" t="s">
        <v>36</v>
      </c>
      <c r="B22" s="308" t="s">
        <v>37</v>
      </c>
      <c r="C22" s="303"/>
      <c r="D22" s="304">
        <f>SUMIF($E$4:BN$4,$F$4,E22:BN22)</f>
        <v>0</v>
      </c>
      <c r="E22" s="305"/>
      <c r="F22" s="306"/>
      <c r="G22" s="305"/>
      <c r="H22" s="306"/>
      <c r="I22" s="305"/>
      <c r="J22" s="306"/>
      <c r="K22" s="305"/>
      <c r="L22" s="306"/>
      <c r="M22" s="305"/>
      <c r="N22" s="306"/>
      <c r="O22" s="305"/>
      <c r="P22" s="306"/>
      <c r="Q22" s="305"/>
      <c r="R22" s="306"/>
      <c r="S22" s="305"/>
      <c r="T22" s="306"/>
      <c r="U22" s="305"/>
      <c r="V22" s="306"/>
      <c r="W22" s="305"/>
      <c r="X22" s="306"/>
      <c r="Y22" s="305"/>
      <c r="Z22" s="306"/>
      <c r="AA22" s="305"/>
      <c r="AB22" s="306"/>
      <c r="AC22" s="305"/>
      <c r="AD22" s="306"/>
      <c r="AE22" s="305"/>
      <c r="AF22" s="306"/>
      <c r="AG22" s="305"/>
      <c r="AH22" s="306"/>
      <c r="AI22" s="305"/>
      <c r="AJ22" s="306"/>
      <c r="AK22" s="305"/>
      <c r="AL22" s="306"/>
      <c r="AM22" s="305"/>
      <c r="AN22" s="306"/>
      <c r="AO22" s="305"/>
      <c r="AP22" s="306"/>
      <c r="AQ22" s="305"/>
      <c r="AR22" s="306"/>
      <c r="AS22" s="305"/>
      <c r="AT22" s="306"/>
      <c r="AU22" s="305"/>
      <c r="AV22" s="306"/>
      <c r="AW22" s="305"/>
      <c r="AX22" s="306"/>
      <c r="AY22" s="305"/>
      <c r="AZ22" s="306"/>
      <c r="BA22" s="305"/>
      <c r="BB22" s="306"/>
      <c r="BC22" s="305"/>
      <c r="BD22" s="306"/>
      <c r="BE22" s="305"/>
      <c r="BF22" s="306"/>
      <c r="BG22" s="305"/>
      <c r="BH22" s="306"/>
      <c r="BI22" s="305"/>
      <c r="BJ22" s="306"/>
      <c r="BK22" s="305"/>
      <c r="BL22" s="306"/>
      <c r="BM22" s="305"/>
      <c r="BN22" s="307"/>
      <c r="BO22" s="289">
        <f ca="1">SUMIF(E$4:$BN21,$E$4,E22:BN22)</f>
        <v>0</v>
      </c>
      <c r="BP22" s="286">
        <f>+VLOOKUP(A22,'Tổng,SUMMARY'!C:K,8,0)</f>
        <v>0</v>
      </c>
      <c r="BQ22" s="293">
        <f t="shared" si="31"/>
        <v>0</v>
      </c>
    </row>
    <row r="23" spans="1:69" ht="18" hidden="1" customHeight="1">
      <c r="A23" s="312" t="s">
        <v>38</v>
      </c>
      <c r="B23" s="308" t="s">
        <v>39</v>
      </c>
      <c r="C23" s="303"/>
      <c r="D23" s="304">
        <f>SUMIF($E$4:BN$4,$F$4,E23:BN23)</f>
        <v>0</v>
      </c>
      <c r="E23" s="305"/>
      <c r="F23" s="306"/>
      <c r="G23" s="305"/>
      <c r="H23" s="306"/>
      <c r="I23" s="305"/>
      <c r="J23" s="306"/>
      <c r="K23" s="305"/>
      <c r="L23" s="306"/>
      <c r="M23" s="305"/>
      <c r="N23" s="306"/>
      <c r="O23" s="305"/>
      <c r="P23" s="306"/>
      <c r="Q23" s="305"/>
      <c r="R23" s="306"/>
      <c r="S23" s="305"/>
      <c r="T23" s="306"/>
      <c r="U23" s="305"/>
      <c r="V23" s="306"/>
      <c r="W23" s="305"/>
      <c r="X23" s="306"/>
      <c r="Y23" s="305"/>
      <c r="Z23" s="306"/>
      <c r="AA23" s="305"/>
      <c r="AB23" s="306"/>
      <c r="AC23" s="305"/>
      <c r="AD23" s="306"/>
      <c r="AE23" s="305"/>
      <c r="AF23" s="306"/>
      <c r="AG23" s="305"/>
      <c r="AH23" s="306"/>
      <c r="AI23" s="305"/>
      <c r="AJ23" s="306"/>
      <c r="AK23" s="305"/>
      <c r="AL23" s="306"/>
      <c r="AM23" s="305"/>
      <c r="AN23" s="306"/>
      <c r="AO23" s="305"/>
      <c r="AP23" s="306"/>
      <c r="AQ23" s="305"/>
      <c r="AR23" s="306"/>
      <c r="AS23" s="305"/>
      <c r="AT23" s="306"/>
      <c r="AU23" s="305"/>
      <c r="AV23" s="306"/>
      <c r="AW23" s="305"/>
      <c r="AX23" s="306"/>
      <c r="AY23" s="305"/>
      <c r="AZ23" s="306"/>
      <c r="BA23" s="305"/>
      <c r="BB23" s="306"/>
      <c r="BC23" s="305"/>
      <c r="BD23" s="306"/>
      <c r="BE23" s="305"/>
      <c r="BF23" s="306"/>
      <c r="BG23" s="305"/>
      <c r="BH23" s="306"/>
      <c r="BI23" s="305"/>
      <c r="BJ23" s="306"/>
      <c r="BK23" s="305"/>
      <c r="BL23" s="306"/>
      <c r="BM23" s="305"/>
      <c r="BN23" s="307"/>
      <c r="BO23" s="289">
        <f ca="1">SUMIF(E$4:$BN22,$E$4,E23:BN23)</f>
        <v>0</v>
      </c>
      <c r="BP23" s="286">
        <f>+VLOOKUP(A23,'Tổng,SUMMARY'!C:K,8,0)</f>
        <v>100</v>
      </c>
      <c r="BQ23" s="293">
        <f t="shared" si="31"/>
        <v>-100</v>
      </c>
    </row>
    <row r="24" spans="1:69" ht="18" hidden="1" customHeight="1">
      <c r="A24" s="312" t="s">
        <v>40</v>
      </c>
      <c r="B24" s="308" t="s">
        <v>39</v>
      </c>
      <c r="C24" s="303"/>
      <c r="D24" s="304">
        <f>SUMIF($E$4:BN$4,$F$4,E24:BN24)</f>
        <v>0</v>
      </c>
      <c r="E24" s="305"/>
      <c r="F24" s="306"/>
      <c r="G24" s="305"/>
      <c r="H24" s="306"/>
      <c r="I24" s="305"/>
      <c r="J24" s="306"/>
      <c r="K24" s="305"/>
      <c r="L24" s="306"/>
      <c r="M24" s="305"/>
      <c r="N24" s="306"/>
      <c r="O24" s="305"/>
      <c r="P24" s="306"/>
      <c r="Q24" s="305"/>
      <c r="R24" s="306"/>
      <c r="S24" s="305"/>
      <c r="T24" s="306"/>
      <c r="U24" s="305"/>
      <c r="V24" s="306"/>
      <c r="W24" s="305"/>
      <c r="X24" s="306"/>
      <c r="Y24" s="305"/>
      <c r="Z24" s="306"/>
      <c r="AA24" s="305"/>
      <c r="AB24" s="306"/>
      <c r="AC24" s="305"/>
      <c r="AD24" s="306"/>
      <c r="AE24" s="305"/>
      <c r="AF24" s="306"/>
      <c r="AG24" s="305"/>
      <c r="AH24" s="306"/>
      <c r="AI24" s="305"/>
      <c r="AJ24" s="306"/>
      <c r="AK24" s="305"/>
      <c r="AL24" s="306"/>
      <c r="AM24" s="305"/>
      <c r="AN24" s="306"/>
      <c r="AO24" s="305"/>
      <c r="AP24" s="306"/>
      <c r="AQ24" s="305"/>
      <c r="AR24" s="306"/>
      <c r="AS24" s="305"/>
      <c r="AT24" s="306"/>
      <c r="AU24" s="305"/>
      <c r="AV24" s="306"/>
      <c r="AW24" s="305"/>
      <c r="AX24" s="306"/>
      <c r="AY24" s="305"/>
      <c r="AZ24" s="306"/>
      <c r="BA24" s="305"/>
      <c r="BB24" s="306"/>
      <c r="BC24" s="305"/>
      <c r="BD24" s="306"/>
      <c r="BE24" s="305"/>
      <c r="BF24" s="306"/>
      <c r="BG24" s="305"/>
      <c r="BH24" s="306"/>
      <c r="BI24" s="305"/>
      <c r="BJ24" s="306"/>
      <c r="BK24" s="305"/>
      <c r="BL24" s="306"/>
      <c r="BM24" s="305"/>
      <c r="BN24" s="307"/>
      <c r="BO24" s="289">
        <f ca="1">SUMIF(E$4:$BN23,$E$4,E24:BN24)</f>
        <v>0</v>
      </c>
      <c r="BP24" s="286">
        <f>+VLOOKUP(A24,'Tổng,SUMMARY'!C:K,8,0)</f>
        <v>0</v>
      </c>
      <c r="BQ24" s="293">
        <f t="shared" si="31"/>
        <v>0</v>
      </c>
    </row>
    <row r="25" spans="1:69" ht="18" hidden="1" customHeight="1">
      <c r="A25" s="312" t="s">
        <v>41</v>
      </c>
      <c r="B25" s="319" t="s">
        <v>42</v>
      </c>
      <c r="C25" s="303"/>
      <c r="D25" s="304">
        <f>SUMIF($E$4:BN$4,$F$4,E25:BN25)</f>
        <v>0</v>
      </c>
      <c r="E25" s="305"/>
      <c r="F25" s="306"/>
      <c r="G25" s="305"/>
      <c r="H25" s="306"/>
      <c r="I25" s="305"/>
      <c r="J25" s="306"/>
      <c r="K25" s="305"/>
      <c r="L25" s="306"/>
      <c r="M25" s="305"/>
      <c r="N25" s="306"/>
      <c r="O25" s="305"/>
      <c r="P25" s="306"/>
      <c r="Q25" s="305"/>
      <c r="R25" s="306"/>
      <c r="S25" s="305"/>
      <c r="T25" s="306"/>
      <c r="U25" s="305"/>
      <c r="V25" s="306"/>
      <c r="W25" s="305"/>
      <c r="X25" s="306"/>
      <c r="Y25" s="305"/>
      <c r="Z25" s="306"/>
      <c r="AA25" s="305"/>
      <c r="AB25" s="306"/>
      <c r="AC25" s="305"/>
      <c r="AD25" s="306"/>
      <c r="AE25" s="305"/>
      <c r="AF25" s="306"/>
      <c r="AG25" s="305"/>
      <c r="AH25" s="306"/>
      <c r="AI25" s="305"/>
      <c r="AJ25" s="306"/>
      <c r="AK25" s="305"/>
      <c r="AL25" s="306"/>
      <c r="AM25" s="305"/>
      <c r="AN25" s="306"/>
      <c r="AO25" s="305"/>
      <c r="AP25" s="306"/>
      <c r="AQ25" s="305"/>
      <c r="AR25" s="306"/>
      <c r="AS25" s="305"/>
      <c r="AT25" s="306"/>
      <c r="AU25" s="305"/>
      <c r="AV25" s="306"/>
      <c r="AW25" s="305"/>
      <c r="AX25" s="306"/>
      <c r="AY25" s="305"/>
      <c r="AZ25" s="306"/>
      <c r="BA25" s="305"/>
      <c r="BB25" s="306"/>
      <c r="BC25" s="305"/>
      <c r="BD25" s="306"/>
      <c r="BE25" s="305"/>
      <c r="BF25" s="306"/>
      <c r="BG25" s="305"/>
      <c r="BH25" s="306"/>
      <c r="BI25" s="305"/>
      <c r="BJ25" s="306"/>
      <c r="BK25" s="305"/>
      <c r="BL25" s="306"/>
      <c r="BM25" s="305"/>
      <c r="BN25" s="307"/>
      <c r="BO25" s="289">
        <f ca="1">SUMIF(E$4:$BN24,$E$4,E25:BN25)</f>
        <v>0</v>
      </c>
      <c r="BP25" s="286">
        <f>+VLOOKUP(A25,'Tổng,SUMMARY'!C:K,8,0)</f>
        <v>0</v>
      </c>
      <c r="BQ25" s="293">
        <f t="shared" si="31"/>
        <v>0</v>
      </c>
    </row>
    <row r="26" spans="1:69" ht="18" hidden="1" customHeight="1">
      <c r="A26" s="312" t="s">
        <v>43</v>
      </c>
      <c r="B26" s="319" t="s">
        <v>42</v>
      </c>
      <c r="C26" s="303"/>
      <c r="D26" s="304">
        <f>SUMIF($E$4:BN$4,$F$4,E26:BN26)</f>
        <v>0</v>
      </c>
      <c r="E26" s="305"/>
      <c r="F26" s="306"/>
      <c r="G26" s="305"/>
      <c r="H26" s="306"/>
      <c r="I26" s="305"/>
      <c r="J26" s="306"/>
      <c r="K26" s="305"/>
      <c r="L26" s="306"/>
      <c r="M26" s="305"/>
      <c r="N26" s="306"/>
      <c r="O26" s="305"/>
      <c r="P26" s="306"/>
      <c r="Q26" s="305"/>
      <c r="R26" s="306"/>
      <c r="S26" s="305"/>
      <c r="T26" s="306"/>
      <c r="U26" s="305"/>
      <c r="V26" s="306"/>
      <c r="W26" s="305"/>
      <c r="X26" s="306"/>
      <c r="Y26" s="305"/>
      <c r="Z26" s="306"/>
      <c r="AA26" s="305"/>
      <c r="AB26" s="306"/>
      <c r="AC26" s="305"/>
      <c r="AD26" s="306"/>
      <c r="AE26" s="305"/>
      <c r="AF26" s="306"/>
      <c r="AG26" s="305"/>
      <c r="AH26" s="306"/>
      <c r="AI26" s="305"/>
      <c r="AJ26" s="306"/>
      <c r="AK26" s="305"/>
      <c r="AL26" s="306"/>
      <c r="AM26" s="305"/>
      <c r="AN26" s="306"/>
      <c r="AO26" s="305"/>
      <c r="AP26" s="306"/>
      <c r="AQ26" s="305"/>
      <c r="AR26" s="306"/>
      <c r="AS26" s="305"/>
      <c r="AT26" s="306"/>
      <c r="AU26" s="305"/>
      <c r="AV26" s="306"/>
      <c r="AW26" s="305"/>
      <c r="AX26" s="306"/>
      <c r="AY26" s="305"/>
      <c r="AZ26" s="306"/>
      <c r="BA26" s="305"/>
      <c r="BB26" s="306"/>
      <c r="BC26" s="305"/>
      <c r="BD26" s="306"/>
      <c r="BE26" s="305"/>
      <c r="BF26" s="306"/>
      <c r="BG26" s="305"/>
      <c r="BH26" s="306"/>
      <c r="BI26" s="305"/>
      <c r="BJ26" s="306"/>
      <c r="BK26" s="305"/>
      <c r="BL26" s="306"/>
      <c r="BM26" s="305"/>
      <c r="BN26" s="307"/>
      <c r="BO26" s="289">
        <f ca="1">SUMIF(E$4:$BN25,$E$4,E26:BN26)</f>
        <v>0</v>
      </c>
      <c r="BP26" s="286">
        <f>+VLOOKUP(A26,'Tổng,SUMMARY'!C:K,8,0)</f>
        <v>650</v>
      </c>
      <c r="BQ26" s="293">
        <f t="shared" si="31"/>
        <v>-650</v>
      </c>
    </row>
    <row r="27" spans="1:69" ht="17.25" hidden="1" customHeight="1">
      <c r="A27" s="320" t="s">
        <v>44</v>
      </c>
      <c r="B27" s="314" t="s">
        <v>45</v>
      </c>
      <c r="C27" s="303"/>
      <c r="D27" s="304">
        <f>SUMIF($E$4:BN$4,$F$4,E27:BN27)</f>
        <v>0</v>
      </c>
      <c r="E27" s="305"/>
      <c r="F27" s="306"/>
      <c r="G27" s="305"/>
      <c r="H27" s="306"/>
      <c r="I27" s="305"/>
      <c r="J27" s="306"/>
      <c r="K27" s="305"/>
      <c r="L27" s="306"/>
      <c r="M27" s="305"/>
      <c r="N27" s="306"/>
      <c r="O27" s="305"/>
      <c r="P27" s="306"/>
      <c r="Q27" s="305"/>
      <c r="R27" s="306"/>
      <c r="S27" s="305"/>
      <c r="T27" s="306"/>
      <c r="U27" s="305"/>
      <c r="V27" s="306"/>
      <c r="W27" s="305"/>
      <c r="X27" s="306"/>
      <c r="Y27" s="305"/>
      <c r="Z27" s="306"/>
      <c r="AA27" s="305"/>
      <c r="AB27" s="306"/>
      <c r="AC27" s="305"/>
      <c r="AD27" s="306"/>
      <c r="AE27" s="305"/>
      <c r="AF27" s="306"/>
      <c r="AG27" s="305"/>
      <c r="AH27" s="306"/>
      <c r="AI27" s="305"/>
      <c r="AJ27" s="306"/>
      <c r="AK27" s="305"/>
      <c r="AL27" s="306"/>
      <c r="AM27" s="305"/>
      <c r="AN27" s="306"/>
      <c r="AO27" s="305"/>
      <c r="AP27" s="306"/>
      <c r="AQ27" s="305"/>
      <c r="AR27" s="306"/>
      <c r="AS27" s="305"/>
      <c r="AT27" s="306"/>
      <c r="AU27" s="305"/>
      <c r="AV27" s="306"/>
      <c r="AW27" s="305"/>
      <c r="AX27" s="306"/>
      <c r="AY27" s="305"/>
      <c r="AZ27" s="306"/>
      <c r="BA27" s="305"/>
      <c r="BB27" s="306"/>
      <c r="BC27" s="305"/>
      <c r="BD27" s="306"/>
      <c r="BE27" s="305"/>
      <c r="BF27" s="306"/>
      <c r="BG27" s="305"/>
      <c r="BH27" s="306"/>
      <c r="BI27" s="305"/>
      <c r="BJ27" s="306"/>
      <c r="BK27" s="305"/>
      <c r="BL27" s="306"/>
      <c r="BM27" s="305"/>
      <c r="BN27" s="307"/>
      <c r="BO27" s="289">
        <f ca="1">SUMIF(E$4:$BN26,$E$4,E27:BN27)</f>
        <v>0</v>
      </c>
      <c r="BP27" s="286">
        <f>+VLOOKUP(A27,'Tổng,SUMMARY'!C:K,8,0)</f>
        <v>2500</v>
      </c>
      <c r="BQ27" s="293">
        <f t="shared" si="31"/>
        <v>-2500</v>
      </c>
    </row>
    <row r="28" spans="1:69" ht="18" hidden="1" customHeight="1">
      <c r="A28" s="320" t="s">
        <v>46</v>
      </c>
      <c r="B28" s="314" t="s">
        <v>47</v>
      </c>
      <c r="C28" s="303"/>
      <c r="D28" s="304">
        <f>SUMIF($E$4:BN$4,$F$4,E28:BN28)</f>
        <v>0</v>
      </c>
      <c r="E28" s="305"/>
      <c r="F28" s="306"/>
      <c r="G28" s="305"/>
      <c r="H28" s="306"/>
      <c r="I28" s="305"/>
      <c r="J28" s="306"/>
      <c r="K28" s="305"/>
      <c r="L28" s="317">
        <f>3600+(-3600)</f>
        <v>0</v>
      </c>
      <c r="M28" s="305"/>
      <c r="N28" s="306"/>
      <c r="O28" s="305"/>
      <c r="P28" s="306"/>
      <c r="Q28" s="305"/>
      <c r="R28" s="306"/>
      <c r="S28" s="305"/>
      <c r="T28" s="306"/>
      <c r="U28" s="305"/>
      <c r="V28" s="306"/>
      <c r="W28" s="305"/>
      <c r="X28" s="317"/>
      <c r="Y28" s="305"/>
      <c r="Z28" s="306"/>
      <c r="AA28" s="305"/>
      <c r="AB28" s="306"/>
      <c r="AC28" s="305"/>
      <c r="AD28" s="317"/>
      <c r="AE28" s="305"/>
      <c r="AF28" s="306"/>
      <c r="AG28" s="305"/>
      <c r="AH28" s="306"/>
      <c r="AI28" s="305"/>
      <c r="AJ28" s="306"/>
      <c r="AK28" s="305"/>
      <c r="AL28" s="306"/>
      <c r="AM28" s="305"/>
      <c r="AN28" s="306"/>
      <c r="AO28" s="305"/>
      <c r="AP28" s="306"/>
      <c r="AQ28" s="305"/>
      <c r="AR28" s="306"/>
      <c r="AS28" s="305"/>
      <c r="AT28" s="306"/>
      <c r="AU28" s="305"/>
      <c r="AV28" s="306"/>
      <c r="AW28" s="305"/>
      <c r="AX28" s="306"/>
      <c r="AY28" s="305"/>
      <c r="AZ28" s="306"/>
      <c r="BA28" s="305"/>
      <c r="BB28" s="306"/>
      <c r="BC28" s="305"/>
      <c r="BD28" s="306"/>
      <c r="BE28" s="305"/>
      <c r="BF28" s="306"/>
      <c r="BG28" s="305"/>
      <c r="BH28" s="306"/>
      <c r="BI28" s="305"/>
      <c r="BJ28" s="306"/>
      <c r="BK28" s="305"/>
      <c r="BL28" s="306"/>
      <c r="BM28" s="305"/>
      <c r="BN28" s="307"/>
      <c r="BO28" s="289">
        <f ca="1">SUMIF(E$4:$BN27,$E$4,E28:BN28)</f>
        <v>0</v>
      </c>
      <c r="BP28" s="286">
        <f>+VLOOKUP(A28,'Tổng,SUMMARY'!C:K,8,0)</f>
        <v>750</v>
      </c>
      <c r="BQ28" s="293">
        <f t="shared" si="31"/>
        <v>-750</v>
      </c>
    </row>
    <row r="29" spans="1:69" ht="18" hidden="1" customHeight="1">
      <c r="A29" s="313" t="s">
        <v>48</v>
      </c>
      <c r="B29" s="314" t="s">
        <v>47</v>
      </c>
      <c r="C29" s="303"/>
      <c r="D29" s="304">
        <f>SUMIF($E$4:BN$4,$F$4,E29:BN29)</f>
        <v>0</v>
      </c>
      <c r="E29" s="305"/>
      <c r="F29" s="306"/>
      <c r="G29" s="305"/>
      <c r="H29" s="306"/>
      <c r="I29" s="305"/>
      <c r="J29" s="306"/>
      <c r="K29" s="305"/>
      <c r="L29" s="306"/>
      <c r="M29" s="305"/>
      <c r="N29" s="306"/>
      <c r="O29" s="305"/>
      <c r="P29" s="306"/>
      <c r="Q29" s="305"/>
      <c r="R29" s="306"/>
      <c r="S29" s="305"/>
      <c r="T29" s="306"/>
      <c r="U29" s="305"/>
      <c r="V29" s="306"/>
      <c r="W29" s="305"/>
      <c r="X29" s="306"/>
      <c r="Y29" s="305"/>
      <c r="Z29" s="306"/>
      <c r="AA29" s="305"/>
      <c r="AB29" s="306"/>
      <c r="AC29" s="305"/>
      <c r="AD29" s="306"/>
      <c r="AE29" s="305"/>
      <c r="AF29" s="306"/>
      <c r="AG29" s="305"/>
      <c r="AH29" s="306"/>
      <c r="AI29" s="305"/>
      <c r="AJ29" s="306"/>
      <c r="AK29" s="305"/>
      <c r="AL29" s="306"/>
      <c r="AM29" s="305"/>
      <c r="AN29" s="306"/>
      <c r="AO29" s="305"/>
      <c r="AP29" s="306"/>
      <c r="AQ29" s="305"/>
      <c r="AR29" s="306"/>
      <c r="AS29" s="305"/>
      <c r="AT29" s="306"/>
      <c r="AU29" s="305"/>
      <c r="AV29" s="306"/>
      <c r="AW29" s="305"/>
      <c r="AX29" s="306"/>
      <c r="AY29" s="305"/>
      <c r="AZ29" s="306"/>
      <c r="BA29" s="305"/>
      <c r="BB29" s="306"/>
      <c r="BC29" s="305"/>
      <c r="BD29" s="306"/>
      <c r="BE29" s="305"/>
      <c r="BF29" s="306"/>
      <c r="BG29" s="305"/>
      <c r="BH29" s="306"/>
      <c r="BI29" s="305"/>
      <c r="BJ29" s="306"/>
      <c r="BK29" s="305"/>
      <c r="BL29" s="306"/>
      <c r="BM29" s="305"/>
      <c r="BN29" s="307"/>
      <c r="BO29" s="289">
        <f ca="1">SUMIF(E$4:$BN28,$E$4,E29:BN29)</f>
        <v>0</v>
      </c>
      <c r="BP29" s="286">
        <f>+VLOOKUP(A29,'Tổng,SUMMARY'!C:K,8,0)</f>
        <v>1750</v>
      </c>
      <c r="BQ29" s="293">
        <f t="shared" si="31"/>
        <v>-1750</v>
      </c>
    </row>
    <row r="30" spans="1:69" ht="18" hidden="1" customHeight="1">
      <c r="A30" s="313" t="s">
        <v>49</v>
      </c>
      <c r="B30" s="314" t="s">
        <v>50</v>
      </c>
      <c r="C30" s="303"/>
      <c r="D30" s="304">
        <f>SUMIF($E$4:BN$4,$F$4,E30:BN30)</f>
        <v>0</v>
      </c>
      <c r="E30" s="305"/>
      <c r="F30" s="306"/>
      <c r="G30" s="305"/>
      <c r="H30" s="306"/>
      <c r="I30" s="305"/>
      <c r="J30" s="306"/>
      <c r="K30" s="305"/>
      <c r="L30" s="321"/>
      <c r="M30" s="310"/>
      <c r="N30" s="321"/>
      <c r="O30" s="310"/>
      <c r="P30" s="321"/>
      <c r="Q30" s="310"/>
      <c r="R30" s="321"/>
      <c r="S30" s="310"/>
      <c r="T30" s="317"/>
      <c r="U30" s="310"/>
      <c r="V30" s="321"/>
      <c r="W30" s="310"/>
      <c r="X30" s="317"/>
      <c r="Y30" s="310"/>
      <c r="Z30" s="321"/>
      <c r="AA30" s="310"/>
      <c r="AB30" s="306"/>
      <c r="AC30" s="305"/>
      <c r="AD30" s="306"/>
      <c r="AE30" s="305"/>
      <c r="AF30" s="317"/>
      <c r="AG30" s="305"/>
      <c r="AH30" s="321"/>
      <c r="AI30" s="305"/>
      <c r="AJ30" s="321"/>
      <c r="AK30" s="305"/>
      <c r="AL30" s="321"/>
      <c r="AM30" s="305"/>
      <c r="AN30" s="306"/>
      <c r="AO30" s="305"/>
      <c r="AP30" s="321"/>
      <c r="AQ30" s="305"/>
      <c r="AR30" s="321"/>
      <c r="AS30" s="305"/>
      <c r="AT30" s="321"/>
      <c r="AU30" s="305"/>
      <c r="AV30" s="321"/>
      <c r="AW30" s="305"/>
      <c r="AX30" s="306"/>
      <c r="AY30" s="305"/>
      <c r="AZ30" s="306"/>
      <c r="BA30" s="305"/>
      <c r="BB30" s="317"/>
      <c r="BC30" s="305"/>
      <c r="BD30" s="306"/>
      <c r="BE30" s="305"/>
      <c r="BF30" s="321"/>
      <c r="BG30" s="305"/>
      <c r="BH30" s="317"/>
      <c r="BI30" s="305"/>
      <c r="BJ30" s="321"/>
      <c r="BK30" s="305"/>
      <c r="BL30" s="317"/>
      <c r="BM30" s="305"/>
      <c r="BN30" s="307"/>
      <c r="BO30" s="289">
        <f ca="1">SUMIF(E$4:$BN29,$E$4,E30:BN30)</f>
        <v>0</v>
      </c>
      <c r="BP30" s="286">
        <f>+VLOOKUP(A30,'Tổng,SUMMARY'!C:K,8,0)</f>
        <v>0</v>
      </c>
      <c r="BQ30" s="293">
        <f t="shared" si="31"/>
        <v>0</v>
      </c>
    </row>
    <row r="31" spans="1:69" ht="18" hidden="1" customHeight="1">
      <c r="A31" s="313" t="s">
        <v>51</v>
      </c>
      <c r="B31" s="314" t="s">
        <v>50</v>
      </c>
      <c r="C31" s="315"/>
      <c r="D31" s="304">
        <f>SUMIF($E$4:BN$4,$F$4,E31:BN31)</f>
        <v>0</v>
      </c>
      <c r="E31" s="316"/>
      <c r="F31" s="317"/>
      <c r="G31" s="316"/>
      <c r="H31" s="317"/>
      <c r="I31" s="316"/>
      <c r="J31" s="317"/>
      <c r="K31" s="316"/>
      <c r="L31" s="317"/>
      <c r="M31" s="316"/>
      <c r="N31" s="317"/>
      <c r="O31" s="316"/>
      <c r="P31" s="317"/>
      <c r="Q31" s="316"/>
      <c r="R31" s="317"/>
      <c r="S31" s="316"/>
      <c r="T31" s="317"/>
      <c r="U31" s="316"/>
      <c r="V31" s="317"/>
      <c r="W31" s="316"/>
      <c r="X31" s="317"/>
      <c r="Y31" s="316"/>
      <c r="Z31" s="317"/>
      <c r="AA31" s="316"/>
      <c r="AB31" s="317"/>
      <c r="AC31" s="316"/>
      <c r="AD31" s="317"/>
      <c r="AE31" s="305"/>
      <c r="AF31" s="317"/>
      <c r="AG31" s="316"/>
      <c r="AH31" s="317"/>
      <c r="AI31" s="316"/>
      <c r="AJ31" s="317"/>
      <c r="AK31" s="316"/>
      <c r="AL31" s="317"/>
      <c r="AM31" s="316"/>
      <c r="AN31" s="317"/>
      <c r="AO31" s="316"/>
      <c r="AP31" s="321"/>
      <c r="AQ31" s="316"/>
      <c r="AR31" s="317"/>
      <c r="AS31" s="305"/>
      <c r="AT31" s="306"/>
      <c r="AU31" s="316"/>
      <c r="AV31" s="317"/>
      <c r="AW31" s="316"/>
      <c r="AX31" s="317"/>
      <c r="AY31" s="305"/>
      <c r="AZ31" s="317"/>
      <c r="BA31" s="305"/>
      <c r="BB31" s="317"/>
      <c r="BC31" s="316"/>
      <c r="BD31" s="317"/>
      <c r="BE31" s="305"/>
      <c r="BF31" s="317"/>
      <c r="BG31" s="316"/>
      <c r="BH31" s="317"/>
      <c r="BI31" s="316"/>
      <c r="BJ31" s="321"/>
      <c r="BK31" s="316"/>
      <c r="BL31" s="321"/>
      <c r="BM31" s="316"/>
      <c r="BN31" s="318"/>
      <c r="BO31" s="289">
        <f ca="1">SUMIF(E$4:$BN30,$E$4,E31:BN31)</f>
        <v>0</v>
      </c>
      <c r="BP31" s="286">
        <f>+VLOOKUP(A31,'Tổng,SUMMARY'!C:K,8,0)</f>
        <v>0</v>
      </c>
      <c r="BQ31" s="293">
        <f t="shared" si="31"/>
        <v>0</v>
      </c>
    </row>
    <row r="32" spans="1:69" ht="18" hidden="1" customHeight="1">
      <c r="A32" s="313" t="s">
        <v>52</v>
      </c>
      <c r="B32" s="314" t="s">
        <v>53</v>
      </c>
      <c r="C32" s="315"/>
      <c r="D32" s="304">
        <f>SUMIF($E$4:BN$4,$F$4,E32:BN32)</f>
        <v>0</v>
      </c>
      <c r="E32" s="316"/>
      <c r="F32" s="317"/>
      <c r="G32" s="316"/>
      <c r="H32" s="317"/>
      <c r="I32" s="316"/>
      <c r="J32" s="317"/>
      <c r="K32" s="316"/>
      <c r="L32" s="317"/>
      <c r="M32" s="316"/>
      <c r="N32" s="317"/>
      <c r="O32" s="316"/>
      <c r="P32" s="317"/>
      <c r="Q32" s="316"/>
      <c r="R32" s="317"/>
      <c r="S32" s="316"/>
      <c r="T32" s="317"/>
      <c r="U32" s="316"/>
      <c r="V32" s="317"/>
      <c r="W32" s="316"/>
      <c r="X32" s="317"/>
      <c r="Y32" s="316"/>
      <c r="Z32" s="317"/>
      <c r="AA32" s="316"/>
      <c r="AB32" s="317"/>
      <c r="AC32" s="316"/>
      <c r="AD32" s="317"/>
      <c r="AE32" s="316"/>
      <c r="AF32" s="317"/>
      <c r="AG32" s="316"/>
      <c r="AH32" s="317"/>
      <c r="AI32" s="316"/>
      <c r="AJ32" s="317"/>
      <c r="AK32" s="316"/>
      <c r="AL32" s="317"/>
      <c r="AM32" s="316"/>
      <c r="AN32" s="317"/>
      <c r="AO32" s="316"/>
      <c r="AP32" s="317"/>
      <c r="AQ32" s="316"/>
      <c r="AR32" s="317"/>
      <c r="AS32" s="305"/>
      <c r="AT32" s="317"/>
      <c r="AU32" s="316"/>
      <c r="AV32" s="317"/>
      <c r="AW32" s="316"/>
      <c r="AX32" s="317"/>
      <c r="AY32" s="316"/>
      <c r="AZ32" s="317"/>
      <c r="BA32" s="316"/>
      <c r="BB32" s="317"/>
      <c r="BC32" s="316"/>
      <c r="BD32" s="317"/>
      <c r="BE32" s="316"/>
      <c r="BF32" s="317"/>
      <c r="BG32" s="316"/>
      <c r="BH32" s="317"/>
      <c r="BI32" s="316"/>
      <c r="BJ32" s="317"/>
      <c r="BK32" s="316"/>
      <c r="BL32" s="317"/>
      <c r="BM32" s="316"/>
      <c r="BN32" s="318"/>
      <c r="BO32" s="289">
        <f ca="1">SUMIF(E$4:$BN31,$E$4,E32:BN32)</f>
        <v>0</v>
      </c>
      <c r="BP32" s="286">
        <f>+VLOOKUP(A32,'Tổng,SUMMARY'!C:K,8,0)</f>
        <v>0</v>
      </c>
      <c r="BQ32" s="293">
        <f t="shared" si="31"/>
        <v>0</v>
      </c>
    </row>
    <row r="33" spans="1:69" ht="18" hidden="1" customHeight="1">
      <c r="A33" s="313" t="s">
        <v>54</v>
      </c>
      <c r="B33" s="322" t="s">
        <v>55</v>
      </c>
      <c r="C33" s="315"/>
      <c r="D33" s="304">
        <f>SUMIF($E$4:BN$4,$F$4,E33:BN33)</f>
        <v>0</v>
      </c>
      <c r="E33" s="316"/>
      <c r="F33" s="317"/>
      <c r="G33" s="316"/>
      <c r="H33" s="317"/>
      <c r="I33" s="316"/>
      <c r="J33" s="317"/>
      <c r="K33" s="316"/>
      <c r="L33" s="317"/>
      <c r="M33" s="316"/>
      <c r="N33" s="317"/>
      <c r="O33" s="316"/>
      <c r="P33" s="317"/>
      <c r="Q33" s="316"/>
      <c r="R33" s="317"/>
      <c r="S33" s="316"/>
      <c r="T33" s="317"/>
      <c r="U33" s="316"/>
      <c r="V33" s="317"/>
      <c r="W33" s="316"/>
      <c r="X33" s="317"/>
      <c r="Y33" s="316"/>
      <c r="Z33" s="317"/>
      <c r="AA33" s="316"/>
      <c r="AB33" s="317"/>
      <c r="AC33" s="316"/>
      <c r="AD33" s="317"/>
      <c r="AE33" s="316"/>
      <c r="AF33" s="317"/>
      <c r="AG33" s="316"/>
      <c r="AH33" s="317"/>
      <c r="AI33" s="316"/>
      <c r="AJ33" s="317"/>
      <c r="AK33" s="316"/>
      <c r="AL33" s="317"/>
      <c r="AM33" s="316"/>
      <c r="AN33" s="317"/>
      <c r="AO33" s="316"/>
      <c r="AP33" s="317"/>
      <c r="AQ33" s="316"/>
      <c r="AR33" s="317"/>
      <c r="AS33" s="305"/>
      <c r="AT33" s="317"/>
      <c r="AU33" s="316"/>
      <c r="AV33" s="317"/>
      <c r="AW33" s="316"/>
      <c r="AX33" s="317"/>
      <c r="AY33" s="316"/>
      <c r="AZ33" s="317"/>
      <c r="BA33" s="316"/>
      <c r="BB33" s="317"/>
      <c r="BC33" s="316"/>
      <c r="BD33" s="317"/>
      <c r="BE33" s="316"/>
      <c r="BF33" s="317"/>
      <c r="BG33" s="316"/>
      <c r="BH33" s="317"/>
      <c r="BI33" s="316"/>
      <c r="BJ33" s="317"/>
      <c r="BK33" s="316"/>
      <c r="BL33" s="317"/>
      <c r="BM33" s="316"/>
      <c r="BN33" s="318"/>
      <c r="BO33" s="289">
        <f ca="1">SUMIF(E$4:$BN32,$E$4,E33:BN33)</f>
        <v>0</v>
      </c>
      <c r="BP33" s="286">
        <f>+VLOOKUP(A33,'Tổng,SUMMARY'!C:K,8,0)</f>
        <v>0</v>
      </c>
      <c r="BQ33" s="293">
        <f t="shared" si="31"/>
        <v>0</v>
      </c>
    </row>
    <row r="34" spans="1:69" ht="18" hidden="1" customHeight="1">
      <c r="A34" s="313" t="s">
        <v>56</v>
      </c>
      <c r="B34" s="314" t="s">
        <v>57</v>
      </c>
      <c r="C34" s="315"/>
      <c r="D34" s="304">
        <f>SUMIF($E$4:BN$4,$F$4,E34:BN34)</f>
        <v>0</v>
      </c>
      <c r="E34" s="316"/>
      <c r="F34" s="317"/>
      <c r="G34" s="316"/>
      <c r="H34" s="317"/>
      <c r="I34" s="316"/>
      <c r="J34" s="317"/>
      <c r="K34" s="316"/>
      <c r="L34" s="317"/>
      <c r="M34" s="316"/>
      <c r="N34" s="317"/>
      <c r="O34" s="316"/>
      <c r="P34" s="317"/>
      <c r="Q34" s="316"/>
      <c r="R34" s="317"/>
      <c r="S34" s="316"/>
      <c r="T34" s="317"/>
      <c r="U34" s="316"/>
      <c r="V34" s="317"/>
      <c r="W34" s="316"/>
      <c r="X34" s="317"/>
      <c r="Y34" s="316"/>
      <c r="Z34" s="317"/>
      <c r="AA34" s="316"/>
      <c r="AB34" s="317"/>
      <c r="AC34" s="316"/>
      <c r="AD34" s="317"/>
      <c r="AE34" s="316"/>
      <c r="AF34" s="317"/>
      <c r="AG34" s="316"/>
      <c r="AH34" s="317"/>
      <c r="AI34" s="316"/>
      <c r="AJ34" s="317"/>
      <c r="AK34" s="316"/>
      <c r="AL34" s="317"/>
      <c r="AM34" s="316"/>
      <c r="AN34" s="317"/>
      <c r="AO34" s="316"/>
      <c r="AP34" s="317"/>
      <c r="AQ34" s="316"/>
      <c r="AR34" s="317"/>
      <c r="AS34" s="316"/>
      <c r="AT34" s="317"/>
      <c r="AU34" s="316"/>
      <c r="AV34" s="317"/>
      <c r="AW34" s="316"/>
      <c r="AX34" s="317"/>
      <c r="AY34" s="316"/>
      <c r="AZ34" s="317"/>
      <c r="BA34" s="316"/>
      <c r="BB34" s="317"/>
      <c r="BC34" s="316"/>
      <c r="BD34" s="317"/>
      <c r="BE34" s="316"/>
      <c r="BF34" s="317"/>
      <c r="BG34" s="316"/>
      <c r="BH34" s="317"/>
      <c r="BI34" s="316"/>
      <c r="BJ34" s="317"/>
      <c r="BK34" s="316"/>
      <c r="BL34" s="317"/>
      <c r="BM34" s="316"/>
      <c r="BN34" s="318"/>
      <c r="BO34" s="289">
        <f ca="1">SUMIF(E$4:$BN33,$E$4,E34:BN34)</f>
        <v>0</v>
      </c>
      <c r="BP34" s="286">
        <f>+VLOOKUP(A34,'Tổng,SUMMARY'!C:K,8,0)</f>
        <v>0</v>
      </c>
      <c r="BQ34" s="293">
        <f t="shared" si="31"/>
        <v>0</v>
      </c>
    </row>
    <row r="35" spans="1:69" ht="18" hidden="1" customHeight="1">
      <c r="A35" s="313" t="s">
        <v>58</v>
      </c>
      <c r="B35" s="314" t="s">
        <v>59</v>
      </c>
      <c r="C35" s="315"/>
      <c r="D35" s="304">
        <f>SUMIF($E$4:BN$4,$F$4,E35:BN35)</f>
        <v>0</v>
      </c>
      <c r="E35" s="316"/>
      <c r="F35" s="317"/>
      <c r="G35" s="316"/>
      <c r="H35" s="317"/>
      <c r="I35" s="316"/>
      <c r="J35" s="317"/>
      <c r="K35" s="316"/>
      <c r="L35" s="317"/>
      <c r="M35" s="316"/>
      <c r="N35" s="317"/>
      <c r="O35" s="316"/>
      <c r="P35" s="317"/>
      <c r="Q35" s="316"/>
      <c r="R35" s="317"/>
      <c r="S35" s="316"/>
      <c r="T35" s="317"/>
      <c r="U35" s="316"/>
      <c r="V35" s="317"/>
      <c r="W35" s="316"/>
      <c r="X35" s="317"/>
      <c r="Y35" s="316"/>
      <c r="Z35" s="317"/>
      <c r="AA35" s="316"/>
      <c r="AB35" s="317"/>
      <c r="AC35" s="316"/>
      <c r="AD35" s="317"/>
      <c r="AE35" s="316"/>
      <c r="AF35" s="317"/>
      <c r="AG35" s="316"/>
      <c r="AH35" s="317"/>
      <c r="AI35" s="316"/>
      <c r="AJ35" s="317"/>
      <c r="AK35" s="316"/>
      <c r="AL35" s="317"/>
      <c r="AM35" s="316"/>
      <c r="AN35" s="317"/>
      <c r="AO35" s="316"/>
      <c r="AP35" s="317"/>
      <c r="AQ35" s="316"/>
      <c r="AR35" s="317"/>
      <c r="AS35" s="316"/>
      <c r="AT35" s="317"/>
      <c r="AU35" s="316"/>
      <c r="AV35" s="317"/>
      <c r="AW35" s="316"/>
      <c r="AX35" s="317"/>
      <c r="AY35" s="316"/>
      <c r="AZ35" s="317"/>
      <c r="BA35" s="316"/>
      <c r="BB35" s="317"/>
      <c r="BC35" s="316"/>
      <c r="BD35" s="317"/>
      <c r="BE35" s="316"/>
      <c r="BF35" s="317"/>
      <c r="BG35" s="316"/>
      <c r="BH35" s="317"/>
      <c r="BI35" s="316"/>
      <c r="BJ35" s="317"/>
      <c r="BK35" s="316"/>
      <c r="BL35" s="317"/>
      <c r="BM35" s="316"/>
      <c r="BN35" s="318"/>
      <c r="BO35" s="289">
        <f ca="1">SUMIF(E$4:$BN34,$E$4,E35:BN35)</f>
        <v>0</v>
      </c>
      <c r="BP35" s="286">
        <f>+VLOOKUP(A35,'Tổng,SUMMARY'!C:K,8,0)</f>
        <v>0</v>
      </c>
      <c r="BQ35" s="293">
        <f t="shared" si="31"/>
        <v>0</v>
      </c>
    </row>
    <row r="36" spans="1:69" ht="18" hidden="1" customHeight="1">
      <c r="A36" s="313" t="s">
        <v>60</v>
      </c>
      <c r="B36" s="314" t="s">
        <v>61</v>
      </c>
      <c r="C36" s="315"/>
      <c r="D36" s="304">
        <f>SUMIF($E$4:BN$4,$F$4,E36:BN36)</f>
        <v>0</v>
      </c>
      <c r="E36" s="316"/>
      <c r="F36" s="317"/>
      <c r="G36" s="316"/>
      <c r="H36" s="317"/>
      <c r="I36" s="316"/>
      <c r="J36" s="317"/>
      <c r="K36" s="316"/>
      <c r="L36" s="317"/>
      <c r="M36" s="316"/>
      <c r="N36" s="317"/>
      <c r="O36" s="316"/>
      <c r="P36" s="317"/>
      <c r="Q36" s="316"/>
      <c r="R36" s="317"/>
      <c r="S36" s="316"/>
      <c r="T36" s="317"/>
      <c r="U36" s="316"/>
      <c r="V36" s="317"/>
      <c r="W36" s="316"/>
      <c r="X36" s="317"/>
      <c r="Y36" s="316"/>
      <c r="Z36" s="317"/>
      <c r="AA36" s="316"/>
      <c r="AB36" s="317"/>
      <c r="AC36" s="316"/>
      <c r="AD36" s="317"/>
      <c r="AE36" s="316"/>
      <c r="AF36" s="317"/>
      <c r="AG36" s="316"/>
      <c r="AH36" s="317"/>
      <c r="AI36" s="316"/>
      <c r="AJ36" s="317"/>
      <c r="AK36" s="316"/>
      <c r="AL36" s="317"/>
      <c r="AM36" s="316"/>
      <c r="AN36" s="317"/>
      <c r="AO36" s="316"/>
      <c r="AP36" s="317"/>
      <c r="AQ36" s="316"/>
      <c r="AR36" s="317"/>
      <c r="AS36" s="316"/>
      <c r="AT36" s="317"/>
      <c r="AU36" s="316"/>
      <c r="AV36" s="317"/>
      <c r="AW36" s="316"/>
      <c r="AX36" s="317"/>
      <c r="AY36" s="316"/>
      <c r="AZ36" s="317"/>
      <c r="BA36" s="316"/>
      <c r="BB36" s="317"/>
      <c r="BC36" s="316"/>
      <c r="BD36" s="317"/>
      <c r="BE36" s="316"/>
      <c r="BF36" s="317"/>
      <c r="BG36" s="316"/>
      <c r="BH36" s="317"/>
      <c r="BI36" s="316"/>
      <c r="BJ36" s="317"/>
      <c r="BK36" s="316"/>
      <c r="BL36" s="317"/>
      <c r="BM36" s="316"/>
      <c r="BN36" s="318"/>
      <c r="BO36" s="289">
        <f ca="1">SUMIF(E$4:$BN35,$E$4,E36:BN36)</f>
        <v>0</v>
      </c>
      <c r="BP36" s="286">
        <f>+VLOOKUP(A36,'Tổng,SUMMARY'!C:K,8,0)</f>
        <v>800</v>
      </c>
      <c r="BQ36" s="293">
        <f t="shared" si="31"/>
        <v>-800</v>
      </c>
    </row>
    <row r="37" spans="1:69" ht="18" hidden="1" customHeight="1">
      <c r="A37" s="313" t="s">
        <v>62</v>
      </c>
      <c r="B37" s="314" t="s">
        <v>63</v>
      </c>
      <c r="C37" s="315"/>
      <c r="D37" s="304">
        <f>SUMIF($E$4:BN$4,$F$4,E37:BN37)</f>
        <v>0</v>
      </c>
      <c r="E37" s="316"/>
      <c r="F37" s="317"/>
      <c r="G37" s="316"/>
      <c r="H37" s="317"/>
      <c r="I37" s="316"/>
      <c r="J37" s="317"/>
      <c r="K37" s="316"/>
      <c r="L37" s="317"/>
      <c r="M37" s="316"/>
      <c r="N37" s="317"/>
      <c r="O37" s="316"/>
      <c r="P37" s="317"/>
      <c r="Q37" s="316"/>
      <c r="R37" s="317"/>
      <c r="S37" s="316"/>
      <c r="T37" s="317"/>
      <c r="U37" s="316"/>
      <c r="V37" s="317"/>
      <c r="W37" s="316"/>
      <c r="X37" s="317"/>
      <c r="Y37" s="316"/>
      <c r="Z37" s="317"/>
      <c r="AA37" s="316"/>
      <c r="AB37" s="317"/>
      <c r="AC37" s="316"/>
      <c r="AD37" s="317"/>
      <c r="AE37" s="316"/>
      <c r="AF37" s="317"/>
      <c r="AG37" s="316"/>
      <c r="AH37" s="317"/>
      <c r="AI37" s="316"/>
      <c r="AJ37" s="317"/>
      <c r="AK37" s="316"/>
      <c r="AL37" s="317"/>
      <c r="AM37" s="316"/>
      <c r="AN37" s="317"/>
      <c r="AO37" s="316"/>
      <c r="AP37" s="317"/>
      <c r="AQ37" s="316"/>
      <c r="AR37" s="317"/>
      <c r="AS37" s="316"/>
      <c r="AT37" s="317"/>
      <c r="AU37" s="316"/>
      <c r="AV37" s="317"/>
      <c r="AW37" s="316"/>
      <c r="AX37" s="317"/>
      <c r="AY37" s="316"/>
      <c r="AZ37" s="317"/>
      <c r="BA37" s="316"/>
      <c r="BB37" s="317"/>
      <c r="BC37" s="316"/>
      <c r="BD37" s="317"/>
      <c r="BE37" s="316"/>
      <c r="BF37" s="317"/>
      <c r="BG37" s="316"/>
      <c r="BH37" s="317"/>
      <c r="BI37" s="316"/>
      <c r="BJ37" s="317"/>
      <c r="BK37" s="316"/>
      <c r="BL37" s="317"/>
      <c r="BM37" s="316"/>
      <c r="BN37" s="318"/>
      <c r="BO37" s="289">
        <f ca="1">SUMIF(E$4:$BN36,$E$4,E37:BN37)</f>
        <v>0</v>
      </c>
      <c r="BP37" s="286">
        <f>+VLOOKUP(A37,'Tổng,SUMMARY'!C:K,8,0)</f>
        <v>0</v>
      </c>
      <c r="BQ37" s="293">
        <f t="shared" si="31"/>
        <v>0</v>
      </c>
    </row>
    <row r="38" spans="1:69" ht="18" hidden="1" customHeight="1">
      <c r="A38" s="313" t="s">
        <v>64</v>
      </c>
      <c r="B38" s="314" t="s">
        <v>65</v>
      </c>
      <c r="C38" s="315"/>
      <c r="D38" s="304">
        <f>SUMIF($E$4:BN$4,$F$4,E38:BN38)</f>
        <v>0</v>
      </c>
      <c r="E38" s="316"/>
      <c r="F38" s="317"/>
      <c r="G38" s="316"/>
      <c r="H38" s="317"/>
      <c r="I38" s="316"/>
      <c r="J38" s="317"/>
      <c r="K38" s="316"/>
      <c r="L38" s="317"/>
      <c r="M38" s="316"/>
      <c r="N38" s="317"/>
      <c r="O38" s="316"/>
      <c r="P38" s="317"/>
      <c r="Q38" s="316"/>
      <c r="R38" s="317"/>
      <c r="S38" s="316"/>
      <c r="T38" s="317"/>
      <c r="U38" s="316"/>
      <c r="V38" s="317"/>
      <c r="W38" s="316"/>
      <c r="X38" s="317"/>
      <c r="Y38" s="316"/>
      <c r="Z38" s="317"/>
      <c r="AA38" s="316"/>
      <c r="AB38" s="317"/>
      <c r="AC38" s="316"/>
      <c r="AD38" s="317"/>
      <c r="AE38" s="316"/>
      <c r="AF38" s="317"/>
      <c r="AG38" s="316"/>
      <c r="AH38" s="317"/>
      <c r="AI38" s="316"/>
      <c r="AJ38" s="317"/>
      <c r="AK38" s="316"/>
      <c r="AL38" s="317"/>
      <c r="AM38" s="316"/>
      <c r="AN38" s="317"/>
      <c r="AO38" s="316"/>
      <c r="AP38" s="317"/>
      <c r="AQ38" s="316"/>
      <c r="AR38" s="317"/>
      <c r="AS38" s="316"/>
      <c r="AT38" s="317"/>
      <c r="AU38" s="316"/>
      <c r="AV38" s="317"/>
      <c r="AW38" s="316"/>
      <c r="AX38" s="317"/>
      <c r="AY38" s="316"/>
      <c r="AZ38" s="317"/>
      <c r="BA38" s="316"/>
      <c r="BB38" s="317"/>
      <c r="BC38" s="316"/>
      <c r="BD38" s="317"/>
      <c r="BE38" s="316"/>
      <c r="BF38" s="317"/>
      <c r="BG38" s="316"/>
      <c r="BH38" s="317"/>
      <c r="BI38" s="316"/>
      <c r="BJ38" s="317"/>
      <c r="BK38" s="316"/>
      <c r="BL38" s="317"/>
      <c r="BM38" s="316"/>
      <c r="BN38" s="318"/>
      <c r="BO38" s="289">
        <f ca="1">SUMIF(E$4:$BN37,$E$4,E38:BN38)</f>
        <v>0</v>
      </c>
      <c r="BP38" s="286">
        <f>+VLOOKUP(A38,'Tổng,SUMMARY'!C:K,8,0)</f>
        <v>1400</v>
      </c>
      <c r="BQ38" s="293">
        <f t="shared" si="31"/>
        <v>-1400</v>
      </c>
    </row>
    <row r="39" spans="1:69" ht="18" hidden="1" customHeight="1">
      <c r="A39" s="313" t="s">
        <v>66</v>
      </c>
      <c r="B39" s="314" t="s">
        <v>67</v>
      </c>
      <c r="C39" s="315"/>
      <c r="D39" s="304">
        <f>SUMIF($E$4:BN$4,$F$4,E39:BN39)</f>
        <v>0</v>
      </c>
      <c r="E39" s="316"/>
      <c r="F39" s="317"/>
      <c r="G39" s="316"/>
      <c r="H39" s="317"/>
      <c r="I39" s="316"/>
      <c r="J39" s="317"/>
      <c r="K39" s="316"/>
      <c r="L39" s="317"/>
      <c r="M39" s="316"/>
      <c r="N39" s="317"/>
      <c r="O39" s="316"/>
      <c r="P39" s="317"/>
      <c r="Q39" s="316"/>
      <c r="R39" s="317"/>
      <c r="S39" s="316"/>
      <c r="T39" s="317"/>
      <c r="U39" s="316"/>
      <c r="V39" s="317"/>
      <c r="W39" s="316"/>
      <c r="X39" s="317"/>
      <c r="Y39" s="316"/>
      <c r="Z39" s="317"/>
      <c r="AA39" s="316"/>
      <c r="AB39" s="317"/>
      <c r="AC39" s="316"/>
      <c r="AD39" s="317"/>
      <c r="AE39" s="316"/>
      <c r="AF39" s="317"/>
      <c r="AG39" s="316"/>
      <c r="AH39" s="317"/>
      <c r="AI39" s="316"/>
      <c r="AJ39" s="317"/>
      <c r="AK39" s="316"/>
      <c r="AL39" s="317"/>
      <c r="AM39" s="316"/>
      <c r="AN39" s="317"/>
      <c r="AO39" s="316"/>
      <c r="AP39" s="317"/>
      <c r="AQ39" s="316"/>
      <c r="AR39" s="317"/>
      <c r="AS39" s="316"/>
      <c r="AT39" s="317"/>
      <c r="AU39" s="316"/>
      <c r="AV39" s="317"/>
      <c r="AW39" s="316"/>
      <c r="AX39" s="317"/>
      <c r="AY39" s="316"/>
      <c r="AZ39" s="317"/>
      <c r="BA39" s="316"/>
      <c r="BB39" s="317"/>
      <c r="BC39" s="316"/>
      <c r="BD39" s="317"/>
      <c r="BE39" s="316"/>
      <c r="BF39" s="317"/>
      <c r="BG39" s="316"/>
      <c r="BH39" s="317"/>
      <c r="BI39" s="316"/>
      <c r="BJ39" s="317"/>
      <c r="BK39" s="316"/>
      <c r="BL39" s="317"/>
      <c r="BM39" s="316"/>
      <c r="BN39" s="318"/>
      <c r="BO39" s="289">
        <f ca="1">SUMIF(E$4:$BN38,$E$4,E39:BN39)</f>
        <v>0</v>
      </c>
      <c r="BP39" s="286">
        <f>+VLOOKUP(A39,'Tổng,SUMMARY'!C:K,8,0)</f>
        <v>1100</v>
      </c>
      <c r="BQ39" s="293">
        <f t="shared" si="31"/>
        <v>-1100</v>
      </c>
    </row>
    <row r="40" spans="1:69" ht="18" hidden="1" customHeight="1">
      <c r="A40" s="313" t="s">
        <v>68</v>
      </c>
      <c r="B40" s="314" t="s">
        <v>69</v>
      </c>
      <c r="C40" s="315"/>
      <c r="D40" s="304">
        <f>SUMIF($E$4:BN$4,$F$4,E40:BN40)</f>
        <v>0</v>
      </c>
      <c r="E40" s="316"/>
      <c r="F40" s="317"/>
      <c r="G40" s="316"/>
      <c r="H40" s="317"/>
      <c r="I40" s="316"/>
      <c r="J40" s="317"/>
      <c r="K40" s="316"/>
      <c r="L40" s="317"/>
      <c r="M40" s="316"/>
      <c r="N40" s="317"/>
      <c r="O40" s="316"/>
      <c r="P40" s="317"/>
      <c r="Q40" s="316"/>
      <c r="R40" s="317"/>
      <c r="S40" s="316"/>
      <c r="T40" s="317"/>
      <c r="U40" s="316"/>
      <c r="V40" s="317"/>
      <c r="W40" s="316"/>
      <c r="X40" s="317"/>
      <c r="Y40" s="316"/>
      <c r="Z40" s="317"/>
      <c r="AA40" s="316"/>
      <c r="AB40" s="317"/>
      <c r="AC40" s="316"/>
      <c r="AD40" s="317"/>
      <c r="AE40" s="316"/>
      <c r="AF40" s="317"/>
      <c r="AG40" s="316"/>
      <c r="AH40" s="317"/>
      <c r="AI40" s="316"/>
      <c r="AJ40" s="317"/>
      <c r="AK40" s="316"/>
      <c r="AL40" s="317"/>
      <c r="AM40" s="316"/>
      <c r="AN40" s="317"/>
      <c r="AO40" s="316"/>
      <c r="AP40" s="317"/>
      <c r="AQ40" s="316"/>
      <c r="AR40" s="317"/>
      <c r="AS40" s="316"/>
      <c r="AT40" s="317"/>
      <c r="AU40" s="316"/>
      <c r="AV40" s="317"/>
      <c r="AW40" s="316"/>
      <c r="AX40" s="317"/>
      <c r="AY40" s="316"/>
      <c r="AZ40" s="317"/>
      <c r="BA40" s="316"/>
      <c r="BB40" s="317"/>
      <c r="BC40" s="316"/>
      <c r="BD40" s="317"/>
      <c r="BE40" s="316"/>
      <c r="BF40" s="317"/>
      <c r="BG40" s="316"/>
      <c r="BH40" s="317"/>
      <c r="BI40" s="316"/>
      <c r="BJ40" s="317"/>
      <c r="BK40" s="316"/>
      <c r="BL40" s="317"/>
      <c r="BM40" s="316"/>
      <c r="BN40" s="318"/>
      <c r="BO40" s="289">
        <f ca="1">SUMIF(E$4:$BN39,$E$4,E40:BN40)</f>
        <v>0</v>
      </c>
      <c r="BP40" s="286">
        <f>+VLOOKUP(A40,'Tổng,SUMMARY'!C:K,8,0)</f>
        <v>250</v>
      </c>
      <c r="BQ40" s="293">
        <f t="shared" si="31"/>
        <v>-250</v>
      </c>
    </row>
    <row r="41" spans="1:69" ht="18" hidden="1" customHeight="1">
      <c r="A41" s="313" t="s">
        <v>70</v>
      </c>
      <c r="B41" s="314" t="s">
        <v>69</v>
      </c>
      <c r="C41" s="315"/>
      <c r="D41" s="304">
        <f>SUMIF($E$4:BN$4,$F$4,E41:BN41)</f>
        <v>0</v>
      </c>
      <c r="E41" s="316"/>
      <c r="F41" s="317"/>
      <c r="G41" s="316"/>
      <c r="H41" s="317"/>
      <c r="I41" s="316"/>
      <c r="J41" s="317"/>
      <c r="K41" s="316"/>
      <c r="L41" s="317"/>
      <c r="M41" s="316"/>
      <c r="N41" s="317"/>
      <c r="O41" s="316"/>
      <c r="P41" s="317"/>
      <c r="Q41" s="316"/>
      <c r="R41" s="317"/>
      <c r="S41" s="316"/>
      <c r="T41" s="317"/>
      <c r="U41" s="316"/>
      <c r="V41" s="317"/>
      <c r="W41" s="316"/>
      <c r="X41" s="317"/>
      <c r="Y41" s="316"/>
      <c r="Z41" s="317"/>
      <c r="AA41" s="316"/>
      <c r="AB41" s="317"/>
      <c r="AC41" s="316"/>
      <c r="AD41" s="317"/>
      <c r="AE41" s="316"/>
      <c r="AF41" s="317"/>
      <c r="AG41" s="316"/>
      <c r="AH41" s="317"/>
      <c r="AI41" s="316"/>
      <c r="AJ41" s="317"/>
      <c r="AK41" s="316"/>
      <c r="AL41" s="317"/>
      <c r="AM41" s="316"/>
      <c r="AN41" s="317"/>
      <c r="AO41" s="316"/>
      <c r="AP41" s="317"/>
      <c r="AQ41" s="316"/>
      <c r="AR41" s="317"/>
      <c r="AS41" s="316"/>
      <c r="AT41" s="317"/>
      <c r="AU41" s="316"/>
      <c r="AV41" s="317"/>
      <c r="AW41" s="316"/>
      <c r="AX41" s="317"/>
      <c r="AY41" s="316"/>
      <c r="AZ41" s="317"/>
      <c r="BA41" s="316"/>
      <c r="BB41" s="317"/>
      <c r="BC41" s="316"/>
      <c r="BD41" s="317"/>
      <c r="BE41" s="316"/>
      <c r="BF41" s="317"/>
      <c r="BG41" s="316"/>
      <c r="BH41" s="317"/>
      <c r="BI41" s="316"/>
      <c r="BJ41" s="317"/>
      <c r="BK41" s="316"/>
      <c r="BL41" s="317"/>
      <c r="BM41" s="316"/>
      <c r="BN41" s="318"/>
      <c r="BQ41" s="293"/>
    </row>
    <row r="42" spans="1:69" s="283" customFormat="1" ht="17.25" hidden="1" customHeight="1">
      <c r="A42" s="323" t="s">
        <v>71</v>
      </c>
      <c r="B42" s="314" t="s">
        <v>72</v>
      </c>
      <c r="C42" s="324"/>
      <c r="D42" s="304">
        <f>SUMIF($E$4:BN$4,$F$4,E42:BN42)</f>
        <v>0</v>
      </c>
      <c r="E42" s="325"/>
      <c r="F42" s="326"/>
      <c r="G42" s="325"/>
      <c r="H42" s="326"/>
      <c r="I42" s="325"/>
      <c r="J42" s="326"/>
      <c r="K42" s="325"/>
      <c r="L42" s="326"/>
      <c r="M42" s="325"/>
      <c r="N42" s="326"/>
      <c r="O42" s="325"/>
      <c r="P42" s="326"/>
      <c r="Q42" s="325"/>
      <c r="R42" s="326"/>
      <c r="S42" s="325"/>
      <c r="T42" s="326"/>
      <c r="U42" s="325"/>
      <c r="V42" s="326"/>
      <c r="W42" s="325"/>
      <c r="X42" s="326"/>
      <c r="Y42" s="325"/>
      <c r="Z42" s="326"/>
      <c r="AA42" s="325"/>
      <c r="AB42" s="326"/>
      <c r="AC42" s="325"/>
      <c r="AD42" s="326"/>
      <c r="AE42" s="325"/>
      <c r="AF42" s="326"/>
      <c r="AG42" s="325"/>
      <c r="AH42" s="326"/>
      <c r="AI42" s="325"/>
      <c r="AJ42" s="326"/>
      <c r="AK42" s="325"/>
      <c r="AL42" s="326"/>
      <c r="AM42" s="325"/>
      <c r="AN42" s="326"/>
      <c r="AO42" s="325"/>
      <c r="AP42" s="326"/>
      <c r="AQ42" s="325"/>
      <c r="AR42" s="326"/>
      <c r="AS42" s="325"/>
      <c r="AT42" s="326"/>
      <c r="AU42" s="325"/>
      <c r="AV42" s="326"/>
      <c r="AW42" s="325"/>
      <c r="AX42" s="326"/>
      <c r="AY42" s="325"/>
      <c r="AZ42" s="326"/>
      <c r="BA42" s="325"/>
      <c r="BB42" s="326"/>
      <c r="BC42" s="325"/>
      <c r="BD42" s="326"/>
      <c r="BE42" s="325"/>
      <c r="BF42" s="326"/>
      <c r="BG42" s="325"/>
      <c r="BH42" s="326"/>
      <c r="BI42" s="325"/>
      <c r="BJ42" s="326"/>
      <c r="BK42" s="325"/>
      <c r="BL42" s="326"/>
      <c r="BM42" s="325"/>
      <c r="BN42" s="327"/>
      <c r="BO42" s="289">
        <f ca="1">SUMIF(E$4:$BN40,$E$4,E42:BN42)</f>
        <v>0</v>
      </c>
      <c r="BP42" s="286">
        <f>+VLOOKUP(A42,'Tổng,SUMMARY'!C:K,8,0)</f>
        <v>500</v>
      </c>
      <c r="BQ42" s="293">
        <f t="shared" si="31"/>
        <v>-500</v>
      </c>
    </row>
    <row r="43" spans="1:69" s="283" customFormat="1" ht="18" hidden="1" customHeight="1">
      <c r="A43" s="323" t="s">
        <v>73</v>
      </c>
      <c r="B43" s="314" t="s">
        <v>74</v>
      </c>
      <c r="C43" s="324"/>
      <c r="D43" s="304">
        <f>SUMIF($E$4:BN$4,$F$4,E43:BN43)</f>
        <v>0</v>
      </c>
      <c r="E43" s="325"/>
      <c r="F43" s="326"/>
      <c r="G43" s="325"/>
      <c r="H43" s="326"/>
      <c r="I43" s="325"/>
      <c r="J43" s="326"/>
      <c r="K43" s="325"/>
      <c r="L43" s="326"/>
      <c r="M43" s="325"/>
      <c r="N43" s="326"/>
      <c r="O43" s="325"/>
      <c r="P43" s="326"/>
      <c r="Q43" s="325"/>
      <c r="R43" s="326"/>
      <c r="S43" s="325"/>
      <c r="T43" s="326"/>
      <c r="U43" s="325"/>
      <c r="V43" s="326"/>
      <c r="W43" s="325"/>
      <c r="X43" s="326"/>
      <c r="Y43" s="325"/>
      <c r="Z43" s="326"/>
      <c r="AA43" s="325"/>
      <c r="AB43" s="326"/>
      <c r="AC43" s="325"/>
      <c r="AD43" s="326"/>
      <c r="AE43" s="325"/>
      <c r="AF43" s="326"/>
      <c r="AG43" s="325"/>
      <c r="AH43" s="326"/>
      <c r="AI43" s="325"/>
      <c r="AJ43" s="326"/>
      <c r="AK43" s="325"/>
      <c r="AL43" s="326"/>
      <c r="AM43" s="325"/>
      <c r="AN43" s="326"/>
      <c r="AO43" s="325"/>
      <c r="AP43" s="326"/>
      <c r="AQ43" s="325"/>
      <c r="AR43" s="326"/>
      <c r="AS43" s="325"/>
      <c r="AT43" s="326"/>
      <c r="AU43" s="325"/>
      <c r="AV43" s="326"/>
      <c r="AW43" s="325"/>
      <c r="AX43" s="326"/>
      <c r="AY43" s="325"/>
      <c r="AZ43" s="326"/>
      <c r="BA43" s="325"/>
      <c r="BB43" s="326"/>
      <c r="BC43" s="325"/>
      <c r="BD43" s="326"/>
      <c r="BE43" s="325"/>
      <c r="BF43" s="326"/>
      <c r="BG43" s="325"/>
      <c r="BH43" s="326"/>
      <c r="BI43" s="325"/>
      <c r="BJ43" s="326"/>
      <c r="BK43" s="325"/>
      <c r="BL43" s="326"/>
      <c r="BM43" s="325"/>
      <c r="BN43" s="327"/>
      <c r="BO43" s="289">
        <f ca="1">SUMIF(E$4:$BN42,$E$4,E43:BN43)</f>
        <v>0</v>
      </c>
      <c r="BP43" s="286">
        <f>+VLOOKUP(A43,'Tổng,SUMMARY'!C:K,8,0)</f>
        <v>11400</v>
      </c>
      <c r="BQ43" s="293">
        <f t="shared" si="31"/>
        <v>-11400</v>
      </c>
    </row>
    <row r="44" spans="1:69" s="283" customFormat="1" ht="18" hidden="1" customHeight="1">
      <c r="A44" s="323" t="s">
        <v>75</v>
      </c>
      <c r="B44" s="314" t="s">
        <v>76</v>
      </c>
      <c r="C44" s="324"/>
      <c r="D44" s="304">
        <f>SUMIF($E$4:BN$4,$F$4,E44:BN44)</f>
        <v>0</v>
      </c>
      <c r="E44" s="325"/>
      <c r="F44" s="326"/>
      <c r="G44" s="325"/>
      <c r="H44" s="326"/>
      <c r="I44" s="325"/>
      <c r="J44" s="326"/>
      <c r="K44" s="325"/>
      <c r="L44" s="317"/>
      <c r="M44" s="325"/>
      <c r="N44" s="317"/>
      <c r="O44" s="325"/>
      <c r="P44" s="326"/>
      <c r="Q44" s="325"/>
      <c r="R44" s="317"/>
      <c r="S44" s="325"/>
      <c r="T44" s="326"/>
      <c r="U44" s="325"/>
      <c r="V44" s="326"/>
      <c r="W44" s="325"/>
      <c r="X44" s="317"/>
      <c r="Y44" s="325"/>
      <c r="Z44" s="326"/>
      <c r="AA44" s="325"/>
      <c r="AB44" s="326"/>
      <c r="AC44" s="325"/>
      <c r="AD44" s="317"/>
      <c r="AE44" s="325"/>
      <c r="AF44" s="317"/>
      <c r="AG44" s="325"/>
      <c r="AH44" s="326"/>
      <c r="AI44" s="325"/>
      <c r="AJ44" s="317"/>
      <c r="AK44" s="325"/>
      <c r="AL44" s="326"/>
      <c r="AM44" s="325"/>
      <c r="AN44" s="317"/>
      <c r="AO44" s="325"/>
      <c r="AP44" s="317"/>
      <c r="AQ44" s="325"/>
      <c r="AR44" s="317"/>
      <c r="AS44" s="325"/>
      <c r="AT44" s="326"/>
      <c r="AU44" s="325"/>
      <c r="AV44" s="326"/>
      <c r="AW44" s="325"/>
      <c r="AX44" s="326"/>
      <c r="AY44" s="325"/>
      <c r="AZ44" s="326"/>
      <c r="BA44" s="325"/>
      <c r="BB44" s="326"/>
      <c r="BC44" s="325"/>
      <c r="BD44" s="317"/>
      <c r="BE44" s="325"/>
      <c r="BF44" s="317"/>
      <c r="BG44" s="325"/>
      <c r="BH44" s="326"/>
      <c r="BI44" s="325"/>
      <c r="BJ44" s="317"/>
      <c r="BK44" s="325"/>
      <c r="BL44" s="326"/>
      <c r="BM44" s="325"/>
      <c r="BN44" s="327"/>
      <c r="BO44" s="289">
        <f ca="1">SUMIF(E$4:$BN43,$E$4,E44:BN44)</f>
        <v>0</v>
      </c>
      <c r="BP44" s="286">
        <f>+VLOOKUP(A44,'Tổng,SUMMARY'!C:K,8,0)</f>
        <v>4350</v>
      </c>
      <c r="BQ44" s="293">
        <f t="shared" si="31"/>
        <v>-4350</v>
      </c>
    </row>
    <row r="45" spans="1:69" s="283" customFormat="1" ht="18" hidden="1" customHeight="1">
      <c r="A45" s="323" t="s">
        <v>77</v>
      </c>
      <c r="B45" s="314" t="s">
        <v>78</v>
      </c>
      <c r="C45" s="324"/>
      <c r="D45" s="304">
        <f>SUMIF($E$4:BN$4,$F$4,E45:BN45)</f>
        <v>0</v>
      </c>
      <c r="E45" s="325"/>
      <c r="F45" s="326"/>
      <c r="G45" s="325"/>
      <c r="H45" s="326"/>
      <c r="I45" s="325"/>
      <c r="J45" s="326"/>
      <c r="K45" s="325"/>
      <c r="L45" s="326"/>
      <c r="M45" s="325"/>
      <c r="N45" s="326"/>
      <c r="O45" s="325"/>
      <c r="P45" s="326"/>
      <c r="Q45" s="325"/>
      <c r="R45" s="326"/>
      <c r="S45" s="325"/>
      <c r="T45" s="326"/>
      <c r="U45" s="325"/>
      <c r="V45" s="326"/>
      <c r="W45" s="325"/>
      <c r="X45" s="326"/>
      <c r="Y45" s="325"/>
      <c r="Z45" s="326"/>
      <c r="AA45" s="325"/>
      <c r="AB45" s="326"/>
      <c r="AC45" s="325"/>
      <c r="AD45" s="326"/>
      <c r="AE45" s="325"/>
      <c r="AF45" s="326"/>
      <c r="AG45" s="325"/>
      <c r="AH45" s="326"/>
      <c r="AI45" s="325"/>
      <c r="AJ45" s="326"/>
      <c r="AK45" s="325"/>
      <c r="AL45" s="326"/>
      <c r="AM45" s="325"/>
      <c r="AN45" s="326"/>
      <c r="AO45" s="325"/>
      <c r="AP45" s="326"/>
      <c r="AQ45" s="325"/>
      <c r="AR45" s="326"/>
      <c r="AS45" s="325"/>
      <c r="AT45" s="326"/>
      <c r="AU45" s="316"/>
      <c r="AV45" s="326"/>
      <c r="AW45" s="325"/>
      <c r="AX45" s="326"/>
      <c r="AY45" s="325"/>
      <c r="AZ45" s="326"/>
      <c r="BA45" s="325"/>
      <c r="BB45" s="326"/>
      <c r="BC45" s="325"/>
      <c r="BD45" s="326"/>
      <c r="BE45" s="325"/>
      <c r="BF45" s="326"/>
      <c r="BG45" s="325"/>
      <c r="BH45" s="326"/>
      <c r="BI45" s="325"/>
      <c r="BJ45" s="326"/>
      <c r="BK45" s="325"/>
      <c r="BL45" s="326"/>
      <c r="BM45" s="325"/>
      <c r="BN45" s="327"/>
      <c r="BO45" s="289">
        <f ca="1">SUMIF(E$4:$BN44,$E$4,E45:BN45)</f>
        <v>0</v>
      </c>
      <c r="BP45" s="286">
        <f>+VLOOKUP(A45,'Tổng,SUMMARY'!C:K,8,0)</f>
        <v>1100</v>
      </c>
      <c r="BQ45" s="293">
        <f t="shared" si="31"/>
        <v>-1100</v>
      </c>
    </row>
    <row r="46" spans="1:69" ht="18" hidden="1" customHeight="1">
      <c r="A46" s="313" t="s">
        <v>79</v>
      </c>
      <c r="B46" s="314" t="s">
        <v>78</v>
      </c>
      <c r="C46" s="315"/>
      <c r="D46" s="304">
        <f>SUMIF($E$4:BN$4,$F$4,E46:BN46)</f>
        <v>0</v>
      </c>
      <c r="E46" s="316"/>
      <c r="F46" s="317"/>
      <c r="G46" s="316"/>
      <c r="H46" s="317"/>
      <c r="I46" s="316"/>
      <c r="J46" s="317"/>
      <c r="K46" s="316"/>
      <c r="L46" s="317"/>
      <c r="M46" s="316"/>
      <c r="N46" s="317"/>
      <c r="O46" s="316"/>
      <c r="P46" s="317"/>
      <c r="Q46" s="316"/>
      <c r="R46" s="317"/>
      <c r="S46" s="316"/>
      <c r="T46" s="317"/>
      <c r="U46" s="316"/>
      <c r="V46" s="317"/>
      <c r="W46" s="316"/>
      <c r="X46" s="317"/>
      <c r="Y46" s="316"/>
      <c r="Z46" s="317"/>
      <c r="AA46" s="316"/>
      <c r="AB46" s="317"/>
      <c r="AC46" s="316"/>
      <c r="AD46" s="317"/>
      <c r="AE46" s="316"/>
      <c r="AF46" s="317"/>
      <c r="AG46" s="316"/>
      <c r="AH46" s="317"/>
      <c r="AI46" s="316"/>
      <c r="AJ46" s="317"/>
      <c r="AK46" s="316"/>
      <c r="AL46" s="317"/>
      <c r="AM46" s="316"/>
      <c r="AN46" s="317"/>
      <c r="AO46" s="316"/>
      <c r="AP46" s="317"/>
      <c r="AQ46" s="316"/>
      <c r="AR46" s="317"/>
      <c r="AS46" s="316"/>
      <c r="AT46" s="317"/>
      <c r="AU46" s="316"/>
      <c r="AV46" s="317"/>
      <c r="AW46" s="316"/>
      <c r="AX46" s="317"/>
      <c r="AY46" s="316"/>
      <c r="AZ46" s="317"/>
      <c r="BA46" s="316"/>
      <c r="BB46" s="317"/>
      <c r="BC46" s="316"/>
      <c r="BD46" s="317"/>
      <c r="BE46" s="316"/>
      <c r="BF46" s="317"/>
      <c r="BG46" s="316"/>
      <c r="BH46" s="317"/>
      <c r="BI46" s="316"/>
      <c r="BJ46" s="326"/>
      <c r="BK46" s="316"/>
      <c r="BL46" s="317"/>
      <c r="BM46" s="316"/>
      <c r="BN46" s="318"/>
      <c r="BO46" s="289">
        <f ca="1">SUMIF(E$4:$BN45,$E$4,E46:BN46)</f>
        <v>0</v>
      </c>
      <c r="BP46" s="286">
        <f>+VLOOKUP(A46,'Tổng,SUMMARY'!C:K,8,0)</f>
        <v>0</v>
      </c>
      <c r="BQ46" s="293">
        <f t="shared" si="31"/>
        <v>0</v>
      </c>
    </row>
    <row r="47" spans="1:69" ht="18" hidden="1" customHeight="1">
      <c r="A47" s="313" t="s">
        <v>80</v>
      </c>
      <c r="B47" s="314" t="s">
        <v>81</v>
      </c>
      <c r="C47" s="315"/>
      <c r="D47" s="304">
        <f>SUMIF($E$4:BN$4,$F$4,E47:BN47)</f>
        <v>0</v>
      </c>
      <c r="E47" s="316"/>
      <c r="F47" s="317"/>
      <c r="G47" s="316"/>
      <c r="H47" s="317"/>
      <c r="I47" s="316"/>
      <c r="J47" s="317"/>
      <c r="K47" s="316"/>
      <c r="L47" s="317"/>
      <c r="M47" s="316"/>
      <c r="N47" s="317"/>
      <c r="O47" s="316"/>
      <c r="P47" s="317"/>
      <c r="Q47" s="316"/>
      <c r="R47" s="317"/>
      <c r="S47" s="316"/>
      <c r="T47" s="317"/>
      <c r="U47" s="316"/>
      <c r="V47" s="317"/>
      <c r="W47" s="316"/>
      <c r="X47" s="317"/>
      <c r="Y47" s="316"/>
      <c r="Z47" s="317"/>
      <c r="AA47" s="316"/>
      <c r="AB47" s="317"/>
      <c r="AC47" s="316"/>
      <c r="AD47" s="317"/>
      <c r="AE47" s="316"/>
      <c r="AF47" s="317"/>
      <c r="AG47" s="316"/>
      <c r="AH47" s="317"/>
      <c r="AI47" s="316"/>
      <c r="AJ47" s="317"/>
      <c r="AK47" s="316"/>
      <c r="AL47" s="317"/>
      <c r="AM47" s="316"/>
      <c r="AN47" s="317"/>
      <c r="AO47" s="316"/>
      <c r="AP47" s="317"/>
      <c r="AQ47" s="316"/>
      <c r="AR47" s="317"/>
      <c r="AS47" s="316"/>
      <c r="AT47" s="317"/>
      <c r="AU47" s="316"/>
      <c r="AV47" s="317"/>
      <c r="AW47" s="316"/>
      <c r="AX47" s="317"/>
      <c r="AY47" s="316"/>
      <c r="AZ47" s="317"/>
      <c r="BA47" s="316"/>
      <c r="BB47" s="317"/>
      <c r="BC47" s="316"/>
      <c r="BD47" s="317"/>
      <c r="BE47" s="316"/>
      <c r="BF47" s="317"/>
      <c r="BG47" s="316"/>
      <c r="BH47" s="317"/>
      <c r="BI47" s="316"/>
      <c r="BJ47" s="317"/>
      <c r="BK47" s="316"/>
      <c r="BL47" s="317"/>
      <c r="BM47" s="316"/>
      <c r="BN47" s="318"/>
      <c r="BO47" s="289">
        <f ca="1">SUMIF(E$4:$BN46,$E$4,E47:BN47)</f>
        <v>0</v>
      </c>
      <c r="BP47" s="286">
        <f>+VLOOKUP(A47,'Tổng,SUMMARY'!C:K,8,0)</f>
        <v>19900</v>
      </c>
      <c r="BQ47" s="293">
        <f t="shared" si="31"/>
        <v>-19900</v>
      </c>
    </row>
    <row r="48" spans="1:69" ht="18" hidden="1" customHeight="1">
      <c r="A48" s="313" t="s">
        <v>82</v>
      </c>
      <c r="B48" s="314" t="s">
        <v>81</v>
      </c>
      <c r="C48" s="315"/>
      <c r="D48" s="304">
        <f>SUMIF($E$4:BN$4,$F$4,E48:BN48)</f>
        <v>0</v>
      </c>
      <c r="E48" s="316"/>
      <c r="F48" s="317"/>
      <c r="G48" s="316"/>
      <c r="H48" s="317"/>
      <c r="I48" s="316"/>
      <c r="J48" s="317"/>
      <c r="K48" s="316"/>
      <c r="L48" s="317"/>
      <c r="M48" s="316"/>
      <c r="N48" s="317"/>
      <c r="O48" s="316"/>
      <c r="P48" s="317"/>
      <c r="Q48" s="316"/>
      <c r="R48" s="317"/>
      <c r="S48" s="316"/>
      <c r="T48" s="317"/>
      <c r="U48" s="316"/>
      <c r="V48" s="317"/>
      <c r="W48" s="316"/>
      <c r="X48" s="317"/>
      <c r="Y48" s="316"/>
      <c r="Z48" s="317"/>
      <c r="AA48" s="316"/>
      <c r="AB48" s="317"/>
      <c r="AC48" s="316"/>
      <c r="AD48" s="317"/>
      <c r="AE48" s="316"/>
      <c r="AF48" s="317"/>
      <c r="AG48" s="316"/>
      <c r="AH48" s="317"/>
      <c r="AI48" s="316"/>
      <c r="AJ48" s="317"/>
      <c r="AK48" s="316"/>
      <c r="AL48" s="317"/>
      <c r="AM48" s="316"/>
      <c r="AN48" s="317"/>
      <c r="AO48" s="316"/>
      <c r="AP48" s="317"/>
      <c r="AQ48" s="316"/>
      <c r="AR48" s="317"/>
      <c r="AS48" s="316"/>
      <c r="AT48" s="317"/>
      <c r="AU48" s="316"/>
      <c r="AV48" s="317"/>
      <c r="AW48" s="316"/>
      <c r="AX48" s="317"/>
      <c r="AY48" s="316"/>
      <c r="AZ48" s="317"/>
      <c r="BA48" s="316"/>
      <c r="BB48" s="317"/>
      <c r="BC48" s="316"/>
      <c r="BD48" s="317"/>
      <c r="BE48" s="316"/>
      <c r="BF48" s="317"/>
      <c r="BG48" s="316"/>
      <c r="BH48" s="317"/>
      <c r="BI48" s="316"/>
      <c r="BJ48" s="317"/>
      <c r="BK48" s="316"/>
      <c r="BL48" s="317"/>
      <c r="BM48" s="316"/>
      <c r="BN48" s="318"/>
      <c r="BO48" s="289">
        <f ca="1">SUMIF(E$4:$BN47,$E$4,E48:BN48)</f>
        <v>0</v>
      </c>
      <c r="BP48" s="286">
        <f>+VLOOKUP(A48,'Tổng,SUMMARY'!C:K,8,0)</f>
        <v>0</v>
      </c>
      <c r="BQ48" s="293">
        <f t="shared" si="31"/>
        <v>0</v>
      </c>
    </row>
    <row r="49" spans="1:69" ht="18.75" hidden="1" customHeight="1">
      <c r="A49" s="313" t="s">
        <v>83</v>
      </c>
      <c r="B49" s="314" t="s">
        <v>84</v>
      </c>
      <c r="C49" s="315"/>
      <c r="D49" s="304">
        <f>SUMIF($E$4:BN$4,$F$4,E49:BN49)</f>
        <v>0</v>
      </c>
      <c r="E49" s="316"/>
      <c r="F49" s="317"/>
      <c r="G49" s="316"/>
      <c r="H49" s="317"/>
      <c r="I49" s="316"/>
      <c r="J49" s="317"/>
      <c r="K49" s="316"/>
      <c r="L49" s="317"/>
      <c r="M49" s="316"/>
      <c r="N49" s="317"/>
      <c r="O49" s="316"/>
      <c r="P49" s="317"/>
      <c r="Q49" s="316"/>
      <c r="R49" s="317"/>
      <c r="S49" s="316"/>
      <c r="T49" s="317"/>
      <c r="U49" s="316"/>
      <c r="V49" s="317"/>
      <c r="W49" s="316"/>
      <c r="X49" s="317"/>
      <c r="Y49" s="316"/>
      <c r="Z49" s="317"/>
      <c r="AA49" s="316"/>
      <c r="AB49" s="317"/>
      <c r="AC49" s="316"/>
      <c r="AD49" s="317"/>
      <c r="AE49" s="316"/>
      <c r="AF49" s="317"/>
      <c r="AG49" s="328"/>
      <c r="AH49" s="317"/>
      <c r="AI49" s="316"/>
      <c r="AJ49" s="317"/>
      <c r="AK49" s="316"/>
      <c r="AL49" s="317"/>
      <c r="AM49" s="316"/>
      <c r="AN49" s="317"/>
      <c r="AO49" s="316"/>
      <c r="AP49" s="317"/>
      <c r="AQ49" s="316"/>
      <c r="AR49" s="317"/>
      <c r="AS49" s="316"/>
      <c r="AT49" s="317"/>
      <c r="AU49" s="316"/>
      <c r="AV49" s="317"/>
      <c r="AW49" s="316"/>
      <c r="AX49" s="317"/>
      <c r="AY49" s="316"/>
      <c r="AZ49" s="317"/>
      <c r="BA49" s="316"/>
      <c r="BB49" s="317"/>
      <c r="BC49" s="316"/>
      <c r="BD49" s="317"/>
      <c r="BE49" s="316"/>
      <c r="BF49" s="317"/>
      <c r="BG49" s="316"/>
      <c r="BH49" s="317"/>
      <c r="BI49" s="316"/>
      <c r="BJ49" s="317"/>
      <c r="BK49" s="316"/>
      <c r="BL49" s="317"/>
      <c r="BM49" s="316"/>
      <c r="BN49" s="318"/>
      <c r="BO49" s="289">
        <f ca="1">SUMIF(E$4:$BN48,$E$4,E49:BN49)</f>
        <v>0</v>
      </c>
      <c r="BP49" s="286">
        <f>+VLOOKUP(A49,'Tổng,SUMMARY'!C:K,8,0)</f>
        <v>0</v>
      </c>
      <c r="BQ49" s="293">
        <f t="shared" si="31"/>
        <v>0</v>
      </c>
    </row>
    <row r="50" spans="1:69" ht="18" hidden="1" customHeight="1">
      <c r="A50" s="313" t="s">
        <v>85</v>
      </c>
      <c r="B50" s="314" t="s">
        <v>86</v>
      </c>
      <c r="C50" s="315"/>
      <c r="D50" s="304">
        <f>SUMIF($E$4:BN$4,$F$4,E50:BN50)</f>
        <v>0</v>
      </c>
      <c r="E50" s="316"/>
      <c r="F50" s="317"/>
      <c r="G50" s="316"/>
      <c r="H50" s="317"/>
      <c r="I50" s="316"/>
      <c r="J50" s="317"/>
      <c r="K50" s="316"/>
      <c r="L50" s="317"/>
      <c r="M50" s="316"/>
      <c r="N50" s="317"/>
      <c r="O50" s="316"/>
      <c r="P50" s="317"/>
      <c r="Q50" s="316"/>
      <c r="R50" s="317"/>
      <c r="S50" s="316"/>
      <c r="T50" s="317"/>
      <c r="U50" s="316"/>
      <c r="V50" s="317"/>
      <c r="W50" s="316"/>
      <c r="X50" s="317"/>
      <c r="Y50" s="316"/>
      <c r="Z50" s="317"/>
      <c r="AA50" s="316"/>
      <c r="AB50" s="317"/>
      <c r="AC50" s="316"/>
      <c r="AD50" s="317"/>
      <c r="AE50" s="316"/>
      <c r="AF50" s="317"/>
      <c r="AG50" s="316"/>
      <c r="AH50" s="317"/>
      <c r="AI50" s="316"/>
      <c r="AJ50" s="317"/>
      <c r="AK50" s="316"/>
      <c r="AL50" s="317"/>
      <c r="AM50" s="316"/>
      <c r="AN50" s="317"/>
      <c r="AO50" s="316"/>
      <c r="AP50" s="317"/>
      <c r="AQ50" s="316"/>
      <c r="AR50" s="317"/>
      <c r="AS50" s="316"/>
      <c r="AT50" s="317"/>
      <c r="AU50" s="316"/>
      <c r="AV50" s="317"/>
      <c r="AW50" s="316"/>
      <c r="AX50" s="317"/>
      <c r="AY50" s="316"/>
      <c r="AZ50" s="317"/>
      <c r="BA50" s="316"/>
      <c r="BB50" s="317"/>
      <c r="BC50" s="316"/>
      <c r="BD50" s="317"/>
      <c r="BE50" s="316"/>
      <c r="BF50" s="317"/>
      <c r="BG50" s="316"/>
      <c r="BH50" s="317"/>
      <c r="BI50" s="316"/>
      <c r="BJ50" s="317"/>
      <c r="BK50" s="316"/>
      <c r="BL50" s="317"/>
      <c r="BM50" s="316"/>
      <c r="BN50" s="318"/>
      <c r="BO50" s="289">
        <f ca="1">SUMIF(E$4:$BN49,$E$4,E50:BN50)</f>
        <v>0</v>
      </c>
      <c r="BP50" s="286">
        <f>+VLOOKUP(A50,'Tổng,SUMMARY'!C:K,8,0)</f>
        <v>21150</v>
      </c>
      <c r="BQ50" s="293">
        <f t="shared" si="31"/>
        <v>-21150</v>
      </c>
    </row>
    <row r="51" spans="1:69" ht="18" hidden="1" customHeight="1">
      <c r="A51" s="313" t="s">
        <v>87</v>
      </c>
      <c r="B51" s="314" t="s">
        <v>88</v>
      </c>
      <c r="C51" s="315"/>
      <c r="D51" s="304">
        <f>SUMIF($E$4:BN$4,$F$4,E51:BN51)</f>
        <v>0</v>
      </c>
      <c r="E51" s="316"/>
      <c r="F51" s="317"/>
      <c r="G51" s="316"/>
      <c r="H51" s="317"/>
      <c r="I51" s="316"/>
      <c r="J51" s="317"/>
      <c r="K51" s="316"/>
      <c r="L51" s="317"/>
      <c r="M51" s="316"/>
      <c r="N51" s="317"/>
      <c r="O51" s="316"/>
      <c r="P51" s="317"/>
      <c r="Q51" s="316"/>
      <c r="R51" s="317"/>
      <c r="S51" s="316"/>
      <c r="T51" s="317"/>
      <c r="U51" s="316"/>
      <c r="V51" s="317"/>
      <c r="W51" s="316"/>
      <c r="X51" s="317"/>
      <c r="Y51" s="316"/>
      <c r="Z51" s="317"/>
      <c r="AA51" s="316"/>
      <c r="AB51" s="317"/>
      <c r="AC51" s="316"/>
      <c r="AD51" s="317"/>
      <c r="AE51" s="316"/>
      <c r="AF51" s="317"/>
      <c r="AG51" s="316"/>
      <c r="AH51" s="317"/>
      <c r="AI51" s="316"/>
      <c r="AJ51" s="317"/>
      <c r="AK51" s="316"/>
      <c r="AL51" s="317"/>
      <c r="AM51" s="316"/>
      <c r="AN51" s="317"/>
      <c r="AO51" s="316"/>
      <c r="AP51" s="317"/>
      <c r="AQ51" s="316"/>
      <c r="AR51" s="317"/>
      <c r="AS51" s="316"/>
      <c r="AT51" s="317"/>
      <c r="AU51" s="316"/>
      <c r="AV51" s="317"/>
      <c r="AW51" s="316"/>
      <c r="AX51" s="317"/>
      <c r="AY51" s="316"/>
      <c r="AZ51" s="317"/>
      <c r="BA51" s="316"/>
      <c r="BB51" s="317"/>
      <c r="BC51" s="316"/>
      <c r="BD51" s="317"/>
      <c r="BE51" s="316"/>
      <c r="BF51" s="317"/>
      <c r="BG51" s="316"/>
      <c r="BH51" s="317"/>
      <c r="BI51" s="316"/>
      <c r="BJ51" s="317"/>
      <c r="BK51" s="316"/>
      <c r="BL51" s="317"/>
      <c r="BM51" s="316"/>
      <c r="BN51" s="318"/>
      <c r="BO51" s="289">
        <f ca="1">SUMIF(E$4:$BN50,$E$4,E51:BN51)</f>
        <v>0</v>
      </c>
      <c r="BP51" s="286">
        <f>+VLOOKUP(A51,'Tổng,SUMMARY'!C:K,8,0)</f>
        <v>200</v>
      </c>
      <c r="BQ51" s="293">
        <f t="shared" si="31"/>
        <v>-200</v>
      </c>
    </row>
    <row r="52" spans="1:69" ht="18" hidden="1" customHeight="1">
      <c r="A52" s="313" t="s">
        <v>89</v>
      </c>
      <c r="B52" s="314" t="s">
        <v>90</v>
      </c>
      <c r="C52" s="315"/>
      <c r="D52" s="304">
        <f>SUMIF($E$4:BN$4,$F$4,E52:BN52)</f>
        <v>0</v>
      </c>
      <c r="E52" s="316"/>
      <c r="F52" s="317"/>
      <c r="G52" s="316"/>
      <c r="H52" s="317"/>
      <c r="I52" s="316"/>
      <c r="J52" s="317"/>
      <c r="K52" s="316"/>
      <c r="L52" s="317"/>
      <c r="M52" s="316"/>
      <c r="N52" s="317"/>
      <c r="O52" s="316"/>
      <c r="P52" s="317"/>
      <c r="Q52" s="316"/>
      <c r="R52" s="317"/>
      <c r="S52" s="316"/>
      <c r="T52" s="317"/>
      <c r="U52" s="316"/>
      <c r="V52" s="317"/>
      <c r="W52" s="316"/>
      <c r="X52" s="317"/>
      <c r="Y52" s="316"/>
      <c r="Z52" s="317"/>
      <c r="AA52" s="316"/>
      <c r="AB52" s="317"/>
      <c r="AC52" s="316"/>
      <c r="AD52" s="317"/>
      <c r="AE52" s="316"/>
      <c r="AF52" s="317"/>
      <c r="AG52" s="316"/>
      <c r="AH52" s="317"/>
      <c r="AI52" s="316"/>
      <c r="AJ52" s="317"/>
      <c r="AK52" s="316"/>
      <c r="AL52" s="317"/>
      <c r="AM52" s="316"/>
      <c r="AN52" s="317"/>
      <c r="AO52" s="316"/>
      <c r="AP52" s="317"/>
      <c r="AQ52" s="316"/>
      <c r="AR52" s="317"/>
      <c r="AS52" s="316"/>
      <c r="AT52" s="317"/>
      <c r="AU52" s="316"/>
      <c r="AV52" s="317"/>
      <c r="AW52" s="316"/>
      <c r="AX52" s="317"/>
      <c r="AY52" s="316"/>
      <c r="AZ52" s="317"/>
      <c r="BA52" s="316"/>
      <c r="BB52" s="317"/>
      <c r="BC52" s="316"/>
      <c r="BD52" s="317"/>
      <c r="BE52" s="316"/>
      <c r="BF52" s="317"/>
      <c r="BG52" s="316"/>
      <c r="BH52" s="317"/>
      <c r="BI52" s="316"/>
      <c r="BJ52" s="317"/>
      <c r="BK52" s="316"/>
      <c r="BL52" s="317"/>
      <c r="BM52" s="316"/>
      <c r="BN52" s="318"/>
      <c r="BO52" s="289">
        <f ca="1">SUMIF(E$4:$BN51,$E$4,E52:BN52)</f>
        <v>0</v>
      </c>
      <c r="BP52" s="286">
        <f>+VLOOKUP(A52,'Tổng,SUMMARY'!C:K,8,0)</f>
        <v>30500</v>
      </c>
      <c r="BQ52" s="293">
        <f t="shared" si="31"/>
        <v>-30500</v>
      </c>
    </row>
    <row r="53" spans="1:69" ht="18" hidden="1" customHeight="1">
      <c r="A53" s="313" t="s">
        <v>91</v>
      </c>
      <c r="B53" s="314" t="s">
        <v>92</v>
      </c>
      <c r="C53" s="315"/>
      <c r="D53" s="304">
        <f>SUMIF($E$4:BN$4,$F$4,E53:BN53)</f>
        <v>0</v>
      </c>
      <c r="E53" s="316"/>
      <c r="F53" s="317"/>
      <c r="G53" s="316"/>
      <c r="H53" s="317"/>
      <c r="I53" s="316"/>
      <c r="J53" s="317"/>
      <c r="K53" s="316"/>
      <c r="L53" s="317"/>
      <c r="M53" s="316"/>
      <c r="N53" s="317"/>
      <c r="O53" s="316"/>
      <c r="P53" s="317"/>
      <c r="Q53" s="316"/>
      <c r="R53" s="317"/>
      <c r="S53" s="316"/>
      <c r="T53" s="317"/>
      <c r="U53" s="316"/>
      <c r="V53" s="317"/>
      <c r="W53" s="316"/>
      <c r="X53" s="317"/>
      <c r="Y53" s="316"/>
      <c r="Z53" s="317"/>
      <c r="AA53" s="316"/>
      <c r="AB53" s="317"/>
      <c r="AC53" s="316"/>
      <c r="AD53" s="317"/>
      <c r="AE53" s="316"/>
      <c r="AF53" s="317"/>
      <c r="AG53" s="316"/>
      <c r="AH53" s="317"/>
      <c r="AI53" s="316"/>
      <c r="AJ53" s="317"/>
      <c r="AK53" s="316"/>
      <c r="AL53" s="317"/>
      <c r="AM53" s="316"/>
      <c r="AN53" s="317"/>
      <c r="AO53" s="316"/>
      <c r="AP53" s="317"/>
      <c r="AQ53" s="316"/>
      <c r="AR53" s="317"/>
      <c r="AS53" s="316"/>
      <c r="AT53" s="317"/>
      <c r="AU53" s="316"/>
      <c r="AV53" s="317"/>
      <c r="AW53" s="316"/>
      <c r="AX53" s="317"/>
      <c r="AY53" s="316"/>
      <c r="AZ53" s="317"/>
      <c r="BA53" s="316"/>
      <c r="BB53" s="317"/>
      <c r="BC53" s="316"/>
      <c r="BD53" s="317"/>
      <c r="BE53" s="316"/>
      <c r="BF53" s="317"/>
      <c r="BG53" s="316"/>
      <c r="BH53" s="317"/>
      <c r="BI53" s="316"/>
      <c r="BJ53" s="317"/>
      <c r="BK53" s="316"/>
      <c r="BL53" s="317"/>
      <c r="BM53" s="316"/>
      <c r="BN53" s="318"/>
      <c r="BO53" s="289">
        <f ca="1">SUMIF(E$4:$BN52,$E$4,E53:BN53)</f>
        <v>0</v>
      </c>
      <c r="BP53" s="286">
        <f>+VLOOKUP(A53,'Tổng,SUMMARY'!C:K,8,0)</f>
        <v>100</v>
      </c>
      <c r="BQ53" s="293">
        <f t="shared" si="31"/>
        <v>-100</v>
      </c>
    </row>
    <row r="54" spans="1:69" ht="18" hidden="1" customHeight="1">
      <c r="A54" s="313" t="s">
        <v>93</v>
      </c>
      <c r="B54" s="314" t="s">
        <v>92</v>
      </c>
      <c r="C54" s="315"/>
      <c r="D54" s="304">
        <f>SUMIF($E$4:BN$4,$F$4,E54:BN54)</f>
        <v>0</v>
      </c>
      <c r="E54" s="316"/>
      <c r="F54" s="317"/>
      <c r="G54" s="316"/>
      <c r="H54" s="317"/>
      <c r="I54" s="316"/>
      <c r="J54" s="317"/>
      <c r="K54" s="316"/>
      <c r="L54" s="317"/>
      <c r="M54" s="316"/>
      <c r="N54" s="317"/>
      <c r="O54" s="316"/>
      <c r="P54" s="317"/>
      <c r="Q54" s="316"/>
      <c r="R54" s="317"/>
      <c r="S54" s="316"/>
      <c r="T54" s="317"/>
      <c r="U54" s="316"/>
      <c r="V54" s="317"/>
      <c r="W54" s="316"/>
      <c r="X54" s="317"/>
      <c r="Y54" s="316"/>
      <c r="Z54" s="317"/>
      <c r="AA54" s="316"/>
      <c r="AB54" s="317"/>
      <c r="AC54" s="316"/>
      <c r="AD54" s="317"/>
      <c r="AE54" s="316"/>
      <c r="AF54" s="317"/>
      <c r="AG54" s="316"/>
      <c r="AH54" s="317"/>
      <c r="AI54" s="316"/>
      <c r="AJ54" s="317"/>
      <c r="AK54" s="316"/>
      <c r="AL54" s="317"/>
      <c r="AM54" s="316"/>
      <c r="AN54" s="317"/>
      <c r="AO54" s="316"/>
      <c r="AP54" s="317"/>
      <c r="AQ54" s="316"/>
      <c r="AR54" s="317"/>
      <c r="AS54" s="316"/>
      <c r="AT54" s="317"/>
      <c r="AU54" s="316"/>
      <c r="AV54" s="317"/>
      <c r="AW54" s="316"/>
      <c r="AX54" s="317"/>
      <c r="AY54" s="316"/>
      <c r="AZ54" s="317"/>
      <c r="BA54" s="316"/>
      <c r="BB54" s="317"/>
      <c r="BC54" s="316"/>
      <c r="BD54" s="317"/>
      <c r="BE54" s="316"/>
      <c r="BF54" s="317"/>
      <c r="BG54" s="316"/>
      <c r="BH54" s="317"/>
      <c r="BI54" s="316"/>
      <c r="BJ54" s="317"/>
      <c r="BK54" s="316"/>
      <c r="BL54" s="317"/>
      <c r="BM54" s="316"/>
      <c r="BN54" s="318"/>
      <c r="BO54" s="289">
        <f ca="1">SUMIF(E$4:$BN53,$E$4,E54:BN54)</f>
        <v>0</v>
      </c>
      <c r="BP54" s="286">
        <f>+VLOOKUP(A54,'Tổng,SUMMARY'!C:K,8,0)</f>
        <v>0</v>
      </c>
      <c r="BQ54" s="293">
        <f t="shared" si="31"/>
        <v>0</v>
      </c>
    </row>
    <row r="55" spans="1:69" ht="18.75" hidden="1" customHeight="1">
      <c r="A55" s="313" t="s">
        <v>94</v>
      </c>
      <c r="B55" s="314" t="s">
        <v>95</v>
      </c>
      <c r="C55" s="315"/>
      <c r="D55" s="304">
        <f>SUMIF($E$4:BN$4,$F$4,E55:BN55)</f>
        <v>0</v>
      </c>
      <c r="E55" s="316"/>
      <c r="F55" s="317"/>
      <c r="G55" s="316"/>
      <c r="H55" s="317"/>
      <c r="I55" s="316"/>
      <c r="J55" s="317"/>
      <c r="K55" s="316"/>
      <c r="L55" s="317"/>
      <c r="M55" s="316"/>
      <c r="N55" s="317"/>
      <c r="O55" s="316"/>
      <c r="P55" s="317"/>
      <c r="Q55" s="316"/>
      <c r="R55" s="317"/>
      <c r="S55" s="316"/>
      <c r="T55" s="317"/>
      <c r="U55" s="316"/>
      <c r="V55" s="317"/>
      <c r="W55" s="316"/>
      <c r="X55" s="317"/>
      <c r="Y55" s="316"/>
      <c r="Z55" s="317"/>
      <c r="AA55" s="316"/>
      <c r="AB55" s="317"/>
      <c r="AC55" s="316"/>
      <c r="AD55" s="317"/>
      <c r="AE55" s="316"/>
      <c r="AF55" s="317"/>
      <c r="AG55" s="316"/>
      <c r="AH55" s="317"/>
      <c r="AI55" s="316"/>
      <c r="AJ55" s="317"/>
      <c r="AK55" s="316"/>
      <c r="AL55" s="317"/>
      <c r="AM55" s="316"/>
      <c r="AN55" s="317"/>
      <c r="AO55" s="316"/>
      <c r="AP55" s="317"/>
      <c r="AQ55" s="316"/>
      <c r="AR55" s="317"/>
      <c r="AS55" s="316"/>
      <c r="AT55" s="317"/>
      <c r="AU55" s="316"/>
      <c r="AV55" s="317"/>
      <c r="AW55" s="316"/>
      <c r="AX55" s="317"/>
      <c r="AY55" s="316"/>
      <c r="AZ55" s="317"/>
      <c r="BA55" s="316"/>
      <c r="BB55" s="317"/>
      <c r="BC55" s="316"/>
      <c r="BD55" s="317"/>
      <c r="BE55" s="316"/>
      <c r="BF55" s="317"/>
      <c r="BG55" s="316"/>
      <c r="BH55" s="317"/>
      <c r="BI55" s="316"/>
      <c r="BJ55" s="317"/>
      <c r="BK55" s="316"/>
      <c r="BL55" s="317"/>
      <c r="BM55" s="316"/>
      <c r="BN55" s="318"/>
      <c r="BO55" s="289">
        <f ca="1">SUMIF(E$4:$BN54,$E$4,E55:BN55)</f>
        <v>0</v>
      </c>
      <c r="BP55" s="286">
        <f>+VLOOKUP(A55,'Tổng,SUMMARY'!C:K,8,0)</f>
        <v>0</v>
      </c>
      <c r="BQ55" s="293">
        <f t="shared" si="31"/>
        <v>0</v>
      </c>
    </row>
    <row r="56" spans="1:69" ht="18" hidden="1" customHeight="1">
      <c r="A56" s="313" t="s">
        <v>96</v>
      </c>
      <c r="B56" s="314" t="s">
        <v>97</v>
      </c>
      <c r="C56" s="315"/>
      <c r="D56" s="304">
        <f>SUMIF($E$4:BN$4,$F$4,E56:BN56)</f>
        <v>0</v>
      </c>
      <c r="E56" s="316"/>
      <c r="F56" s="317"/>
      <c r="G56" s="316"/>
      <c r="H56" s="317"/>
      <c r="I56" s="316"/>
      <c r="J56" s="317"/>
      <c r="K56" s="316"/>
      <c r="L56" s="317"/>
      <c r="M56" s="316"/>
      <c r="N56" s="317"/>
      <c r="O56" s="316"/>
      <c r="P56" s="317"/>
      <c r="Q56" s="316"/>
      <c r="R56" s="317"/>
      <c r="S56" s="316"/>
      <c r="T56" s="317"/>
      <c r="U56" s="316"/>
      <c r="V56" s="317"/>
      <c r="W56" s="316"/>
      <c r="X56" s="317"/>
      <c r="Y56" s="316"/>
      <c r="Z56" s="317"/>
      <c r="AA56" s="316"/>
      <c r="AB56" s="317"/>
      <c r="AC56" s="316"/>
      <c r="AD56" s="317"/>
      <c r="AE56" s="316"/>
      <c r="AF56" s="317"/>
      <c r="AG56" s="316"/>
      <c r="AH56" s="317"/>
      <c r="AI56" s="316"/>
      <c r="AJ56" s="317"/>
      <c r="AK56" s="316"/>
      <c r="AL56" s="317"/>
      <c r="AM56" s="316"/>
      <c r="AN56" s="317"/>
      <c r="AO56" s="316"/>
      <c r="AP56" s="317"/>
      <c r="AQ56" s="316"/>
      <c r="AR56" s="317"/>
      <c r="AS56" s="316"/>
      <c r="AT56" s="317"/>
      <c r="AU56" s="316"/>
      <c r="AV56" s="317"/>
      <c r="AW56" s="316"/>
      <c r="AX56" s="317"/>
      <c r="AY56" s="316"/>
      <c r="AZ56" s="317"/>
      <c r="BA56" s="316"/>
      <c r="BB56" s="317"/>
      <c r="BC56" s="316"/>
      <c r="BD56" s="317"/>
      <c r="BE56" s="316"/>
      <c r="BF56" s="317"/>
      <c r="BG56" s="316"/>
      <c r="BH56" s="317"/>
      <c r="BI56" s="316"/>
      <c r="BJ56" s="317"/>
      <c r="BK56" s="316"/>
      <c r="BL56" s="317"/>
      <c r="BM56" s="316"/>
      <c r="BN56" s="318"/>
      <c r="BO56" s="289">
        <f ca="1">SUMIF(E$4:$BN55,$E$4,E56:BN56)</f>
        <v>0</v>
      </c>
      <c r="BP56" s="286">
        <f>+VLOOKUP(A56,'Tổng,SUMMARY'!C:K,8,0)</f>
        <v>500</v>
      </c>
      <c r="BQ56" s="293">
        <f t="shared" si="31"/>
        <v>-500</v>
      </c>
    </row>
    <row r="57" spans="1:69" ht="18" hidden="1" customHeight="1">
      <c r="A57" s="313" t="s">
        <v>98</v>
      </c>
      <c r="B57" s="314" t="s">
        <v>99</v>
      </c>
      <c r="C57" s="315"/>
      <c r="D57" s="304">
        <f>SUMIF($E$4:BN$4,$F$4,E57:BN57)</f>
        <v>0</v>
      </c>
      <c r="E57" s="316"/>
      <c r="F57" s="317"/>
      <c r="G57" s="316"/>
      <c r="H57" s="317"/>
      <c r="I57" s="316"/>
      <c r="J57" s="317"/>
      <c r="K57" s="316"/>
      <c r="L57" s="317"/>
      <c r="M57" s="316"/>
      <c r="N57" s="317"/>
      <c r="O57" s="316"/>
      <c r="P57" s="317"/>
      <c r="Q57" s="316"/>
      <c r="R57" s="317"/>
      <c r="S57" s="316"/>
      <c r="T57" s="317"/>
      <c r="U57" s="316"/>
      <c r="V57" s="317"/>
      <c r="W57" s="316"/>
      <c r="X57" s="317"/>
      <c r="Y57" s="316"/>
      <c r="Z57" s="317"/>
      <c r="AA57" s="316"/>
      <c r="AB57" s="317"/>
      <c r="AC57" s="316"/>
      <c r="AD57" s="317"/>
      <c r="AE57" s="316"/>
      <c r="AF57" s="317"/>
      <c r="AG57" s="316"/>
      <c r="AH57" s="317"/>
      <c r="AI57" s="316"/>
      <c r="AJ57" s="317"/>
      <c r="AK57" s="316"/>
      <c r="AL57" s="317"/>
      <c r="AM57" s="316"/>
      <c r="AN57" s="317"/>
      <c r="AO57" s="316"/>
      <c r="AP57" s="317"/>
      <c r="AQ57" s="316"/>
      <c r="AR57" s="317"/>
      <c r="AS57" s="316"/>
      <c r="AT57" s="317"/>
      <c r="AU57" s="316"/>
      <c r="AV57" s="317"/>
      <c r="AW57" s="316"/>
      <c r="AX57" s="317"/>
      <c r="AY57" s="316"/>
      <c r="AZ57" s="317"/>
      <c r="BA57" s="316"/>
      <c r="BB57" s="317"/>
      <c r="BC57" s="316"/>
      <c r="BD57" s="317"/>
      <c r="BE57" s="316"/>
      <c r="BF57" s="317"/>
      <c r="BG57" s="316"/>
      <c r="BH57" s="317"/>
      <c r="BI57" s="316"/>
      <c r="BJ57" s="317"/>
      <c r="BK57" s="316"/>
      <c r="BL57" s="317"/>
      <c r="BM57" s="316"/>
      <c r="BN57" s="318"/>
      <c r="BO57" s="289">
        <f ca="1">SUMIF(E$4:$BN56,$E$4,E57:BN57)</f>
        <v>0</v>
      </c>
      <c r="BP57" s="286">
        <f>+VLOOKUP(A57,'Tổng,SUMMARY'!C:K,8,0)</f>
        <v>0</v>
      </c>
      <c r="BQ57" s="293">
        <f t="shared" si="31"/>
        <v>0</v>
      </c>
    </row>
    <row r="58" spans="1:69" ht="18" hidden="1" customHeight="1">
      <c r="A58" s="313" t="s">
        <v>100</v>
      </c>
      <c r="B58" s="314" t="s">
        <v>101</v>
      </c>
      <c r="C58" s="315"/>
      <c r="D58" s="304">
        <f>SUMIF($E$4:BN$4,$F$4,E58:BN58)</f>
        <v>0</v>
      </c>
      <c r="E58" s="316"/>
      <c r="F58" s="317"/>
      <c r="G58" s="316"/>
      <c r="H58" s="317"/>
      <c r="I58" s="316"/>
      <c r="J58" s="317"/>
      <c r="K58" s="316"/>
      <c r="L58" s="317"/>
      <c r="M58" s="316"/>
      <c r="N58" s="317"/>
      <c r="O58" s="316"/>
      <c r="P58" s="317"/>
      <c r="Q58" s="316"/>
      <c r="R58" s="317"/>
      <c r="S58" s="316"/>
      <c r="T58" s="317"/>
      <c r="U58" s="316"/>
      <c r="V58" s="317"/>
      <c r="W58" s="316"/>
      <c r="X58" s="317"/>
      <c r="Y58" s="316"/>
      <c r="Z58" s="317"/>
      <c r="AA58" s="316"/>
      <c r="AB58" s="317"/>
      <c r="AC58" s="316"/>
      <c r="AD58" s="317"/>
      <c r="AE58" s="316"/>
      <c r="AF58" s="317"/>
      <c r="AG58" s="316"/>
      <c r="AH58" s="317"/>
      <c r="AI58" s="316"/>
      <c r="AJ58" s="317"/>
      <c r="AK58" s="316"/>
      <c r="AL58" s="317"/>
      <c r="AM58" s="316"/>
      <c r="AN58" s="317"/>
      <c r="AO58" s="316"/>
      <c r="AP58" s="317"/>
      <c r="AQ58" s="316"/>
      <c r="AR58" s="317"/>
      <c r="AS58" s="316"/>
      <c r="AT58" s="317"/>
      <c r="AU58" s="316"/>
      <c r="AV58" s="317"/>
      <c r="AW58" s="316"/>
      <c r="AX58" s="317"/>
      <c r="AY58" s="316"/>
      <c r="AZ58" s="317"/>
      <c r="BA58" s="316"/>
      <c r="BB58" s="317"/>
      <c r="BC58" s="316"/>
      <c r="BD58" s="317"/>
      <c r="BE58" s="316"/>
      <c r="BF58" s="317"/>
      <c r="BG58" s="316"/>
      <c r="BH58" s="317"/>
      <c r="BI58" s="316"/>
      <c r="BJ58" s="317"/>
      <c r="BK58" s="316"/>
      <c r="BL58" s="317"/>
      <c r="BM58" s="316"/>
      <c r="BN58" s="318"/>
      <c r="BO58" s="289">
        <f ca="1">SUMIF(E$4:$BN57,$E$4,E58:BN58)</f>
        <v>0</v>
      </c>
      <c r="BP58" s="286">
        <f>+VLOOKUP(A58,'Tổng,SUMMARY'!C:K,8,0)</f>
        <v>0</v>
      </c>
      <c r="BQ58" s="293">
        <f t="shared" si="31"/>
        <v>0</v>
      </c>
    </row>
    <row r="59" spans="1:69" ht="17.25" customHeight="1">
      <c r="A59" s="313" t="s">
        <v>102</v>
      </c>
      <c r="B59" s="314" t="s">
        <v>101</v>
      </c>
      <c r="C59" s="315"/>
      <c r="D59" s="304">
        <f>SUMIF($E$4:BN$4,$F$4,E59:BN59)</f>
        <v>4700</v>
      </c>
      <c r="E59" s="316"/>
      <c r="F59" s="317"/>
      <c r="G59" s="316"/>
      <c r="H59" s="306"/>
      <c r="I59" s="316"/>
      <c r="J59" s="317">
        <v>2300</v>
      </c>
      <c r="K59" s="316"/>
      <c r="L59" s="317">
        <v>2400</v>
      </c>
      <c r="M59" s="316"/>
      <c r="N59" s="317"/>
      <c r="O59" s="316"/>
      <c r="P59" s="317"/>
      <c r="Q59" s="316"/>
      <c r="R59" s="317"/>
      <c r="S59" s="316"/>
      <c r="T59" s="317"/>
      <c r="U59" s="316"/>
      <c r="V59" s="317"/>
      <c r="W59" s="316"/>
      <c r="X59" s="317"/>
      <c r="Y59" s="316"/>
      <c r="Z59" s="317"/>
      <c r="AA59" s="316"/>
      <c r="AB59" s="317"/>
      <c r="AC59" s="316"/>
      <c r="AD59" s="317"/>
      <c r="AE59" s="316"/>
      <c r="AF59" s="317"/>
      <c r="AG59" s="316"/>
      <c r="AH59" s="317"/>
      <c r="AI59" s="316"/>
      <c r="AJ59" s="317"/>
      <c r="AK59" s="316"/>
      <c r="AL59" s="317"/>
      <c r="AM59" s="316"/>
      <c r="AN59" s="317"/>
      <c r="AO59" s="316"/>
      <c r="AP59" s="317"/>
      <c r="AQ59" s="316"/>
      <c r="AR59" s="317"/>
      <c r="AS59" s="316"/>
      <c r="AT59" s="317"/>
      <c r="AU59" s="316"/>
      <c r="AV59" s="317"/>
      <c r="AW59" s="316"/>
      <c r="AX59" s="317"/>
      <c r="AY59" s="316"/>
      <c r="AZ59" s="317"/>
      <c r="BA59" s="316"/>
      <c r="BB59" s="317"/>
      <c r="BC59" s="316"/>
      <c r="BD59" s="317"/>
      <c r="BE59" s="316"/>
      <c r="BF59" s="317"/>
      <c r="BG59" s="316"/>
      <c r="BH59" s="317"/>
      <c r="BI59" s="316"/>
      <c r="BJ59" s="317"/>
      <c r="BK59" s="316"/>
      <c r="BL59" s="317"/>
      <c r="BM59" s="316"/>
      <c r="BN59" s="318"/>
      <c r="BO59" s="289">
        <f ca="1">SUMIF(E$4:$BN58,$E$4,E59:BN59)</f>
        <v>0</v>
      </c>
      <c r="BP59" s="286">
        <f>+VLOOKUP(A59,'Tổng,SUMMARY'!C:K,8,0)</f>
        <v>11500</v>
      </c>
      <c r="BQ59" s="293">
        <f t="shared" si="31"/>
        <v>-6800</v>
      </c>
    </row>
    <row r="60" spans="1:69" ht="18" hidden="1" customHeight="1">
      <c r="A60" s="313" t="s">
        <v>103</v>
      </c>
      <c r="B60" s="314" t="s">
        <v>104</v>
      </c>
      <c r="C60" s="315"/>
      <c r="D60" s="304">
        <f>SUMIF($E$4:BN$4,$F$4,E60:BN60)</f>
        <v>0</v>
      </c>
      <c r="E60" s="316"/>
      <c r="F60" s="317"/>
      <c r="G60" s="316"/>
      <c r="H60" s="317"/>
      <c r="I60" s="316"/>
      <c r="J60" s="317"/>
      <c r="K60" s="316"/>
      <c r="L60" s="317"/>
      <c r="M60" s="316"/>
      <c r="N60" s="317"/>
      <c r="O60" s="316"/>
      <c r="P60" s="317"/>
      <c r="Q60" s="316"/>
      <c r="R60" s="317"/>
      <c r="S60" s="316"/>
      <c r="T60" s="317"/>
      <c r="U60" s="316"/>
      <c r="V60" s="317"/>
      <c r="W60" s="316"/>
      <c r="X60" s="317"/>
      <c r="Y60" s="316"/>
      <c r="Z60" s="317"/>
      <c r="AA60" s="316"/>
      <c r="AB60" s="317"/>
      <c r="AC60" s="316"/>
      <c r="AD60" s="317"/>
      <c r="AE60" s="316"/>
      <c r="AF60" s="317"/>
      <c r="AG60" s="316"/>
      <c r="AH60" s="317"/>
      <c r="AI60" s="316"/>
      <c r="AJ60" s="317"/>
      <c r="AK60" s="316"/>
      <c r="AL60" s="317"/>
      <c r="AM60" s="316"/>
      <c r="AN60" s="317"/>
      <c r="AO60" s="316"/>
      <c r="AP60" s="317"/>
      <c r="AQ60" s="316"/>
      <c r="AR60" s="317"/>
      <c r="AS60" s="316"/>
      <c r="AT60" s="317"/>
      <c r="AU60" s="316"/>
      <c r="AV60" s="317"/>
      <c r="AW60" s="316"/>
      <c r="AX60" s="317"/>
      <c r="AY60" s="316"/>
      <c r="AZ60" s="317"/>
      <c r="BA60" s="316"/>
      <c r="BB60" s="317"/>
      <c r="BC60" s="316"/>
      <c r="BD60" s="317"/>
      <c r="BE60" s="316"/>
      <c r="BF60" s="317"/>
      <c r="BG60" s="316"/>
      <c r="BH60" s="317"/>
      <c r="BI60" s="316"/>
      <c r="BJ60" s="317"/>
      <c r="BK60" s="316"/>
      <c r="BL60" s="317"/>
      <c r="BM60" s="316"/>
      <c r="BN60" s="318"/>
      <c r="BO60" s="289">
        <f ca="1">SUMIF(E$4:$BN59,$E$4,E60:BN60)</f>
        <v>0</v>
      </c>
      <c r="BP60" s="286">
        <f>+VLOOKUP(A60,'Tổng,SUMMARY'!C:K,8,0)</f>
        <v>1600</v>
      </c>
      <c r="BQ60" s="293">
        <f t="shared" si="31"/>
        <v>-1600</v>
      </c>
    </row>
    <row r="61" spans="1:69" ht="18" hidden="1" customHeight="1">
      <c r="A61" s="313" t="s">
        <v>105</v>
      </c>
      <c r="B61" s="314" t="s">
        <v>104</v>
      </c>
      <c r="C61" s="315"/>
      <c r="D61" s="304">
        <f>SUMIF($E$4:BN$4,$F$4,E61:BN61)</f>
        <v>0</v>
      </c>
      <c r="E61" s="316"/>
      <c r="F61" s="317"/>
      <c r="G61" s="316"/>
      <c r="H61" s="317"/>
      <c r="I61" s="316"/>
      <c r="J61" s="317"/>
      <c r="K61" s="316"/>
      <c r="L61" s="317"/>
      <c r="M61" s="316"/>
      <c r="N61" s="317"/>
      <c r="O61" s="316"/>
      <c r="P61" s="317"/>
      <c r="Q61" s="316"/>
      <c r="R61" s="317"/>
      <c r="S61" s="316"/>
      <c r="T61" s="317"/>
      <c r="U61" s="316"/>
      <c r="V61" s="317"/>
      <c r="W61" s="316"/>
      <c r="X61" s="317"/>
      <c r="Y61" s="316"/>
      <c r="Z61" s="317"/>
      <c r="AA61" s="316"/>
      <c r="AB61" s="317"/>
      <c r="AC61" s="316"/>
      <c r="AD61" s="317"/>
      <c r="AE61" s="316"/>
      <c r="AF61" s="317"/>
      <c r="AG61" s="316"/>
      <c r="AH61" s="317"/>
      <c r="AI61" s="316"/>
      <c r="AJ61" s="317"/>
      <c r="AK61" s="316"/>
      <c r="AL61" s="317"/>
      <c r="AM61" s="316"/>
      <c r="AN61" s="317"/>
      <c r="AO61" s="316"/>
      <c r="AP61" s="317"/>
      <c r="AQ61" s="316"/>
      <c r="AR61" s="317"/>
      <c r="AS61" s="316"/>
      <c r="AT61" s="317"/>
      <c r="AU61" s="316"/>
      <c r="AV61" s="317"/>
      <c r="AW61" s="316"/>
      <c r="AX61" s="317"/>
      <c r="AY61" s="316"/>
      <c r="AZ61" s="317"/>
      <c r="BA61" s="316"/>
      <c r="BB61" s="317"/>
      <c r="BC61" s="316"/>
      <c r="BD61" s="317"/>
      <c r="BE61" s="316"/>
      <c r="BF61" s="317"/>
      <c r="BG61" s="316"/>
      <c r="BH61" s="317"/>
      <c r="BI61" s="316"/>
      <c r="BJ61" s="317"/>
      <c r="BK61" s="316"/>
      <c r="BL61" s="317"/>
      <c r="BM61" s="316"/>
      <c r="BN61" s="318"/>
      <c r="BO61" s="289">
        <f ca="1">SUMIF(E$4:$BN60,$E$4,E61:BN61)</f>
        <v>0</v>
      </c>
      <c r="BP61" s="286" t="e">
        <f>+VLOOKUP(A61,'Tổng,SUMMARY'!C:K,8,0)</f>
        <v>#N/A</v>
      </c>
      <c r="BQ61" s="293" t="e">
        <f t="shared" si="31"/>
        <v>#N/A</v>
      </c>
    </row>
    <row r="62" spans="1:69" ht="18" hidden="1" customHeight="1">
      <c r="A62" s="313" t="s">
        <v>106</v>
      </c>
      <c r="B62" s="314" t="s">
        <v>107</v>
      </c>
      <c r="C62" s="315"/>
      <c r="D62" s="304">
        <f>SUMIF($E$4:BN$4,$F$4,E62:BN62)</f>
        <v>0</v>
      </c>
      <c r="E62" s="316"/>
      <c r="F62" s="317"/>
      <c r="G62" s="316"/>
      <c r="H62" s="317"/>
      <c r="I62" s="316"/>
      <c r="J62" s="317"/>
      <c r="K62" s="316"/>
      <c r="L62" s="317"/>
      <c r="M62" s="316"/>
      <c r="N62" s="317"/>
      <c r="O62" s="316"/>
      <c r="P62" s="317"/>
      <c r="Q62" s="316"/>
      <c r="R62" s="317"/>
      <c r="S62" s="316"/>
      <c r="T62" s="317"/>
      <c r="U62" s="316"/>
      <c r="V62" s="317"/>
      <c r="W62" s="316"/>
      <c r="X62" s="317"/>
      <c r="Y62" s="316"/>
      <c r="Z62" s="317"/>
      <c r="AA62" s="316"/>
      <c r="AB62" s="317"/>
      <c r="AC62" s="316"/>
      <c r="AD62" s="317"/>
      <c r="AE62" s="316"/>
      <c r="AF62" s="317"/>
      <c r="AG62" s="316"/>
      <c r="AH62" s="317"/>
      <c r="AI62" s="316"/>
      <c r="AJ62" s="317"/>
      <c r="AK62" s="316"/>
      <c r="AL62" s="317"/>
      <c r="AM62" s="316"/>
      <c r="AN62" s="317"/>
      <c r="AO62" s="316"/>
      <c r="AP62" s="317"/>
      <c r="AQ62" s="316"/>
      <c r="AR62" s="317"/>
      <c r="AS62" s="316"/>
      <c r="AT62" s="317"/>
      <c r="AU62" s="316"/>
      <c r="AV62" s="317"/>
      <c r="AW62" s="316"/>
      <c r="AX62" s="317"/>
      <c r="AY62" s="316"/>
      <c r="AZ62" s="317"/>
      <c r="BA62" s="316"/>
      <c r="BB62" s="317"/>
      <c r="BC62" s="316"/>
      <c r="BD62" s="317"/>
      <c r="BE62" s="316"/>
      <c r="BF62" s="317"/>
      <c r="BG62" s="316"/>
      <c r="BH62" s="317"/>
      <c r="BI62" s="316"/>
      <c r="BJ62" s="317"/>
      <c r="BK62" s="316"/>
      <c r="BL62" s="317"/>
      <c r="BM62" s="316"/>
      <c r="BN62" s="318"/>
      <c r="BO62" s="289">
        <f ca="1">SUMIF(E$4:$BN61,$E$4,E62:BN62)</f>
        <v>0</v>
      </c>
      <c r="BP62" s="286">
        <f>+VLOOKUP(A62,'Tổng,SUMMARY'!C:K,8,0)</f>
        <v>0</v>
      </c>
      <c r="BQ62" s="293">
        <f t="shared" si="31"/>
        <v>0</v>
      </c>
    </row>
    <row r="63" spans="1:69" ht="18" hidden="1" customHeight="1">
      <c r="A63" s="313" t="s">
        <v>108</v>
      </c>
      <c r="B63" s="314" t="s">
        <v>109</v>
      </c>
      <c r="C63" s="315"/>
      <c r="D63" s="304">
        <f>SUMIF($E$4:BN$4,$F$4,E63:BN63)</f>
        <v>0</v>
      </c>
      <c r="E63" s="316"/>
      <c r="F63" s="317"/>
      <c r="G63" s="316"/>
      <c r="H63" s="317"/>
      <c r="I63" s="316"/>
      <c r="J63" s="317"/>
      <c r="K63" s="316"/>
      <c r="L63" s="317"/>
      <c r="M63" s="316"/>
      <c r="N63" s="317"/>
      <c r="O63" s="316"/>
      <c r="P63" s="317"/>
      <c r="Q63" s="316"/>
      <c r="R63" s="317"/>
      <c r="S63" s="316"/>
      <c r="T63" s="317"/>
      <c r="U63" s="316"/>
      <c r="V63" s="317"/>
      <c r="W63" s="316"/>
      <c r="X63" s="317"/>
      <c r="Y63" s="316"/>
      <c r="Z63" s="317"/>
      <c r="AA63" s="316"/>
      <c r="AB63" s="317"/>
      <c r="AC63" s="316"/>
      <c r="AD63" s="317"/>
      <c r="AE63" s="316"/>
      <c r="AF63" s="317"/>
      <c r="AG63" s="316"/>
      <c r="AH63" s="317"/>
      <c r="AI63" s="316"/>
      <c r="AJ63" s="317"/>
      <c r="AK63" s="316"/>
      <c r="AL63" s="317"/>
      <c r="AM63" s="316"/>
      <c r="AN63" s="317"/>
      <c r="AO63" s="316"/>
      <c r="AP63" s="317"/>
      <c r="AQ63" s="316"/>
      <c r="AR63" s="317"/>
      <c r="AS63" s="316"/>
      <c r="AT63" s="317"/>
      <c r="AU63" s="316"/>
      <c r="AV63" s="317"/>
      <c r="AW63" s="316"/>
      <c r="AX63" s="317"/>
      <c r="AY63" s="316"/>
      <c r="AZ63" s="317"/>
      <c r="BA63" s="316"/>
      <c r="BB63" s="317"/>
      <c r="BC63" s="316"/>
      <c r="BD63" s="317"/>
      <c r="BE63" s="316"/>
      <c r="BF63" s="317"/>
      <c r="BG63" s="316"/>
      <c r="BH63" s="317"/>
      <c r="BI63" s="316"/>
      <c r="BJ63" s="317"/>
      <c r="BK63" s="316"/>
      <c r="BL63" s="317"/>
      <c r="BM63" s="316"/>
      <c r="BN63" s="318"/>
      <c r="BO63" s="289">
        <f ca="1">SUMIF(E$4:$BN62,$E$4,E63:BN63)</f>
        <v>0</v>
      </c>
      <c r="BP63" s="286">
        <f>+VLOOKUP(A63,'Tổng,SUMMARY'!C:K,8,0)</f>
        <v>0</v>
      </c>
      <c r="BQ63" s="293">
        <f t="shared" si="31"/>
        <v>0</v>
      </c>
    </row>
    <row r="64" spans="1:69" ht="18" hidden="1" customHeight="1">
      <c r="A64" s="313" t="s">
        <v>110</v>
      </c>
      <c r="B64" s="314" t="s">
        <v>111</v>
      </c>
      <c r="C64" s="315"/>
      <c r="D64" s="304">
        <f>SUMIF($E$4:BN$4,$F$4,E64:BN64)</f>
        <v>0</v>
      </c>
      <c r="E64" s="316"/>
      <c r="F64" s="317"/>
      <c r="G64" s="316"/>
      <c r="H64" s="317"/>
      <c r="I64" s="316"/>
      <c r="J64" s="317"/>
      <c r="K64" s="316"/>
      <c r="L64" s="317"/>
      <c r="M64" s="316"/>
      <c r="N64" s="317"/>
      <c r="O64" s="316"/>
      <c r="P64" s="317"/>
      <c r="Q64" s="316"/>
      <c r="R64" s="317"/>
      <c r="S64" s="316"/>
      <c r="T64" s="317"/>
      <c r="U64" s="316"/>
      <c r="V64" s="317"/>
      <c r="W64" s="316"/>
      <c r="X64" s="317"/>
      <c r="Y64" s="316"/>
      <c r="Z64" s="317"/>
      <c r="AA64" s="316"/>
      <c r="AB64" s="317"/>
      <c r="AC64" s="316"/>
      <c r="AD64" s="317"/>
      <c r="AE64" s="316"/>
      <c r="AF64" s="317"/>
      <c r="AG64" s="316"/>
      <c r="AH64" s="317"/>
      <c r="AI64" s="316"/>
      <c r="AJ64" s="317"/>
      <c r="AK64" s="316"/>
      <c r="AL64" s="317"/>
      <c r="AM64" s="316"/>
      <c r="AN64" s="317"/>
      <c r="AO64" s="316"/>
      <c r="AP64" s="317"/>
      <c r="AQ64" s="316"/>
      <c r="AR64" s="317"/>
      <c r="AS64" s="316"/>
      <c r="AT64" s="317"/>
      <c r="AU64" s="316"/>
      <c r="AV64" s="317"/>
      <c r="AW64" s="316"/>
      <c r="AX64" s="317"/>
      <c r="AY64" s="316"/>
      <c r="AZ64" s="317"/>
      <c r="BA64" s="316"/>
      <c r="BB64" s="317"/>
      <c r="BC64" s="316"/>
      <c r="BD64" s="317"/>
      <c r="BE64" s="316"/>
      <c r="BF64" s="317"/>
      <c r="BG64" s="316"/>
      <c r="BH64" s="317"/>
      <c r="BI64" s="316"/>
      <c r="BJ64" s="317"/>
      <c r="BK64" s="316"/>
      <c r="BL64" s="317"/>
      <c r="BM64" s="316"/>
      <c r="BN64" s="318"/>
      <c r="BO64" s="289">
        <f ca="1">SUMIF(E$4:$BN63,$E$4,E64:BN64)</f>
        <v>0</v>
      </c>
      <c r="BP64" s="286">
        <f>+VLOOKUP(A64,'Tổng,SUMMARY'!C:K,8,0)</f>
        <v>0</v>
      </c>
      <c r="BQ64" s="293">
        <f t="shared" si="31"/>
        <v>0</v>
      </c>
    </row>
    <row r="65" spans="1:69" ht="18" hidden="1" customHeight="1">
      <c r="A65" s="313" t="s">
        <v>112</v>
      </c>
      <c r="B65" s="314" t="s">
        <v>113</v>
      </c>
      <c r="C65" s="315"/>
      <c r="D65" s="304">
        <f>SUMIF($E$4:BN$4,$F$4,E65:BN65)</f>
        <v>0</v>
      </c>
      <c r="E65" s="316"/>
      <c r="F65" s="317"/>
      <c r="G65" s="316"/>
      <c r="H65" s="317"/>
      <c r="I65" s="316"/>
      <c r="J65" s="317"/>
      <c r="K65" s="316"/>
      <c r="L65" s="317"/>
      <c r="M65" s="316"/>
      <c r="N65" s="317"/>
      <c r="O65" s="316"/>
      <c r="P65" s="317"/>
      <c r="Q65" s="316"/>
      <c r="R65" s="317"/>
      <c r="S65" s="316"/>
      <c r="T65" s="317"/>
      <c r="U65" s="316"/>
      <c r="V65" s="317"/>
      <c r="W65" s="316"/>
      <c r="X65" s="317"/>
      <c r="Y65" s="316"/>
      <c r="Z65" s="317"/>
      <c r="AA65" s="316"/>
      <c r="AB65" s="317"/>
      <c r="AC65" s="316"/>
      <c r="AD65" s="317"/>
      <c r="AE65" s="316"/>
      <c r="AF65" s="317"/>
      <c r="AG65" s="316"/>
      <c r="AH65" s="317"/>
      <c r="AI65" s="316"/>
      <c r="AJ65" s="317"/>
      <c r="AK65" s="316"/>
      <c r="AL65" s="317"/>
      <c r="AM65" s="316"/>
      <c r="AN65" s="317"/>
      <c r="AO65" s="316"/>
      <c r="AP65" s="317"/>
      <c r="AQ65" s="316"/>
      <c r="AR65" s="317"/>
      <c r="AS65" s="316"/>
      <c r="AT65" s="317"/>
      <c r="AU65" s="316"/>
      <c r="AV65" s="317"/>
      <c r="AW65" s="316"/>
      <c r="AX65" s="317"/>
      <c r="AY65" s="316"/>
      <c r="AZ65" s="317"/>
      <c r="BA65" s="316"/>
      <c r="BB65" s="317"/>
      <c r="BC65" s="316"/>
      <c r="BD65" s="317"/>
      <c r="BE65" s="316"/>
      <c r="BF65" s="317"/>
      <c r="BG65" s="316"/>
      <c r="BH65" s="317"/>
      <c r="BI65" s="316"/>
      <c r="BJ65" s="317"/>
      <c r="BK65" s="316"/>
      <c r="BL65" s="317"/>
      <c r="BM65" s="316"/>
      <c r="BN65" s="318"/>
      <c r="BO65" s="289">
        <f ca="1">SUMIF(E$4:$BN64,$E$4,E65:BN65)</f>
        <v>0</v>
      </c>
      <c r="BP65" s="286">
        <f>+VLOOKUP(A65,'Tổng,SUMMARY'!C:K,8,0)</f>
        <v>200</v>
      </c>
      <c r="BQ65" s="293">
        <f t="shared" si="31"/>
        <v>-200</v>
      </c>
    </row>
    <row r="66" spans="1:69" ht="18" hidden="1" customHeight="1">
      <c r="A66" s="313" t="s">
        <v>114</v>
      </c>
      <c r="B66" s="314" t="s">
        <v>115</v>
      </c>
      <c r="C66" s="315"/>
      <c r="D66" s="304">
        <f>SUMIF($E$4:BN$4,$F$4,E66:BN66)</f>
        <v>0</v>
      </c>
      <c r="E66" s="316"/>
      <c r="F66" s="317"/>
      <c r="G66" s="316"/>
      <c r="H66" s="317"/>
      <c r="I66" s="316"/>
      <c r="J66" s="317"/>
      <c r="K66" s="316"/>
      <c r="L66" s="317"/>
      <c r="M66" s="316"/>
      <c r="N66" s="317"/>
      <c r="O66" s="316"/>
      <c r="P66" s="317"/>
      <c r="Q66" s="316"/>
      <c r="R66" s="317"/>
      <c r="S66" s="316"/>
      <c r="T66" s="317"/>
      <c r="U66" s="316"/>
      <c r="V66" s="317"/>
      <c r="W66" s="316"/>
      <c r="X66" s="317"/>
      <c r="Y66" s="316"/>
      <c r="Z66" s="317"/>
      <c r="AA66" s="316"/>
      <c r="AB66" s="317"/>
      <c r="AC66" s="316"/>
      <c r="AD66" s="317"/>
      <c r="AE66" s="316"/>
      <c r="AF66" s="317"/>
      <c r="AG66" s="316"/>
      <c r="AH66" s="317"/>
      <c r="AI66" s="316"/>
      <c r="AJ66" s="317"/>
      <c r="AK66" s="316"/>
      <c r="AL66" s="317"/>
      <c r="AM66" s="316"/>
      <c r="AN66" s="317"/>
      <c r="AO66" s="316"/>
      <c r="AP66" s="317"/>
      <c r="AQ66" s="316"/>
      <c r="AR66" s="317"/>
      <c r="AS66" s="316"/>
      <c r="AT66" s="317"/>
      <c r="AU66" s="316"/>
      <c r="AV66" s="317"/>
      <c r="AW66" s="316"/>
      <c r="AX66" s="317"/>
      <c r="AY66" s="316"/>
      <c r="AZ66" s="317"/>
      <c r="BA66" s="316"/>
      <c r="BB66" s="317"/>
      <c r="BC66" s="316"/>
      <c r="BD66" s="317"/>
      <c r="BE66" s="316"/>
      <c r="BF66" s="317"/>
      <c r="BG66" s="316"/>
      <c r="BH66" s="317"/>
      <c r="BI66" s="316"/>
      <c r="BJ66" s="317"/>
      <c r="BK66" s="316"/>
      <c r="BL66" s="317"/>
      <c r="BM66" s="316"/>
      <c r="BN66" s="318"/>
      <c r="BO66" s="289">
        <f ca="1">SUMIF(E$4:$BN65,$E$4,E66:BN66)</f>
        <v>0</v>
      </c>
      <c r="BP66" s="286">
        <f>+VLOOKUP(A66,'Tổng,SUMMARY'!C:K,8,0)</f>
        <v>400</v>
      </c>
      <c r="BQ66" s="293">
        <f t="shared" si="31"/>
        <v>-400</v>
      </c>
    </row>
    <row r="67" spans="1:69" ht="18" hidden="1" customHeight="1">
      <c r="A67" s="313" t="s">
        <v>116</v>
      </c>
      <c r="B67" s="314" t="s">
        <v>117</v>
      </c>
      <c r="C67" s="315"/>
      <c r="D67" s="304">
        <f>SUMIF($E$4:BN$4,$F$4,E67:BN67)</f>
        <v>0</v>
      </c>
      <c r="E67" s="316"/>
      <c r="F67" s="317"/>
      <c r="G67" s="316"/>
      <c r="H67" s="317"/>
      <c r="I67" s="316"/>
      <c r="J67" s="317"/>
      <c r="K67" s="316"/>
      <c r="L67" s="317"/>
      <c r="M67" s="316"/>
      <c r="N67" s="317"/>
      <c r="O67" s="316"/>
      <c r="P67" s="317"/>
      <c r="Q67" s="316"/>
      <c r="R67" s="317"/>
      <c r="S67" s="316"/>
      <c r="T67" s="317"/>
      <c r="U67" s="316"/>
      <c r="V67" s="317"/>
      <c r="W67" s="316"/>
      <c r="X67" s="317"/>
      <c r="Y67" s="316"/>
      <c r="Z67" s="317"/>
      <c r="AA67" s="316"/>
      <c r="AB67" s="317"/>
      <c r="AC67" s="316"/>
      <c r="AD67" s="317"/>
      <c r="AE67" s="316"/>
      <c r="AF67" s="317"/>
      <c r="AG67" s="316"/>
      <c r="AH67" s="317"/>
      <c r="AI67" s="316"/>
      <c r="AJ67" s="317"/>
      <c r="AK67" s="316"/>
      <c r="AL67" s="317"/>
      <c r="AM67" s="316"/>
      <c r="AN67" s="317"/>
      <c r="AO67" s="316"/>
      <c r="AP67" s="317"/>
      <c r="AQ67" s="316"/>
      <c r="AR67" s="317"/>
      <c r="AS67" s="316"/>
      <c r="AT67" s="317"/>
      <c r="AU67" s="316"/>
      <c r="AV67" s="317"/>
      <c r="AW67" s="316"/>
      <c r="AX67" s="317"/>
      <c r="AY67" s="316"/>
      <c r="AZ67" s="317"/>
      <c r="BA67" s="316"/>
      <c r="BB67" s="317"/>
      <c r="BC67" s="316"/>
      <c r="BD67" s="317"/>
      <c r="BE67" s="316"/>
      <c r="BF67" s="317"/>
      <c r="BG67" s="316"/>
      <c r="BH67" s="317"/>
      <c r="BI67" s="316"/>
      <c r="BJ67" s="317"/>
      <c r="BK67" s="316"/>
      <c r="BL67" s="317"/>
      <c r="BM67" s="316"/>
      <c r="BN67" s="318"/>
      <c r="BO67" s="289">
        <f ca="1">SUMIF(E$4:$BN66,$E$4,E67:BN67)</f>
        <v>0</v>
      </c>
      <c r="BP67" s="286">
        <f>+VLOOKUP(A67,'Tổng,SUMMARY'!C:K,8,0)</f>
        <v>3100</v>
      </c>
      <c r="BQ67" s="293">
        <f t="shared" si="31"/>
        <v>-3100</v>
      </c>
    </row>
    <row r="68" spans="1:69" ht="18" hidden="1" customHeight="1">
      <c r="A68" s="313" t="s">
        <v>118</v>
      </c>
      <c r="B68" s="314" t="s">
        <v>119</v>
      </c>
      <c r="C68" s="315"/>
      <c r="D68" s="304">
        <f>SUMIF($E$4:BN$4,$F$4,E68:BN68)</f>
        <v>0</v>
      </c>
      <c r="E68" s="316"/>
      <c r="F68" s="317"/>
      <c r="G68" s="316"/>
      <c r="H68" s="317"/>
      <c r="I68" s="316"/>
      <c r="J68" s="317"/>
      <c r="K68" s="316"/>
      <c r="L68" s="317"/>
      <c r="M68" s="316"/>
      <c r="N68" s="317"/>
      <c r="O68" s="316"/>
      <c r="P68" s="317"/>
      <c r="Q68" s="316"/>
      <c r="R68" s="317"/>
      <c r="S68" s="316"/>
      <c r="T68" s="317"/>
      <c r="U68" s="316"/>
      <c r="V68" s="317"/>
      <c r="W68" s="316"/>
      <c r="X68" s="317"/>
      <c r="Y68" s="316"/>
      <c r="Z68" s="317"/>
      <c r="AA68" s="316"/>
      <c r="AB68" s="317"/>
      <c r="AC68" s="316"/>
      <c r="AD68" s="317"/>
      <c r="AE68" s="316"/>
      <c r="AF68" s="317"/>
      <c r="AG68" s="316"/>
      <c r="AH68" s="317"/>
      <c r="AI68" s="316"/>
      <c r="AJ68" s="317"/>
      <c r="AK68" s="316"/>
      <c r="AL68" s="317"/>
      <c r="AM68" s="316"/>
      <c r="AN68" s="317"/>
      <c r="AO68" s="316"/>
      <c r="AP68" s="317"/>
      <c r="AQ68" s="316"/>
      <c r="AR68" s="317"/>
      <c r="AS68" s="316"/>
      <c r="AT68" s="317"/>
      <c r="AU68" s="316"/>
      <c r="AV68" s="317"/>
      <c r="AW68" s="316"/>
      <c r="AX68" s="317"/>
      <c r="AY68" s="316"/>
      <c r="AZ68" s="317"/>
      <c r="BA68" s="316"/>
      <c r="BB68" s="317"/>
      <c r="BC68" s="316"/>
      <c r="BD68" s="317"/>
      <c r="BE68" s="316"/>
      <c r="BF68" s="317"/>
      <c r="BG68" s="316"/>
      <c r="BH68" s="317"/>
      <c r="BI68" s="316"/>
      <c r="BJ68" s="317"/>
      <c r="BK68" s="316"/>
      <c r="BL68" s="317"/>
      <c r="BM68" s="316"/>
      <c r="BN68" s="318"/>
      <c r="BO68" s="289">
        <f ca="1">SUMIF(E$4:$BN67,$E$4,E68:BN68)</f>
        <v>0</v>
      </c>
      <c r="BP68" s="286">
        <f>+VLOOKUP(A68,'Tổng,SUMMARY'!C:K,8,0)</f>
        <v>17300</v>
      </c>
      <c r="BQ68" s="293">
        <f t="shared" si="31"/>
        <v>-17300</v>
      </c>
    </row>
    <row r="69" spans="1:69" ht="18" hidden="1" customHeight="1">
      <c r="A69" s="313" t="s">
        <v>120</v>
      </c>
      <c r="B69" s="314" t="s">
        <v>119</v>
      </c>
      <c r="C69" s="315"/>
      <c r="D69" s="304">
        <f>SUMIF($E$4:BN$4,$F$4,E69:BN69)</f>
        <v>0</v>
      </c>
      <c r="E69" s="316"/>
      <c r="F69" s="317"/>
      <c r="G69" s="316"/>
      <c r="H69" s="317"/>
      <c r="I69" s="316"/>
      <c r="J69" s="317"/>
      <c r="K69" s="316"/>
      <c r="L69" s="317"/>
      <c r="M69" s="316"/>
      <c r="N69" s="317"/>
      <c r="O69" s="316"/>
      <c r="P69" s="317"/>
      <c r="Q69" s="316"/>
      <c r="R69" s="317"/>
      <c r="S69" s="316"/>
      <c r="T69" s="317"/>
      <c r="U69" s="316"/>
      <c r="V69" s="317"/>
      <c r="W69" s="316"/>
      <c r="X69" s="317"/>
      <c r="Y69" s="316"/>
      <c r="Z69" s="317"/>
      <c r="AA69" s="316"/>
      <c r="AB69" s="317"/>
      <c r="AC69" s="316"/>
      <c r="AD69" s="317"/>
      <c r="AE69" s="316"/>
      <c r="AF69" s="317"/>
      <c r="AG69" s="316"/>
      <c r="AH69" s="317"/>
      <c r="AI69" s="316"/>
      <c r="AJ69" s="317"/>
      <c r="AK69" s="316"/>
      <c r="AL69" s="317"/>
      <c r="AM69" s="316"/>
      <c r="AN69" s="317"/>
      <c r="AO69" s="316"/>
      <c r="AP69" s="317"/>
      <c r="AQ69" s="316"/>
      <c r="AR69" s="317"/>
      <c r="AS69" s="316"/>
      <c r="AT69" s="317"/>
      <c r="AU69" s="316"/>
      <c r="AV69" s="317"/>
      <c r="AW69" s="316"/>
      <c r="AX69" s="317"/>
      <c r="AY69" s="316"/>
      <c r="AZ69" s="317"/>
      <c r="BA69" s="316"/>
      <c r="BB69" s="317"/>
      <c r="BC69" s="316"/>
      <c r="BD69" s="317"/>
      <c r="BE69" s="316"/>
      <c r="BF69" s="317"/>
      <c r="BG69" s="316"/>
      <c r="BH69" s="317"/>
      <c r="BI69" s="316"/>
      <c r="BJ69" s="317"/>
      <c r="BK69" s="316"/>
      <c r="BL69" s="317"/>
      <c r="BM69" s="316"/>
      <c r="BN69" s="318"/>
      <c r="BO69" s="289">
        <f ca="1">SUMIF(E$4:$BN68,$E$4,E69:BN69)</f>
        <v>0</v>
      </c>
      <c r="BP69" s="286">
        <f>+VLOOKUP(A69,'Tổng,SUMMARY'!C:K,8,0)</f>
        <v>0</v>
      </c>
      <c r="BQ69" s="293">
        <f t="shared" si="31"/>
        <v>0</v>
      </c>
    </row>
    <row r="70" spans="1:69" ht="18" hidden="1" customHeight="1">
      <c r="A70" s="313" t="s">
        <v>121</v>
      </c>
      <c r="B70" s="314" t="s">
        <v>122</v>
      </c>
      <c r="C70" s="315"/>
      <c r="D70" s="304">
        <f>SUMIF($E$4:BN$4,$F$4,E70:BN70)</f>
        <v>0</v>
      </c>
      <c r="E70" s="316"/>
      <c r="F70" s="317"/>
      <c r="G70" s="316"/>
      <c r="H70" s="317"/>
      <c r="I70" s="316"/>
      <c r="J70" s="317"/>
      <c r="K70" s="316"/>
      <c r="L70" s="317"/>
      <c r="M70" s="316"/>
      <c r="N70" s="317"/>
      <c r="O70" s="316"/>
      <c r="P70" s="317"/>
      <c r="Q70" s="316"/>
      <c r="R70" s="317"/>
      <c r="S70" s="316"/>
      <c r="T70" s="317"/>
      <c r="U70" s="316"/>
      <c r="V70" s="317"/>
      <c r="W70" s="316"/>
      <c r="X70" s="317"/>
      <c r="Y70" s="316"/>
      <c r="Z70" s="317"/>
      <c r="AA70" s="316"/>
      <c r="AB70" s="317"/>
      <c r="AC70" s="316"/>
      <c r="AD70" s="317"/>
      <c r="AE70" s="316"/>
      <c r="AF70" s="317"/>
      <c r="AG70" s="316"/>
      <c r="AH70" s="317"/>
      <c r="AI70" s="316"/>
      <c r="AJ70" s="317"/>
      <c r="AK70" s="316"/>
      <c r="AL70" s="317"/>
      <c r="AM70" s="316"/>
      <c r="AN70" s="317"/>
      <c r="AO70" s="316"/>
      <c r="AP70" s="317"/>
      <c r="AQ70" s="316"/>
      <c r="AR70" s="317"/>
      <c r="AS70" s="316"/>
      <c r="AT70" s="317"/>
      <c r="AU70" s="316"/>
      <c r="AV70" s="317"/>
      <c r="AW70" s="316"/>
      <c r="AX70" s="317"/>
      <c r="AY70" s="316"/>
      <c r="AZ70" s="317"/>
      <c r="BA70" s="316"/>
      <c r="BB70" s="317"/>
      <c r="BC70" s="316"/>
      <c r="BD70" s="317"/>
      <c r="BE70" s="316"/>
      <c r="BF70" s="317"/>
      <c r="BG70" s="316"/>
      <c r="BH70" s="317"/>
      <c r="BI70" s="316"/>
      <c r="BJ70" s="317"/>
      <c r="BK70" s="316"/>
      <c r="BL70" s="317"/>
      <c r="BM70" s="316"/>
      <c r="BN70" s="318"/>
      <c r="BO70" s="289">
        <f ca="1">SUMIF(E$4:$BN69,$E$4,E70:BN70)</f>
        <v>0</v>
      </c>
      <c r="BP70" s="286">
        <f>+VLOOKUP(A70,'Tổng,SUMMARY'!C:K,8,0)</f>
        <v>0</v>
      </c>
      <c r="BQ70" s="293">
        <f t="shared" si="31"/>
        <v>0</v>
      </c>
    </row>
    <row r="71" spans="1:69" ht="18" hidden="1" customHeight="1">
      <c r="A71" s="313" t="s">
        <v>123</v>
      </c>
      <c r="B71" s="314" t="s">
        <v>124</v>
      </c>
      <c r="C71" s="315"/>
      <c r="D71" s="304">
        <f>SUMIF($E$4:BN$4,$F$4,E71:BN71)</f>
        <v>0</v>
      </c>
      <c r="E71" s="316"/>
      <c r="F71" s="317"/>
      <c r="G71" s="316"/>
      <c r="H71" s="317"/>
      <c r="I71" s="316"/>
      <c r="J71" s="317"/>
      <c r="K71" s="316"/>
      <c r="L71" s="317"/>
      <c r="M71" s="316"/>
      <c r="N71" s="317"/>
      <c r="O71" s="316"/>
      <c r="P71" s="317"/>
      <c r="Q71" s="316"/>
      <c r="R71" s="317"/>
      <c r="S71" s="316"/>
      <c r="T71" s="317"/>
      <c r="U71" s="316"/>
      <c r="V71" s="317"/>
      <c r="W71" s="316"/>
      <c r="X71" s="317"/>
      <c r="Y71" s="316"/>
      <c r="Z71" s="317"/>
      <c r="AA71" s="316"/>
      <c r="AB71" s="317"/>
      <c r="AC71" s="316"/>
      <c r="AD71" s="317"/>
      <c r="AE71" s="316"/>
      <c r="AF71" s="317"/>
      <c r="AG71" s="316"/>
      <c r="AH71" s="317"/>
      <c r="AI71" s="316"/>
      <c r="AJ71" s="317"/>
      <c r="AK71" s="316"/>
      <c r="AL71" s="317"/>
      <c r="AM71" s="316"/>
      <c r="AN71" s="317"/>
      <c r="AO71" s="316"/>
      <c r="AP71" s="317"/>
      <c r="AQ71" s="316"/>
      <c r="AR71" s="317"/>
      <c r="AS71" s="316"/>
      <c r="AT71" s="317"/>
      <c r="AU71" s="316"/>
      <c r="AV71" s="317"/>
      <c r="AW71" s="316"/>
      <c r="AX71" s="317"/>
      <c r="AY71" s="316"/>
      <c r="AZ71" s="317"/>
      <c r="BA71" s="316"/>
      <c r="BB71" s="317"/>
      <c r="BC71" s="316"/>
      <c r="BD71" s="317"/>
      <c r="BE71" s="316"/>
      <c r="BF71" s="317"/>
      <c r="BG71" s="316"/>
      <c r="BH71" s="317"/>
      <c r="BI71" s="316"/>
      <c r="BJ71" s="317"/>
      <c r="BK71" s="316"/>
      <c r="BL71" s="317"/>
      <c r="BM71" s="316"/>
      <c r="BN71" s="318"/>
      <c r="BO71" s="289">
        <f ca="1">SUMIF(E$4:$BN70,$E$4,E71:BN71)</f>
        <v>0</v>
      </c>
      <c r="BP71" s="286">
        <f>+VLOOKUP(A71,'Tổng,SUMMARY'!C:K,8,0)</f>
        <v>0</v>
      </c>
      <c r="BQ71" s="293">
        <f t="shared" si="31"/>
        <v>0</v>
      </c>
    </row>
    <row r="72" spans="1:69" ht="18" hidden="1" customHeight="1">
      <c r="A72" s="313" t="s">
        <v>125</v>
      </c>
      <c r="B72" s="314" t="s">
        <v>126</v>
      </c>
      <c r="C72" s="315"/>
      <c r="D72" s="304">
        <f>SUMIF($E$4:BN$4,$F$4,E72:BN72)</f>
        <v>0</v>
      </c>
      <c r="E72" s="316"/>
      <c r="F72" s="317"/>
      <c r="G72" s="316"/>
      <c r="H72" s="317"/>
      <c r="I72" s="316"/>
      <c r="J72" s="317"/>
      <c r="K72" s="316"/>
      <c r="L72" s="317"/>
      <c r="M72" s="316"/>
      <c r="N72" s="317"/>
      <c r="O72" s="316"/>
      <c r="P72" s="317"/>
      <c r="Q72" s="316"/>
      <c r="R72" s="317"/>
      <c r="S72" s="316"/>
      <c r="T72" s="317"/>
      <c r="U72" s="316"/>
      <c r="V72" s="317"/>
      <c r="W72" s="316"/>
      <c r="X72" s="317"/>
      <c r="Y72" s="316"/>
      <c r="Z72" s="317"/>
      <c r="AA72" s="316"/>
      <c r="AB72" s="317"/>
      <c r="AC72" s="316"/>
      <c r="AD72" s="317"/>
      <c r="AE72" s="316"/>
      <c r="AF72" s="317"/>
      <c r="AG72" s="316"/>
      <c r="AH72" s="317"/>
      <c r="AI72" s="316"/>
      <c r="AJ72" s="317"/>
      <c r="AK72" s="316"/>
      <c r="AL72" s="317"/>
      <c r="AM72" s="316"/>
      <c r="AN72" s="317"/>
      <c r="AO72" s="316"/>
      <c r="AP72" s="317"/>
      <c r="AQ72" s="316"/>
      <c r="AR72" s="317"/>
      <c r="AS72" s="316"/>
      <c r="AT72" s="317"/>
      <c r="AU72" s="316"/>
      <c r="AV72" s="317"/>
      <c r="AW72" s="316"/>
      <c r="AX72" s="317"/>
      <c r="AY72" s="316"/>
      <c r="AZ72" s="317"/>
      <c r="BA72" s="316"/>
      <c r="BB72" s="317"/>
      <c r="BC72" s="316"/>
      <c r="BD72" s="317"/>
      <c r="BE72" s="316"/>
      <c r="BF72" s="317"/>
      <c r="BG72" s="316"/>
      <c r="BH72" s="317"/>
      <c r="BI72" s="316"/>
      <c r="BJ72" s="317"/>
      <c r="BK72" s="316"/>
      <c r="BL72" s="317"/>
      <c r="BM72" s="316"/>
      <c r="BN72" s="318"/>
      <c r="BO72" s="289">
        <f ca="1">SUMIF(E$4:$BN71,$E$4,E72:BN72)</f>
        <v>0</v>
      </c>
      <c r="BP72" s="286">
        <f>+VLOOKUP(A72,'Tổng,SUMMARY'!C:K,8,0)</f>
        <v>400</v>
      </c>
      <c r="BQ72" s="293">
        <f t="shared" ref="BQ72:BQ137" si="32">+D72-BP72</f>
        <v>-400</v>
      </c>
    </row>
    <row r="73" spans="1:69" ht="18" hidden="1" customHeight="1">
      <c r="A73" s="313" t="s">
        <v>127</v>
      </c>
      <c r="B73" s="314" t="s">
        <v>128</v>
      </c>
      <c r="C73" s="315"/>
      <c r="D73" s="304">
        <f>SUMIF($E$4:BN$4,$F$4,E73:BN73)</f>
        <v>0</v>
      </c>
      <c r="E73" s="316"/>
      <c r="F73" s="317"/>
      <c r="G73" s="316"/>
      <c r="H73" s="317"/>
      <c r="I73" s="316"/>
      <c r="J73" s="317"/>
      <c r="K73" s="316"/>
      <c r="L73" s="317"/>
      <c r="M73" s="316"/>
      <c r="N73" s="317"/>
      <c r="O73" s="316"/>
      <c r="P73" s="317"/>
      <c r="Q73" s="316"/>
      <c r="R73" s="317"/>
      <c r="S73" s="316"/>
      <c r="T73" s="317"/>
      <c r="U73" s="316"/>
      <c r="V73" s="317"/>
      <c r="W73" s="316"/>
      <c r="X73" s="317"/>
      <c r="Y73" s="316"/>
      <c r="Z73" s="317"/>
      <c r="AA73" s="316"/>
      <c r="AB73" s="317"/>
      <c r="AC73" s="316"/>
      <c r="AD73" s="317"/>
      <c r="AE73" s="316"/>
      <c r="AF73" s="317"/>
      <c r="AG73" s="316"/>
      <c r="AH73" s="317"/>
      <c r="AI73" s="316"/>
      <c r="AJ73" s="317"/>
      <c r="AK73" s="316"/>
      <c r="AL73" s="317"/>
      <c r="AM73" s="316"/>
      <c r="AN73" s="317"/>
      <c r="AO73" s="316"/>
      <c r="AP73" s="317"/>
      <c r="AQ73" s="316"/>
      <c r="AR73" s="317"/>
      <c r="AS73" s="316"/>
      <c r="AT73" s="317"/>
      <c r="AU73" s="316"/>
      <c r="AV73" s="317"/>
      <c r="AW73" s="316"/>
      <c r="AX73" s="317"/>
      <c r="AY73" s="316"/>
      <c r="AZ73" s="317"/>
      <c r="BA73" s="316"/>
      <c r="BB73" s="317"/>
      <c r="BC73" s="316"/>
      <c r="BD73" s="317"/>
      <c r="BE73" s="316"/>
      <c r="BF73" s="317"/>
      <c r="BG73" s="316"/>
      <c r="BH73" s="317"/>
      <c r="BI73" s="316"/>
      <c r="BJ73" s="317"/>
      <c r="BK73" s="316"/>
      <c r="BL73" s="317"/>
      <c r="BM73" s="316"/>
      <c r="BN73" s="318"/>
      <c r="BO73" s="289">
        <f ca="1">SUMIF(E$4:$BN72,$E$4,E73:BN73)</f>
        <v>0</v>
      </c>
      <c r="BP73" s="286">
        <f>+VLOOKUP(A73,'Tổng,SUMMARY'!C:K,8,0)</f>
        <v>250</v>
      </c>
      <c r="BQ73" s="293">
        <f t="shared" si="32"/>
        <v>-250</v>
      </c>
    </row>
    <row r="74" spans="1:69" ht="18" hidden="1" customHeight="1">
      <c r="A74" s="313" t="s">
        <v>129</v>
      </c>
      <c r="B74" s="314" t="s">
        <v>130</v>
      </c>
      <c r="C74" s="315"/>
      <c r="D74" s="304">
        <f>SUMIF($E$4:BN$4,$F$4,E74:BN74)</f>
        <v>0</v>
      </c>
      <c r="E74" s="316"/>
      <c r="F74" s="317"/>
      <c r="G74" s="316"/>
      <c r="H74" s="317"/>
      <c r="I74" s="316"/>
      <c r="J74" s="317"/>
      <c r="K74" s="316"/>
      <c r="L74" s="317"/>
      <c r="M74" s="316"/>
      <c r="N74" s="317"/>
      <c r="O74" s="328"/>
      <c r="P74" s="317"/>
      <c r="Q74" s="316"/>
      <c r="R74" s="317"/>
      <c r="S74" s="316"/>
      <c r="T74" s="317"/>
      <c r="U74" s="316"/>
      <c r="V74" s="317"/>
      <c r="W74" s="316"/>
      <c r="X74" s="317"/>
      <c r="Y74" s="316"/>
      <c r="Z74" s="317"/>
      <c r="AA74" s="316"/>
      <c r="AB74" s="317"/>
      <c r="AC74" s="316"/>
      <c r="AD74" s="317"/>
      <c r="AE74" s="316"/>
      <c r="AF74" s="317"/>
      <c r="AG74" s="316"/>
      <c r="AH74" s="317"/>
      <c r="AI74" s="316"/>
      <c r="AJ74" s="317"/>
      <c r="AK74" s="316"/>
      <c r="AL74" s="317"/>
      <c r="AM74" s="316"/>
      <c r="AN74" s="317"/>
      <c r="AO74" s="316"/>
      <c r="AP74" s="317"/>
      <c r="AQ74" s="316"/>
      <c r="AR74" s="317"/>
      <c r="AS74" s="316"/>
      <c r="AT74" s="317"/>
      <c r="AU74" s="316"/>
      <c r="AV74" s="317"/>
      <c r="AW74" s="316"/>
      <c r="AX74" s="317"/>
      <c r="AY74" s="316"/>
      <c r="AZ74" s="317"/>
      <c r="BA74" s="316"/>
      <c r="BB74" s="317"/>
      <c r="BC74" s="316"/>
      <c r="BD74" s="317"/>
      <c r="BE74" s="316"/>
      <c r="BF74" s="317"/>
      <c r="BG74" s="316"/>
      <c r="BH74" s="317"/>
      <c r="BI74" s="316"/>
      <c r="BJ74" s="317"/>
      <c r="BK74" s="316"/>
      <c r="BL74" s="317"/>
      <c r="BM74" s="316"/>
      <c r="BN74" s="318"/>
      <c r="BO74" s="289">
        <f ca="1">SUMIF(E$4:$BN73,$E$4,E74:BN74)</f>
        <v>0</v>
      </c>
      <c r="BP74" s="286">
        <f>+VLOOKUP(A74,'Tổng,SUMMARY'!C:K,8,0)</f>
        <v>1500</v>
      </c>
      <c r="BQ74" s="293">
        <f t="shared" si="32"/>
        <v>-1500</v>
      </c>
    </row>
    <row r="75" spans="1:69" ht="18" hidden="1" customHeight="1">
      <c r="A75" s="313" t="s">
        <v>131</v>
      </c>
      <c r="B75" s="314" t="s">
        <v>132</v>
      </c>
      <c r="C75" s="315"/>
      <c r="D75" s="304">
        <f>SUMIF($E$4:BN$4,$F$4,E75:BN75)</f>
        <v>0</v>
      </c>
      <c r="E75" s="316"/>
      <c r="F75" s="317"/>
      <c r="G75" s="316"/>
      <c r="H75" s="317"/>
      <c r="I75" s="316"/>
      <c r="J75" s="317"/>
      <c r="K75" s="316"/>
      <c r="L75" s="317"/>
      <c r="M75" s="316"/>
      <c r="N75" s="317"/>
      <c r="O75" s="316"/>
      <c r="P75" s="317"/>
      <c r="Q75" s="316"/>
      <c r="R75" s="317"/>
      <c r="S75" s="316"/>
      <c r="T75" s="317"/>
      <c r="U75" s="316"/>
      <c r="V75" s="317"/>
      <c r="W75" s="316"/>
      <c r="X75" s="317"/>
      <c r="Y75" s="316"/>
      <c r="Z75" s="317"/>
      <c r="AA75" s="316"/>
      <c r="AB75" s="317"/>
      <c r="AC75" s="316"/>
      <c r="AD75" s="317"/>
      <c r="AE75" s="316"/>
      <c r="AF75" s="317"/>
      <c r="AG75" s="316"/>
      <c r="AH75" s="317"/>
      <c r="AI75" s="316"/>
      <c r="AJ75" s="317"/>
      <c r="AK75" s="316"/>
      <c r="AL75" s="317"/>
      <c r="AM75" s="316"/>
      <c r="AN75" s="317"/>
      <c r="AO75" s="316"/>
      <c r="AP75" s="317"/>
      <c r="AQ75" s="316"/>
      <c r="AR75" s="317"/>
      <c r="AS75" s="316"/>
      <c r="AT75" s="317"/>
      <c r="AU75" s="316"/>
      <c r="AV75" s="317"/>
      <c r="AW75" s="316"/>
      <c r="AX75" s="317"/>
      <c r="AY75" s="316"/>
      <c r="AZ75" s="317"/>
      <c r="BA75" s="316"/>
      <c r="BB75" s="317"/>
      <c r="BC75" s="316"/>
      <c r="BD75" s="317"/>
      <c r="BE75" s="316"/>
      <c r="BF75" s="317"/>
      <c r="BG75" s="316"/>
      <c r="BH75" s="317"/>
      <c r="BI75" s="316"/>
      <c r="BJ75" s="317"/>
      <c r="BK75" s="316"/>
      <c r="BL75" s="317"/>
      <c r="BM75" s="316"/>
      <c r="BN75" s="318"/>
      <c r="BO75" s="289">
        <f ca="1">SUMIF(E$4:$BN74,$E$4,E75:BN75)</f>
        <v>0</v>
      </c>
      <c r="BP75" s="286">
        <f>+VLOOKUP(A75,'Tổng,SUMMARY'!C:K,8,0)</f>
        <v>0</v>
      </c>
      <c r="BQ75" s="293">
        <f t="shared" si="32"/>
        <v>0</v>
      </c>
    </row>
    <row r="76" spans="1:69" ht="18" hidden="1" customHeight="1">
      <c r="A76" s="313" t="s">
        <v>133</v>
      </c>
      <c r="B76" s="314" t="s">
        <v>134</v>
      </c>
      <c r="C76" s="315"/>
      <c r="D76" s="304">
        <f>SUMIF($E$4:BN$4,$F$4,E76:BN76)</f>
        <v>0</v>
      </c>
      <c r="E76" s="316"/>
      <c r="F76" s="317"/>
      <c r="G76" s="316"/>
      <c r="H76" s="317"/>
      <c r="I76" s="316"/>
      <c r="J76" s="317"/>
      <c r="K76" s="316"/>
      <c r="L76" s="317"/>
      <c r="M76" s="316"/>
      <c r="N76" s="317"/>
      <c r="O76" s="316"/>
      <c r="P76" s="317"/>
      <c r="Q76" s="316"/>
      <c r="R76" s="317"/>
      <c r="S76" s="316"/>
      <c r="T76" s="317"/>
      <c r="U76" s="316"/>
      <c r="V76" s="317"/>
      <c r="W76" s="316"/>
      <c r="X76" s="317"/>
      <c r="Y76" s="316"/>
      <c r="Z76" s="317"/>
      <c r="AA76" s="316"/>
      <c r="AB76" s="317"/>
      <c r="AC76" s="316"/>
      <c r="AD76" s="317"/>
      <c r="AE76" s="316"/>
      <c r="AF76" s="317"/>
      <c r="AG76" s="316"/>
      <c r="AH76" s="317"/>
      <c r="AI76" s="316"/>
      <c r="AJ76" s="317"/>
      <c r="AK76" s="316"/>
      <c r="AL76" s="317"/>
      <c r="AM76" s="316"/>
      <c r="AN76" s="317"/>
      <c r="AO76" s="316"/>
      <c r="AP76" s="317"/>
      <c r="AQ76" s="316"/>
      <c r="AR76" s="317"/>
      <c r="AS76" s="316"/>
      <c r="AT76" s="317"/>
      <c r="AU76" s="316"/>
      <c r="AV76" s="317"/>
      <c r="AW76" s="316"/>
      <c r="AX76" s="317"/>
      <c r="AY76" s="316"/>
      <c r="AZ76" s="317"/>
      <c r="BA76" s="316"/>
      <c r="BB76" s="317"/>
      <c r="BC76" s="316"/>
      <c r="BD76" s="317"/>
      <c r="BE76" s="316"/>
      <c r="BF76" s="317"/>
      <c r="BG76" s="316"/>
      <c r="BH76" s="317"/>
      <c r="BI76" s="316"/>
      <c r="BJ76" s="317"/>
      <c r="BK76" s="316"/>
      <c r="BL76" s="317"/>
      <c r="BM76" s="316"/>
      <c r="BN76" s="318"/>
      <c r="BO76" s="289">
        <f ca="1">SUMIF(E$4:$BN75,$E$4,E76:BN76)</f>
        <v>0</v>
      </c>
      <c r="BP76" s="286">
        <f>+VLOOKUP(A76,'Tổng,SUMMARY'!C:K,8,0)</f>
        <v>450</v>
      </c>
      <c r="BQ76" s="293">
        <f t="shared" si="32"/>
        <v>-450</v>
      </c>
    </row>
    <row r="77" spans="1:69" ht="18" hidden="1" customHeight="1">
      <c r="A77" s="313" t="s">
        <v>135</v>
      </c>
      <c r="B77" s="314" t="s">
        <v>136</v>
      </c>
      <c r="C77" s="315"/>
      <c r="D77" s="304">
        <f>SUMIF($E$4:BN$4,$F$4,E77:BN77)</f>
        <v>0</v>
      </c>
      <c r="E77" s="316"/>
      <c r="F77" s="317"/>
      <c r="G77" s="316"/>
      <c r="H77" s="317"/>
      <c r="I77" s="316"/>
      <c r="J77" s="317"/>
      <c r="K77" s="316"/>
      <c r="L77" s="317"/>
      <c r="M77" s="316"/>
      <c r="N77" s="317"/>
      <c r="O77" s="316"/>
      <c r="P77" s="317"/>
      <c r="Q77" s="316"/>
      <c r="R77" s="317"/>
      <c r="S77" s="316"/>
      <c r="T77" s="317"/>
      <c r="U77" s="316"/>
      <c r="V77" s="317"/>
      <c r="W77" s="316"/>
      <c r="X77" s="317"/>
      <c r="Y77" s="316"/>
      <c r="Z77" s="317"/>
      <c r="AA77" s="316"/>
      <c r="AB77" s="317"/>
      <c r="AC77" s="316"/>
      <c r="AD77" s="317"/>
      <c r="AE77" s="316"/>
      <c r="AF77" s="317"/>
      <c r="AG77" s="316"/>
      <c r="AH77" s="317"/>
      <c r="AI77" s="316"/>
      <c r="AJ77" s="317"/>
      <c r="AK77" s="316"/>
      <c r="AL77" s="317"/>
      <c r="AM77" s="316"/>
      <c r="AN77" s="317"/>
      <c r="AO77" s="316"/>
      <c r="AP77" s="317"/>
      <c r="AQ77" s="316"/>
      <c r="AR77" s="317"/>
      <c r="AS77" s="316"/>
      <c r="AT77" s="317"/>
      <c r="AU77" s="316"/>
      <c r="AV77" s="317"/>
      <c r="AW77" s="316"/>
      <c r="AX77" s="317"/>
      <c r="AY77" s="316"/>
      <c r="AZ77" s="317"/>
      <c r="BA77" s="316"/>
      <c r="BB77" s="317"/>
      <c r="BC77" s="316"/>
      <c r="BD77" s="317"/>
      <c r="BE77" s="316"/>
      <c r="BF77" s="317"/>
      <c r="BG77" s="316"/>
      <c r="BH77" s="317"/>
      <c r="BI77" s="316"/>
      <c r="BJ77" s="317"/>
      <c r="BK77" s="316"/>
      <c r="BL77" s="317"/>
      <c r="BM77" s="316"/>
      <c r="BN77" s="318"/>
      <c r="BO77" s="289">
        <f ca="1">SUMIF(E$4:$BN76,$E$4,E77:BN77)</f>
        <v>0</v>
      </c>
      <c r="BP77" s="286">
        <f>+VLOOKUP(A77,'Tổng,SUMMARY'!C:K,8,0)</f>
        <v>300</v>
      </c>
      <c r="BQ77" s="293">
        <f t="shared" si="32"/>
        <v>-300</v>
      </c>
    </row>
    <row r="78" spans="1:69" ht="18" hidden="1" customHeight="1">
      <c r="A78" s="313" t="s">
        <v>137</v>
      </c>
      <c r="B78" s="314" t="s">
        <v>138</v>
      </c>
      <c r="C78" s="315"/>
      <c r="D78" s="304">
        <f>SUMIF($E$4:BN$4,$F$4,E78:BN78)</f>
        <v>0</v>
      </c>
      <c r="E78" s="316"/>
      <c r="F78" s="317"/>
      <c r="G78" s="316"/>
      <c r="H78" s="317"/>
      <c r="I78" s="316"/>
      <c r="J78" s="317"/>
      <c r="K78" s="316"/>
      <c r="L78" s="317"/>
      <c r="M78" s="316"/>
      <c r="N78" s="317"/>
      <c r="O78" s="316"/>
      <c r="P78" s="317"/>
      <c r="Q78" s="316"/>
      <c r="R78" s="317"/>
      <c r="S78" s="316"/>
      <c r="T78" s="317"/>
      <c r="U78" s="316"/>
      <c r="V78" s="317"/>
      <c r="W78" s="316"/>
      <c r="X78" s="317"/>
      <c r="Y78" s="316"/>
      <c r="Z78" s="317"/>
      <c r="AA78" s="316"/>
      <c r="AB78" s="317"/>
      <c r="AC78" s="316"/>
      <c r="AD78" s="317"/>
      <c r="AE78" s="316"/>
      <c r="AF78" s="317"/>
      <c r="AG78" s="316"/>
      <c r="AH78" s="317"/>
      <c r="AI78" s="316"/>
      <c r="AJ78" s="317"/>
      <c r="AK78" s="316"/>
      <c r="AL78" s="317"/>
      <c r="AM78" s="316"/>
      <c r="AN78" s="317"/>
      <c r="AO78" s="316"/>
      <c r="AP78" s="317"/>
      <c r="AQ78" s="316"/>
      <c r="AR78" s="317"/>
      <c r="AS78" s="316"/>
      <c r="AT78" s="317"/>
      <c r="AU78" s="316"/>
      <c r="AV78" s="317"/>
      <c r="AW78" s="316"/>
      <c r="AX78" s="317"/>
      <c r="AY78" s="316"/>
      <c r="AZ78" s="317"/>
      <c r="BA78" s="316"/>
      <c r="BB78" s="317"/>
      <c r="BC78" s="316"/>
      <c r="BD78" s="317"/>
      <c r="BE78" s="316"/>
      <c r="BF78" s="317"/>
      <c r="BG78" s="316"/>
      <c r="BH78" s="317"/>
      <c r="BI78" s="316"/>
      <c r="BJ78" s="317"/>
      <c r="BK78" s="316"/>
      <c r="BL78" s="317"/>
      <c r="BM78" s="316"/>
      <c r="BN78" s="318"/>
      <c r="BO78" s="289">
        <f ca="1">SUMIF(E$4:$BN77,$E$4,E78:BN78)</f>
        <v>0</v>
      </c>
      <c r="BP78" s="286">
        <f>+VLOOKUP(A78,'Tổng,SUMMARY'!C:K,8,0)</f>
        <v>450</v>
      </c>
      <c r="BQ78" s="293">
        <f t="shared" si="32"/>
        <v>-450</v>
      </c>
    </row>
    <row r="79" spans="1:69" ht="18" hidden="1" customHeight="1">
      <c r="A79" s="313" t="s">
        <v>139</v>
      </c>
      <c r="B79" s="314" t="s">
        <v>140</v>
      </c>
      <c r="C79" s="315"/>
      <c r="D79" s="304">
        <f>SUMIF($E$4:BN$4,$F$4,E79:BN79)</f>
        <v>0</v>
      </c>
      <c r="E79" s="316"/>
      <c r="F79" s="317"/>
      <c r="G79" s="316"/>
      <c r="H79" s="317"/>
      <c r="I79" s="316"/>
      <c r="J79" s="317"/>
      <c r="K79" s="316"/>
      <c r="L79" s="317"/>
      <c r="M79" s="316"/>
      <c r="N79" s="317"/>
      <c r="O79" s="316"/>
      <c r="P79" s="317"/>
      <c r="Q79" s="316"/>
      <c r="R79" s="317"/>
      <c r="S79" s="316"/>
      <c r="T79" s="317"/>
      <c r="U79" s="316"/>
      <c r="V79" s="317"/>
      <c r="W79" s="316"/>
      <c r="X79" s="317"/>
      <c r="Y79" s="316"/>
      <c r="Z79" s="317"/>
      <c r="AA79" s="316"/>
      <c r="AB79" s="317"/>
      <c r="AC79" s="316"/>
      <c r="AD79" s="317"/>
      <c r="AE79" s="316"/>
      <c r="AF79" s="317"/>
      <c r="AG79" s="316"/>
      <c r="AH79" s="317"/>
      <c r="AI79" s="316"/>
      <c r="AJ79" s="317"/>
      <c r="AK79" s="316"/>
      <c r="AL79" s="317"/>
      <c r="AM79" s="316"/>
      <c r="AN79" s="317"/>
      <c r="AO79" s="316"/>
      <c r="AP79" s="317"/>
      <c r="AQ79" s="316"/>
      <c r="AR79" s="317"/>
      <c r="AS79" s="316"/>
      <c r="AT79" s="317"/>
      <c r="AU79" s="316"/>
      <c r="AV79" s="317"/>
      <c r="AW79" s="316"/>
      <c r="AX79" s="317"/>
      <c r="AY79" s="316"/>
      <c r="AZ79" s="317"/>
      <c r="BA79" s="316"/>
      <c r="BB79" s="317"/>
      <c r="BC79" s="316"/>
      <c r="BD79" s="317"/>
      <c r="BE79" s="316"/>
      <c r="BF79" s="317"/>
      <c r="BG79" s="316"/>
      <c r="BH79" s="317"/>
      <c r="BI79" s="316"/>
      <c r="BJ79" s="317"/>
      <c r="BK79" s="316"/>
      <c r="BL79" s="317"/>
      <c r="BM79" s="316"/>
      <c r="BN79" s="318"/>
      <c r="BO79" s="289">
        <f ca="1">SUMIF(E$4:$BN78,$E$4,E79:BN79)</f>
        <v>0</v>
      </c>
      <c r="BP79" s="286">
        <f>+VLOOKUP(A79,'Tổng,SUMMARY'!C:K,8,0)</f>
        <v>0</v>
      </c>
      <c r="BQ79" s="293">
        <f t="shared" si="32"/>
        <v>0</v>
      </c>
    </row>
    <row r="80" spans="1:69" ht="18" hidden="1" customHeight="1">
      <c r="A80" s="329" t="s">
        <v>141</v>
      </c>
      <c r="B80" s="330" t="s">
        <v>142</v>
      </c>
      <c r="C80" s="315"/>
      <c r="D80" s="304">
        <f>SUMIF($E$4:BN$4,$F$4,E80:BN80)</f>
        <v>0</v>
      </c>
      <c r="E80" s="316"/>
      <c r="F80" s="317"/>
      <c r="G80" s="316"/>
      <c r="H80" s="317"/>
      <c r="I80" s="316"/>
      <c r="J80" s="317"/>
      <c r="K80" s="316"/>
      <c r="L80" s="317"/>
      <c r="M80" s="316"/>
      <c r="N80" s="317"/>
      <c r="O80" s="316"/>
      <c r="P80" s="317"/>
      <c r="Q80" s="316"/>
      <c r="R80" s="317"/>
      <c r="S80" s="316"/>
      <c r="T80" s="317"/>
      <c r="U80" s="316"/>
      <c r="V80" s="317"/>
      <c r="W80" s="316"/>
      <c r="X80" s="317"/>
      <c r="Y80" s="316"/>
      <c r="Z80" s="317"/>
      <c r="AA80" s="316"/>
      <c r="AB80" s="317"/>
      <c r="AC80" s="316"/>
      <c r="AD80" s="317"/>
      <c r="AE80" s="316"/>
      <c r="AF80" s="317"/>
      <c r="AG80" s="316"/>
      <c r="AH80" s="317"/>
      <c r="AI80" s="316"/>
      <c r="AJ80" s="317"/>
      <c r="AK80" s="316"/>
      <c r="AL80" s="317"/>
      <c r="AM80" s="316"/>
      <c r="AN80" s="317"/>
      <c r="AO80" s="316"/>
      <c r="AP80" s="317"/>
      <c r="AQ80" s="316"/>
      <c r="AR80" s="317"/>
      <c r="AS80" s="316"/>
      <c r="AT80" s="317"/>
      <c r="AU80" s="316"/>
      <c r="AV80" s="317"/>
      <c r="AW80" s="316"/>
      <c r="AX80" s="317"/>
      <c r="AY80" s="316"/>
      <c r="AZ80" s="317"/>
      <c r="BA80" s="316"/>
      <c r="BB80" s="317"/>
      <c r="BC80" s="316"/>
      <c r="BD80" s="317"/>
      <c r="BE80" s="316"/>
      <c r="BF80" s="317"/>
      <c r="BG80" s="316"/>
      <c r="BH80" s="317"/>
      <c r="BI80" s="316"/>
      <c r="BJ80" s="317"/>
      <c r="BK80" s="316"/>
      <c r="BL80" s="317"/>
      <c r="BM80" s="316"/>
      <c r="BN80" s="318"/>
      <c r="BO80" s="289">
        <f ca="1">SUMIF(E$4:$BN79,$E$4,E80:BN80)</f>
        <v>0</v>
      </c>
      <c r="BP80" s="286">
        <f>+VLOOKUP(A80,'Tổng,SUMMARY'!C:K,8,0)</f>
        <v>0</v>
      </c>
      <c r="BQ80" s="293">
        <f t="shared" si="32"/>
        <v>0</v>
      </c>
    </row>
    <row r="81" spans="1:69" ht="18" hidden="1" customHeight="1">
      <c r="A81" s="313" t="s">
        <v>143</v>
      </c>
      <c r="B81" s="314" t="s">
        <v>144</v>
      </c>
      <c r="C81" s="315"/>
      <c r="D81" s="304">
        <f>SUMIF($E$4:BN$4,$F$4,E81:BN81)</f>
        <v>0</v>
      </c>
      <c r="E81" s="316"/>
      <c r="F81" s="317"/>
      <c r="G81" s="316"/>
      <c r="H81" s="317"/>
      <c r="I81" s="316"/>
      <c r="J81" s="317"/>
      <c r="K81" s="316"/>
      <c r="L81" s="317"/>
      <c r="M81" s="316"/>
      <c r="N81" s="317"/>
      <c r="O81" s="316"/>
      <c r="P81" s="317"/>
      <c r="Q81" s="316"/>
      <c r="R81" s="317"/>
      <c r="S81" s="316"/>
      <c r="T81" s="317"/>
      <c r="U81" s="316"/>
      <c r="V81" s="317"/>
      <c r="W81" s="316"/>
      <c r="X81" s="317"/>
      <c r="Y81" s="316"/>
      <c r="Z81" s="317"/>
      <c r="AA81" s="316"/>
      <c r="AB81" s="317"/>
      <c r="AC81" s="316"/>
      <c r="AD81" s="317"/>
      <c r="AE81" s="316"/>
      <c r="AF81" s="317"/>
      <c r="AG81" s="316"/>
      <c r="AH81" s="317"/>
      <c r="AI81" s="316"/>
      <c r="AJ81" s="317"/>
      <c r="AK81" s="316"/>
      <c r="AL81" s="317"/>
      <c r="AM81" s="316"/>
      <c r="AN81" s="317"/>
      <c r="AO81" s="316"/>
      <c r="AP81" s="317"/>
      <c r="AQ81" s="316"/>
      <c r="AR81" s="317"/>
      <c r="AS81" s="316"/>
      <c r="AT81" s="317"/>
      <c r="AU81" s="316"/>
      <c r="AV81" s="317"/>
      <c r="AW81" s="316"/>
      <c r="AX81" s="317"/>
      <c r="AY81" s="316"/>
      <c r="AZ81" s="317"/>
      <c r="BA81" s="316"/>
      <c r="BB81" s="317"/>
      <c r="BC81" s="316"/>
      <c r="BD81" s="317"/>
      <c r="BE81" s="316"/>
      <c r="BF81" s="317"/>
      <c r="BG81" s="316"/>
      <c r="BH81" s="317"/>
      <c r="BI81" s="316"/>
      <c r="BJ81" s="317"/>
      <c r="BK81" s="316"/>
      <c r="BL81" s="317"/>
      <c r="BM81" s="316"/>
      <c r="BN81" s="318"/>
      <c r="BO81" s="289">
        <f ca="1">SUMIF(E$4:$BN80,$E$4,E81:BN81)</f>
        <v>0</v>
      </c>
      <c r="BP81" s="286">
        <f>+VLOOKUP(A81,'Tổng,SUMMARY'!C:K,8,0)</f>
        <v>2200</v>
      </c>
      <c r="BQ81" s="293">
        <f t="shared" si="32"/>
        <v>-2200</v>
      </c>
    </row>
    <row r="82" spans="1:69" ht="18" hidden="1" customHeight="1">
      <c r="A82" s="313" t="s">
        <v>145</v>
      </c>
      <c r="B82" s="314" t="s">
        <v>144</v>
      </c>
      <c r="C82" s="315"/>
      <c r="D82" s="304">
        <f>SUMIF($E$4:BN$4,$F$4,E82:BN82)</f>
        <v>0</v>
      </c>
      <c r="E82" s="316"/>
      <c r="F82" s="317"/>
      <c r="G82" s="316"/>
      <c r="H82" s="317"/>
      <c r="I82" s="316"/>
      <c r="J82" s="317"/>
      <c r="K82" s="316"/>
      <c r="L82" s="317"/>
      <c r="M82" s="316"/>
      <c r="N82" s="317"/>
      <c r="O82" s="316"/>
      <c r="P82" s="317"/>
      <c r="Q82" s="316"/>
      <c r="R82" s="317"/>
      <c r="S82" s="316"/>
      <c r="T82" s="317"/>
      <c r="U82" s="316"/>
      <c r="V82" s="317"/>
      <c r="W82" s="316"/>
      <c r="X82" s="317"/>
      <c r="Y82" s="316"/>
      <c r="Z82" s="317"/>
      <c r="AA82" s="316"/>
      <c r="AB82" s="317"/>
      <c r="AC82" s="316"/>
      <c r="AD82" s="317"/>
      <c r="AE82" s="316"/>
      <c r="AF82" s="317"/>
      <c r="AG82" s="316"/>
      <c r="AH82" s="317"/>
      <c r="AI82" s="316"/>
      <c r="AJ82" s="317"/>
      <c r="AK82" s="316"/>
      <c r="AL82" s="317"/>
      <c r="AM82" s="316"/>
      <c r="AN82" s="317"/>
      <c r="AO82" s="316"/>
      <c r="AP82" s="317"/>
      <c r="AQ82" s="316"/>
      <c r="AR82" s="317"/>
      <c r="AS82" s="316"/>
      <c r="AT82" s="317"/>
      <c r="AU82" s="316"/>
      <c r="AV82" s="317"/>
      <c r="AW82" s="316"/>
      <c r="AX82" s="317"/>
      <c r="AY82" s="316"/>
      <c r="AZ82" s="317"/>
      <c r="BA82" s="316"/>
      <c r="BB82" s="317"/>
      <c r="BC82" s="316"/>
      <c r="BD82" s="317"/>
      <c r="BE82" s="316"/>
      <c r="BF82" s="317"/>
      <c r="BG82" s="316"/>
      <c r="BH82" s="317"/>
      <c r="BI82" s="316"/>
      <c r="BJ82" s="317"/>
      <c r="BK82" s="316"/>
      <c r="BL82" s="317"/>
      <c r="BM82" s="316"/>
      <c r="BN82" s="318"/>
      <c r="BO82" s="289">
        <f ca="1">SUMIF(E$4:$BN81,$E$4,E82:BN82)</f>
        <v>0</v>
      </c>
      <c r="BP82" s="286">
        <f>+VLOOKUP(A82,'Tổng,SUMMARY'!C:K,8,0)</f>
        <v>0</v>
      </c>
      <c r="BQ82" s="293">
        <f t="shared" si="32"/>
        <v>0</v>
      </c>
    </row>
    <row r="83" spans="1:69" ht="18" hidden="1" customHeight="1">
      <c r="A83" s="313" t="s">
        <v>146</v>
      </c>
      <c r="B83" s="314" t="s">
        <v>147</v>
      </c>
      <c r="C83" s="315"/>
      <c r="D83" s="304">
        <f>SUMIF($E$4:BN$4,$F$4,E83:BN83)</f>
        <v>0</v>
      </c>
      <c r="E83" s="316"/>
      <c r="F83" s="317"/>
      <c r="G83" s="316"/>
      <c r="H83" s="317"/>
      <c r="I83" s="316"/>
      <c r="J83" s="317"/>
      <c r="K83" s="316"/>
      <c r="L83" s="317"/>
      <c r="M83" s="316"/>
      <c r="N83" s="317"/>
      <c r="O83" s="316"/>
      <c r="P83" s="317"/>
      <c r="Q83" s="316"/>
      <c r="R83" s="317"/>
      <c r="S83" s="316"/>
      <c r="T83" s="317"/>
      <c r="U83" s="316"/>
      <c r="V83" s="317"/>
      <c r="W83" s="316"/>
      <c r="X83" s="317"/>
      <c r="Y83" s="316"/>
      <c r="Z83" s="317"/>
      <c r="AA83" s="316"/>
      <c r="AB83" s="317"/>
      <c r="AC83" s="316"/>
      <c r="AD83" s="317"/>
      <c r="AE83" s="316"/>
      <c r="AF83" s="317"/>
      <c r="AG83" s="316"/>
      <c r="AH83" s="317"/>
      <c r="AI83" s="316"/>
      <c r="AJ83" s="317"/>
      <c r="AK83" s="316"/>
      <c r="AL83" s="317"/>
      <c r="AM83" s="316"/>
      <c r="AN83" s="317"/>
      <c r="AO83" s="316"/>
      <c r="AP83" s="317"/>
      <c r="AQ83" s="316"/>
      <c r="AR83" s="317"/>
      <c r="AS83" s="316"/>
      <c r="AT83" s="317"/>
      <c r="AU83" s="316"/>
      <c r="AV83" s="317"/>
      <c r="AW83" s="316"/>
      <c r="AX83" s="317"/>
      <c r="AY83" s="316"/>
      <c r="AZ83" s="317"/>
      <c r="BA83" s="316"/>
      <c r="BB83" s="317"/>
      <c r="BC83" s="316"/>
      <c r="BD83" s="317"/>
      <c r="BE83" s="316"/>
      <c r="BF83" s="317"/>
      <c r="BG83" s="316"/>
      <c r="BH83" s="317"/>
      <c r="BI83" s="316"/>
      <c r="BJ83" s="317"/>
      <c r="BK83" s="316"/>
      <c r="BL83" s="317"/>
      <c r="BM83" s="316"/>
      <c r="BN83" s="318"/>
      <c r="BO83" s="289">
        <f ca="1">SUMIF(E$4:$BN81,$E$4,E83:BN83)</f>
        <v>0</v>
      </c>
      <c r="BP83" s="286">
        <f>+VLOOKUP(A83,'Tổng,SUMMARY'!C:K,8,0)</f>
        <v>0</v>
      </c>
      <c r="BQ83" s="293">
        <f t="shared" si="32"/>
        <v>0</v>
      </c>
    </row>
    <row r="84" spans="1:69" ht="18" hidden="1" customHeight="1">
      <c r="A84" s="313" t="s">
        <v>148</v>
      </c>
      <c r="B84" s="314" t="s">
        <v>149</v>
      </c>
      <c r="C84" s="315"/>
      <c r="D84" s="304">
        <f>SUMIF($E$4:BN$4,$F$4,E84:BN84)</f>
        <v>0</v>
      </c>
      <c r="E84" s="316"/>
      <c r="F84" s="317"/>
      <c r="G84" s="316"/>
      <c r="H84" s="317"/>
      <c r="I84" s="316"/>
      <c r="J84" s="317"/>
      <c r="K84" s="316"/>
      <c r="L84" s="317"/>
      <c r="M84" s="316"/>
      <c r="N84" s="317"/>
      <c r="O84" s="316"/>
      <c r="P84" s="317"/>
      <c r="Q84" s="316"/>
      <c r="R84" s="317"/>
      <c r="S84" s="316"/>
      <c r="T84" s="317"/>
      <c r="U84" s="316"/>
      <c r="V84" s="317"/>
      <c r="W84" s="316"/>
      <c r="X84" s="317"/>
      <c r="Y84" s="316"/>
      <c r="Z84" s="317"/>
      <c r="AA84" s="316"/>
      <c r="AB84" s="317"/>
      <c r="AC84" s="316"/>
      <c r="AD84" s="317"/>
      <c r="AE84" s="316"/>
      <c r="AF84" s="317"/>
      <c r="AG84" s="316"/>
      <c r="AH84" s="317"/>
      <c r="AI84" s="316"/>
      <c r="AJ84" s="317"/>
      <c r="AK84" s="316"/>
      <c r="AL84" s="317"/>
      <c r="AM84" s="316"/>
      <c r="AN84" s="317"/>
      <c r="AO84" s="316"/>
      <c r="AP84" s="317"/>
      <c r="AQ84" s="316"/>
      <c r="AR84" s="317"/>
      <c r="AS84" s="316"/>
      <c r="AT84" s="317"/>
      <c r="AU84" s="316"/>
      <c r="AV84" s="317"/>
      <c r="AW84" s="316"/>
      <c r="AX84" s="317"/>
      <c r="AY84" s="316"/>
      <c r="AZ84" s="317"/>
      <c r="BA84" s="316"/>
      <c r="BB84" s="317"/>
      <c r="BC84" s="316"/>
      <c r="BD84" s="317"/>
      <c r="BE84" s="316"/>
      <c r="BF84" s="317"/>
      <c r="BG84" s="316"/>
      <c r="BH84" s="317"/>
      <c r="BI84" s="316"/>
      <c r="BJ84" s="317"/>
      <c r="BK84" s="316"/>
      <c r="BL84" s="317"/>
      <c r="BM84" s="316"/>
      <c r="BN84" s="318"/>
      <c r="BO84" s="289">
        <f ca="1">SUMIF(E$4:$BN83,$E$4,E84:BN84)</f>
        <v>0</v>
      </c>
      <c r="BP84" s="286">
        <f>+VLOOKUP(A84,'Tổng,SUMMARY'!C:K,8,0)</f>
        <v>9300</v>
      </c>
      <c r="BQ84" s="293">
        <f t="shared" si="32"/>
        <v>-9300</v>
      </c>
    </row>
    <row r="85" spans="1:69" ht="18" hidden="1" customHeight="1">
      <c r="A85" s="320" t="s">
        <v>150</v>
      </c>
      <c r="B85" s="271" t="s">
        <v>149</v>
      </c>
      <c r="C85" s="315"/>
      <c r="D85" s="304">
        <f>SUMIF($E$4:BN$4,$F$4,E85:BN85)</f>
        <v>0</v>
      </c>
      <c r="E85" s="316"/>
      <c r="F85" s="317"/>
      <c r="G85" s="316"/>
      <c r="H85" s="317"/>
      <c r="I85" s="316"/>
      <c r="J85" s="317"/>
      <c r="K85" s="316"/>
      <c r="L85" s="317"/>
      <c r="M85" s="316"/>
      <c r="N85" s="317"/>
      <c r="O85" s="316"/>
      <c r="P85" s="317"/>
      <c r="Q85" s="316"/>
      <c r="R85" s="317"/>
      <c r="S85" s="316"/>
      <c r="T85" s="317"/>
      <c r="U85" s="316"/>
      <c r="V85" s="317"/>
      <c r="W85" s="316"/>
      <c r="X85" s="317"/>
      <c r="Y85" s="316"/>
      <c r="Z85" s="317"/>
      <c r="AA85" s="316"/>
      <c r="AB85" s="317"/>
      <c r="AC85" s="316"/>
      <c r="AD85" s="317"/>
      <c r="AE85" s="316"/>
      <c r="AF85" s="317"/>
      <c r="AG85" s="316"/>
      <c r="AH85" s="317"/>
      <c r="AI85" s="316"/>
      <c r="AJ85" s="317"/>
      <c r="AK85" s="316"/>
      <c r="AL85" s="317"/>
      <c r="AM85" s="316"/>
      <c r="AN85" s="317"/>
      <c r="AO85" s="316"/>
      <c r="AP85" s="317"/>
      <c r="AQ85" s="316"/>
      <c r="AR85" s="317"/>
      <c r="AS85" s="316"/>
      <c r="AT85" s="317"/>
      <c r="AU85" s="316"/>
      <c r="AV85" s="317"/>
      <c r="AW85" s="316"/>
      <c r="AX85" s="317"/>
      <c r="AY85" s="316"/>
      <c r="AZ85" s="317"/>
      <c r="BA85" s="316"/>
      <c r="BB85" s="317"/>
      <c r="BC85" s="316"/>
      <c r="BD85" s="317"/>
      <c r="BE85" s="316"/>
      <c r="BF85" s="317"/>
      <c r="BG85" s="316"/>
      <c r="BH85" s="317"/>
      <c r="BI85" s="316"/>
      <c r="BJ85" s="317"/>
      <c r="BK85" s="316"/>
      <c r="BL85" s="317"/>
      <c r="BM85" s="316"/>
      <c r="BN85" s="318"/>
      <c r="BO85" s="289">
        <f ca="1">SUMIF(E$4:$BN84,$E$4,E85:BN85)</f>
        <v>0</v>
      </c>
      <c r="BP85" s="286">
        <f>+VLOOKUP(A85,'Tổng,SUMMARY'!C:K,8,0)</f>
        <v>0</v>
      </c>
      <c r="BQ85" s="293">
        <f t="shared" si="32"/>
        <v>0</v>
      </c>
    </row>
    <row r="86" spans="1:69" ht="18" hidden="1" customHeight="1">
      <c r="A86" s="313" t="s">
        <v>151</v>
      </c>
      <c r="B86" s="314" t="s">
        <v>152</v>
      </c>
      <c r="C86" s="315"/>
      <c r="D86" s="304">
        <f>SUMIF($E$4:BN$4,$F$4,E86:BN86)</f>
        <v>0</v>
      </c>
      <c r="E86" s="316"/>
      <c r="F86" s="317"/>
      <c r="G86" s="316"/>
      <c r="H86" s="317"/>
      <c r="I86" s="316"/>
      <c r="J86" s="317"/>
      <c r="K86" s="316"/>
      <c r="L86" s="317"/>
      <c r="M86" s="316"/>
      <c r="N86" s="317"/>
      <c r="O86" s="316"/>
      <c r="P86" s="317"/>
      <c r="Q86" s="316"/>
      <c r="R86" s="317"/>
      <c r="S86" s="316"/>
      <c r="T86" s="317"/>
      <c r="U86" s="316"/>
      <c r="V86" s="317"/>
      <c r="W86" s="316"/>
      <c r="X86" s="317"/>
      <c r="Y86" s="316"/>
      <c r="Z86" s="317"/>
      <c r="AA86" s="316"/>
      <c r="AB86" s="317"/>
      <c r="AC86" s="316"/>
      <c r="AD86" s="317"/>
      <c r="AE86" s="316"/>
      <c r="AF86" s="317"/>
      <c r="AG86" s="316"/>
      <c r="AH86" s="317"/>
      <c r="AI86" s="316"/>
      <c r="AJ86" s="317"/>
      <c r="AK86" s="316"/>
      <c r="AL86" s="317"/>
      <c r="AM86" s="316"/>
      <c r="AN86" s="317"/>
      <c r="AO86" s="316"/>
      <c r="AP86" s="317"/>
      <c r="AQ86" s="316"/>
      <c r="AR86" s="317"/>
      <c r="AS86" s="316"/>
      <c r="AT86" s="317"/>
      <c r="AU86" s="316"/>
      <c r="AV86" s="317"/>
      <c r="AW86" s="316"/>
      <c r="AX86" s="317"/>
      <c r="AY86" s="316"/>
      <c r="AZ86" s="317"/>
      <c r="BA86" s="316"/>
      <c r="BB86" s="317"/>
      <c r="BC86" s="316"/>
      <c r="BD86" s="317"/>
      <c r="BE86" s="316"/>
      <c r="BF86" s="317"/>
      <c r="BG86" s="316"/>
      <c r="BH86" s="317"/>
      <c r="BI86" s="316"/>
      <c r="BJ86" s="317"/>
      <c r="BK86" s="316"/>
      <c r="BL86" s="317"/>
      <c r="BM86" s="316"/>
      <c r="BN86" s="318"/>
      <c r="BO86" s="289">
        <f ca="1">SUMIF(E$4:$BN85,$E$4,E86:BN86)</f>
        <v>0</v>
      </c>
      <c r="BP86" s="286">
        <f>+VLOOKUP(A86,'Tổng,SUMMARY'!C:K,8,0)</f>
        <v>650</v>
      </c>
      <c r="BQ86" s="293">
        <f t="shared" si="32"/>
        <v>-650</v>
      </c>
    </row>
    <row r="87" spans="1:69" ht="18" hidden="1" customHeight="1">
      <c r="A87" s="313" t="s">
        <v>153</v>
      </c>
      <c r="B87" s="314" t="s">
        <v>154</v>
      </c>
      <c r="C87" s="315"/>
      <c r="D87" s="304">
        <f>SUMIF($E$4:BN$4,$F$4,E87:BN87)</f>
        <v>0</v>
      </c>
      <c r="E87" s="316"/>
      <c r="F87" s="317"/>
      <c r="G87" s="316"/>
      <c r="H87" s="317"/>
      <c r="I87" s="316"/>
      <c r="J87" s="317"/>
      <c r="K87" s="316"/>
      <c r="L87" s="317"/>
      <c r="M87" s="316"/>
      <c r="N87" s="317"/>
      <c r="O87" s="316"/>
      <c r="P87" s="317"/>
      <c r="Q87" s="316"/>
      <c r="R87" s="317"/>
      <c r="S87" s="316"/>
      <c r="T87" s="317"/>
      <c r="U87" s="316"/>
      <c r="V87" s="317"/>
      <c r="W87" s="316"/>
      <c r="X87" s="317"/>
      <c r="Y87" s="316"/>
      <c r="Z87" s="317"/>
      <c r="AA87" s="316"/>
      <c r="AB87" s="317"/>
      <c r="AC87" s="316"/>
      <c r="AD87" s="317"/>
      <c r="AE87" s="316"/>
      <c r="AF87" s="317"/>
      <c r="AG87" s="316"/>
      <c r="AH87" s="317"/>
      <c r="AI87" s="316"/>
      <c r="AJ87" s="317"/>
      <c r="AK87" s="316"/>
      <c r="AL87" s="317"/>
      <c r="AM87" s="316"/>
      <c r="AN87" s="317"/>
      <c r="AO87" s="316"/>
      <c r="AP87" s="317"/>
      <c r="AQ87" s="316"/>
      <c r="AR87" s="317"/>
      <c r="AS87" s="316"/>
      <c r="AT87" s="317"/>
      <c r="AU87" s="316"/>
      <c r="AV87" s="317"/>
      <c r="AW87" s="316"/>
      <c r="AX87" s="317"/>
      <c r="AY87" s="316"/>
      <c r="AZ87" s="317"/>
      <c r="BA87" s="316"/>
      <c r="BB87" s="317"/>
      <c r="BC87" s="316"/>
      <c r="BD87" s="317"/>
      <c r="BE87" s="316"/>
      <c r="BF87" s="317"/>
      <c r="BG87" s="316"/>
      <c r="BH87" s="317"/>
      <c r="BI87" s="316"/>
      <c r="BJ87" s="317"/>
      <c r="BK87" s="316"/>
      <c r="BL87" s="317"/>
      <c r="BM87" s="316"/>
      <c r="BN87" s="318"/>
      <c r="BO87" s="289">
        <f ca="1">SUMIF(E$4:$BN86,$E$4,E87:BN87)</f>
        <v>0</v>
      </c>
      <c r="BP87" s="286">
        <f>+VLOOKUP(A87,'Tổng,SUMMARY'!C:K,8,0)</f>
        <v>0</v>
      </c>
      <c r="BQ87" s="293">
        <f t="shared" si="32"/>
        <v>0</v>
      </c>
    </row>
    <row r="88" spans="1:69" ht="18" hidden="1" customHeight="1">
      <c r="A88" s="313" t="s">
        <v>155</v>
      </c>
      <c r="B88" s="314" t="s">
        <v>156</v>
      </c>
      <c r="C88" s="315"/>
      <c r="D88" s="304">
        <f>SUMIF($E$4:BN$4,$F$4,E88:BN88)</f>
        <v>0</v>
      </c>
      <c r="E88" s="316"/>
      <c r="F88" s="317"/>
      <c r="G88" s="316"/>
      <c r="H88" s="317"/>
      <c r="I88" s="316"/>
      <c r="J88" s="317"/>
      <c r="K88" s="316"/>
      <c r="L88" s="317"/>
      <c r="M88" s="316"/>
      <c r="N88" s="317"/>
      <c r="O88" s="316"/>
      <c r="P88" s="317"/>
      <c r="Q88" s="316"/>
      <c r="R88" s="317"/>
      <c r="S88" s="316"/>
      <c r="T88" s="317"/>
      <c r="U88" s="316"/>
      <c r="V88" s="317"/>
      <c r="W88" s="316"/>
      <c r="X88" s="317"/>
      <c r="Y88" s="316"/>
      <c r="Z88" s="317"/>
      <c r="AA88" s="316"/>
      <c r="AB88" s="317"/>
      <c r="AC88" s="316"/>
      <c r="AD88" s="317"/>
      <c r="AE88" s="316"/>
      <c r="AF88" s="317"/>
      <c r="AG88" s="316"/>
      <c r="AH88" s="317"/>
      <c r="AI88" s="316"/>
      <c r="AJ88" s="317"/>
      <c r="AK88" s="316"/>
      <c r="AL88" s="317"/>
      <c r="AM88" s="316"/>
      <c r="AN88" s="317"/>
      <c r="AO88" s="316"/>
      <c r="AP88" s="317"/>
      <c r="AQ88" s="316"/>
      <c r="AR88" s="317"/>
      <c r="AS88" s="316"/>
      <c r="AT88" s="317"/>
      <c r="AU88" s="316"/>
      <c r="AV88" s="317"/>
      <c r="AW88" s="316"/>
      <c r="AX88" s="317"/>
      <c r="AY88" s="316"/>
      <c r="AZ88" s="317"/>
      <c r="BA88" s="316"/>
      <c r="BB88" s="317"/>
      <c r="BC88" s="316"/>
      <c r="BD88" s="317"/>
      <c r="BE88" s="316"/>
      <c r="BF88" s="317"/>
      <c r="BG88" s="316"/>
      <c r="BH88" s="317"/>
      <c r="BI88" s="316"/>
      <c r="BJ88" s="317"/>
      <c r="BK88" s="316"/>
      <c r="BL88" s="317"/>
      <c r="BM88" s="316"/>
      <c r="BN88" s="318"/>
      <c r="BO88" s="289">
        <f ca="1">SUMIF(E$4:$BN87,$E$4,E88:BN88)</f>
        <v>0</v>
      </c>
      <c r="BP88" s="286">
        <f>+VLOOKUP(A88,'Tổng,SUMMARY'!C:K,8,0)</f>
        <v>0</v>
      </c>
      <c r="BQ88" s="293">
        <f t="shared" si="32"/>
        <v>0</v>
      </c>
    </row>
    <row r="89" spans="1:69" ht="18" hidden="1" customHeight="1">
      <c r="A89" s="313" t="s">
        <v>157</v>
      </c>
      <c r="B89" s="314" t="s">
        <v>158</v>
      </c>
      <c r="C89" s="315"/>
      <c r="D89" s="304">
        <f>SUMIF($E$4:BN$4,$F$4,E89:BN89)</f>
        <v>0</v>
      </c>
      <c r="E89" s="316"/>
      <c r="F89" s="317"/>
      <c r="G89" s="316"/>
      <c r="H89" s="317"/>
      <c r="I89" s="316"/>
      <c r="J89" s="317"/>
      <c r="K89" s="316"/>
      <c r="L89" s="317"/>
      <c r="M89" s="316"/>
      <c r="N89" s="317"/>
      <c r="O89" s="316"/>
      <c r="P89" s="317"/>
      <c r="Q89" s="316"/>
      <c r="R89" s="317"/>
      <c r="S89" s="316"/>
      <c r="T89" s="317"/>
      <c r="U89" s="316"/>
      <c r="V89" s="317"/>
      <c r="W89" s="316"/>
      <c r="X89" s="317"/>
      <c r="Y89" s="316"/>
      <c r="Z89" s="317"/>
      <c r="AA89" s="316"/>
      <c r="AB89" s="317"/>
      <c r="AC89" s="316"/>
      <c r="AD89" s="317"/>
      <c r="AE89" s="316"/>
      <c r="AF89" s="317"/>
      <c r="AG89" s="316"/>
      <c r="AH89" s="317"/>
      <c r="AI89" s="316"/>
      <c r="AJ89" s="317"/>
      <c r="AK89" s="316"/>
      <c r="AL89" s="317"/>
      <c r="AM89" s="316"/>
      <c r="AN89" s="317"/>
      <c r="AO89" s="316"/>
      <c r="AP89" s="317"/>
      <c r="AQ89" s="316"/>
      <c r="AR89" s="317"/>
      <c r="AS89" s="316"/>
      <c r="AT89" s="317"/>
      <c r="AU89" s="316"/>
      <c r="AV89" s="317"/>
      <c r="AW89" s="316"/>
      <c r="AX89" s="317"/>
      <c r="AY89" s="316"/>
      <c r="AZ89" s="317"/>
      <c r="BA89" s="316"/>
      <c r="BB89" s="317"/>
      <c r="BC89" s="316"/>
      <c r="BD89" s="317"/>
      <c r="BE89" s="316"/>
      <c r="BF89" s="317"/>
      <c r="BG89" s="316"/>
      <c r="BH89" s="317"/>
      <c r="BI89" s="316"/>
      <c r="BJ89" s="317"/>
      <c r="BK89" s="316"/>
      <c r="BL89" s="317"/>
      <c r="BM89" s="316"/>
      <c r="BN89" s="318"/>
      <c r="BO89" s="289">
        <f ca="1">SUMIF(E$4:$BN88,$E$4,E89:BN89)</f>
        <v>0</v>
      </c>
      <c r="BP89" s="286">
        <f>+VLOOKUP(A89,'Tổng,SUMMARY'!C:K,8,0)</f>
        <v>0</v>
      </c>
      <c r="BQ89" s="293">
        <f t="shared" si="32"/>
        <v>0</v>
      </c>
    </row>
    <row r="90" spans="1:69" ht="18" hidden="1" customHeight="1">
      <c r="A90" s="313" t="s">
        <v>159</v>
      </c>
      <c r="B90" s="314" t="s">
        <v>160</v>
      </c>
      <c r="C90" s="315"/>
      <c r="D90" s="304">
        <f>SUMIF($E$4:BN$4,$F$4,E90:BN90)</f>
        <v>0</v>
      </c>
      <c r="E90" s="316"/>
      <c r="F90" s="317"/>
      <c r="G90" s="316"/>
      <c r="H90" s="317"/>
      <c r="I90" s="316"/>
      <c r="J90" s="317"/>
      <c r="K90" s="316"/>
      <c r="L90" s="317"/>
      <c r="M90" s="316"/>
      <c r="N90" s="317"/>
      <c r="O90" s="316"/>
      <c r="P90" s="317"/>
      <c r="Q90" s="316"/>
      <c r="R90" s="317"/>
      <c r="S90" s="316"/>
      <c r="T90" s="317"/>
      <c r="U90" s="316"/>
      <c r="V90" s="317"/>
      <c r="W90" s="316"/>
      <c r="X90" s="317"/>
      <c r="Y90" s="316"/>
      <c r="Z90" s="317"/>
      <c r="AA90" s="316"/>
      <c r="AB90" s="317"/>
      <c r="AC90" s="316"/>
      <c r="AD90" s="317"/>
      <c r="AE90" s="316"/>
      <c r="AF90" s="317"/>
      <c r="AG90" s="316"/>
      <c r="AH90" s="317"/>
      <c r="AI90" s="316"/>
      <c r="AJ90" s="317"/>
      <c r="AK90" s="316"/>
      <c r="AL90" s="317"/>
      <c r="AM90" s="316"/>
      <c r="AN90" s="317"/>
      <c r="AO90" s="316"/>
      <c r="AP90" s="317"/>
      <c r="AQ90" s="316"/>
      <c r="AR90" s="317"/>
      <c r="AS90" s="316"/>
      <c r="AT90" s="317"/>
      <c r="AU90" s="316"/>
      <c r="AV90" s="317"/>
      <c r="AW90" s="316"/>
      <c r="AX90" s="317"/>
      <c r="AY90" s="316"/>
      <c r="AZ90" s="317"/>
      <c r="BA90" s="316"/>
      <c r="BB90" s="317"/>
      <c r="BC90" s="316"/>
      <c r="BD90" s="317"/>
      <c r="BE90" s="316"/>
      <c r="BF90" s="317"/>
      <c r="BG90" s="316"/>
      <c r="BH90" s="317"/>
      <c r="BI90" s="316"/>
      <c r="BJ90" s="317"/>
      <c r="BK90" s="316"/>
      <c r="BL90" s="317"/>
      <c r="BM90" s="316"/>
      <c r="BN90" s="318"/>
      <c r="BO90" s="289">
        <f ca="1">SUMIF(E$4:$BN89,$E$4,E90:BN90)</f>
        <v>0</v>
      </c>
      <c r="BP90" s="286">
        <f>+VLOOKUP(A90,'Tổng,SUMMARY'!C:K,8,0)</f>
        <v>0</v>
      </c>
      <c r="BQ90" s="293">
        <f t="shared" si="32"/>
        <v>0</v>
      </c>
    </row>
    <row r="91" spans="1:69" ht="18" hidden="1" customHeight="1">
      <c r="A91" s="320" t="s">
        <v>161</v>
      </c>
      <c r="B91" s="271" t="s">
        <v>162</v>
      </c>
      <c r="C91" s="315"/>
      <c r="D91" s="304">
        <f>SUMIF($E$4:BN$4,$F$4,E91:BN91)</f>
        <v>0</v>
      </c>
      <c r="E91" s="316"/>
      <c r="F91" s="317"/>
      <c r="G91" s="316"/>
      <c r="H91" s="317"/>
      <c r="I91" s="316"/>
      <c r="J91" s="317"/>
      <c r="K91" s="316"/>
      <c r="L91" s="317"/>
      <c r="M91" s="316"/>
      <c r="N91" s="317"/>
      <c r="O91" s="316"/>
      <c r="P91" s="317"/>
      <c r="Q91" s="316"/>
      <c r="R91" s="317"/>
      <c r="S91" s="316"/>
      <c r="T91" s="317"/>
      <c r="U91" s="316"/>
      <c r="V91" s="317"/>
      <c r="W91" s="316"/>
      <c r="X91" s="317"/>
      <c r="Y91" s="316"/>
      <c r="Z91" s="317"/>
      <c r="AA91" s="316"/>
      <c r="AB91" s="317"/>
      <c r="AC91" s="316"/>
      <c r="AD91" s="317"/>
      <c r="AE91" s="316"/>
      <c r="AF91" s="317"/>
      <c r="AG91" s="316"/>
      <c r="AH91" s="317"/>
      <c r="AI91" s="316"/>
      <c r="AJ91" s="317"/>
      <c r="AK91" s="316"/>
      <c r="AL91" s="317"/>
      <c r="AM91" s="316"/>
      <c r="AN91" s="317"/>
      <c r="AO91" s="316"/>
      <c r="AP91" s="317"/>
      <c r="AQ91" s="316"/>
      <c r="AR91" s="317"/>
      <c r="AS91" s="316"/>
      <c r="AT91" s="317"/>
      <c r="AU91" s="316"/>
      <c r="AV91" s="317"/>
      <c r="AW91" s="316"/>
      <c r="AX91" s="317"/>
      <c r="AY91" s="316"/>
      <c r="AZ91" s="317"/>
      <c r="BA91" s="316"/>
      <c r="BB91" s="317"/>
      <c r="BC91" s="316"/>
      <c r="BD91" s="317"/>
      <c r="BE91" s="316"/>
      <c r="BF91" s="317"/>
      <c r="BG91" s="316"/>
      <c r="BH91" s="317"/>
      <c r="BI91" s="316"/>
      <c r="BJ91" s="317"/>
      <c r="BK91" s="316"/>
      <c r="BL91" s="317"/>
      <c r="BM91" s="316"/>
      <c r="BN91" s="318"/>
      <c r="BO91" s="289">
        <f ca="1">SUMIF(E$4:$BN90,$E$4,E91:BN91)</f>
        <v>0</v>
      </c>
      <c r="BP91" s="286">
        <f>+VLOOKUP(A91,'Tổng,SUMMARY'!C:K,8,0)</f>
        <v>13200</v>
      </c>
      <c r="BQ91" s="293">
        <f t="shared" si="32"/>
        <v>-13200</v>
      </c>
    </row>
    <row r="92" spans="1:69" ht="18" hidden="1" customHeight="1">
      <c r="A92" s="320" t="s">
        <v>163</v>
      </c>
      <c r="B92" s="271" t="s">
        <v>162</v>
      </c>
      <c r="C92" s="315"/>
      <c r="D92" s="304">
        <f>SUMIF($E$4:BN$4,$F$4,E92:BN92)</f>
        <v>0</v>
      </c>
      <c r="E92" s="316"/>
      <c r="F92" s="317"/>
      <c r="G92" s="316"/>
      <c r="H92" s="317"/>
      <c r="I92" s="316"/>
      <c r="J92" s="317"/>
      <c r="K92" s="316"/>
      <c r="L92" s="317"/>
      <c r="M92" s="316"/>
      <c r="N92" s="317"/>
      <c r="O92" s="316"/>
      <c r="P92" s="317"/>
      <c r="Q92" s="316"/>
      <c r="R92" s="317"/>
      <c r="S92" s="316"/>
      <c r="T92" s="317"/>
      <c r="U92" s="316"/>
      <c r="V92" s="317"/>
      <c r="W92" s="316"/>
      <c r="X92" s="317"/>
      <c r="Y92" s="316"/>
      <c r="Z92" s="317"/>
      <c r="AA92" s="316"/>
      <c r="AB92" s="317"/>
      <c r="AC92" s="316"/>
      <c r="AD92" s="317"/>
      <c r="AE92" s="316"/>
      <c r="AF92" s="317"/>
      <c r="AG92" s="316"/>
      <c r="AH92" s="317"/>
      <c r="AI92" s="316"/>
      <c r="AJ92" s="317"/>
      <c r="AK92" s="316"/>
      <c r="AL92" s="317"/>
      <c r="AM92" s="316"/>
      <c r="AN92" s="317"/>
      <c r="AO92" s="316"/>
      <c r="AP92" s="317"/>
      <c r="AQ92" s="316"/>
      <c r="AR92" s="317"/>
      <c r="AS92" s="316"/>
      <c r="AT92" s="317"/>
      <c r="AU92" s="316"/>
      <c r="AV92" s="317"/>
      <c r="AW92" s="316"/>
      <c r="AX92" s="317"/>
      <c r="AY92" s="316"/>
      <c r="AZ92" s="317"/>
      <c r="BA92" s="316"/>
      <c r="BB92" s="317"/>
      <c r="BC92" s="316"/>
      <c r="BD92" s="317"/>
      <c r="BE92" s="316"/>
      <c r="BF92" s="317"/>
      <c r="BG92" s="316"/>
      <c r="BH92" s="317"/>
      <c r="BI92" s="316"/>
      <c r="BJ92" s="317"/>
      <c r="BK92" s="316"/>
      <c r="BL92" s="317"/>
      <c r="BM92" s="316"/>
      <c r="BN92" s="318"/>
      <c r="BO92" s="289">
        <f ca="1">SUMIF(E$4:$BN91,$E$4,E92:BN92)</f>
        <v>0</v>
      </c>
      <c r="BP92" s="286">
        <f>+VLOOKUP(A92,'Tổng,SUMMARY'!C:K,8,0)</f>
        <v>0</v>
      </c>
      <c r="BQ92" s="293">
        <f t="shared" si="32"/>
        <v>0</v>
      </c>
    </row>
    <row r="93" spans="1:69" ht="18" hidden="1" customHeight="1">
      <c r="A93" s="320" t="s">
        <v>164</v>
      </c>
      <c r="B93" s="271" t="s">
        <v>95</v>
      </c>
      <c r="C93" s="315"/>
      <c r="D93" s="304">
        <f>SUMIF($E$4:BN$4,$F$4,E93:BN93)</f>
        <v>0</v>
      </c>
      <c r="E93" s="316"/>
      <c r="F93" s="317"/>
      <c r="G93" s="316"/>
      <c r="H93" s="317"/>
      <c r="I93" s="316"/>
      <c r="J93" s="317"/>
      <c r="K93" s="316"/>
      <c r="L93" s="317"/>
      <c r="M93" s="316"/>
      <c r="N93" s="317"/>
      <c r="O93" s="316"/>
      <c r="P93" s="317"/>
      <c r="Q93" s="316"/>
      <c r="R93" s="317"/>
      <c r="S93" s="316"/>
      <c r="T93" s="317"/>
      <c r="U93" s="316"/>
      <c r="V93" s="317"/>
      <c r="W93" s="316"/>
      <c r="X93" s="317"/>
      <c r="Y93" s="316"/>
      <c r="Z93" s="317"/>
      <c r="AA93" s="316"/>
      <c r="AB93" s="317"/>
      <c r="AC93" s="316"/>
      <c r="AD93" s="317"/>
      <c r="AE93" s="316"/>
      <c r="AF93" s="317"/>
      <c r="AG93" s="316"/>
      <c r="AH93" s="317"/>
      <c r="AI93" s="316"/>
      <c r="AJ93" s="317"/>
      <c r="AK93" s="316"/>
      <c r="AL93" s="317"/>
      <c r="AM93" s="316"/>
      <c r="AN93" s="317"/>
      <c r="AO93" s="316"/>
      <c r="AP93" s="317"/>
      <c r="AQ93" s="316"/>
      <c r="AR93" s="317"/>
      <c r="AS93" s="316"/>
      <c r="AT93" s="317"/>
      <c r="AU93" s="316"/>
      <c r="AV93" s="317"/>
      <c r="AW93" s="316"/>
      <c r="AX93" s="317"/>
      <c r="AY93" s="316"/>
      <c r="AZ93" s="317"/>
      <c r="BA93" s="316"/>
      <c r="BB93" s="317"/>
      <c r="BC93" s="316"/>
      <c r="BD93" s="317"/>
      <c r="BE93" s="316"/>
      <c r="BF93" s="317"/>
      <c r="BG93" s="316"/>
      <c r="BH93" s="317"/>
      <c r="BI93" s="316"/>
      <c r="BJ93" s="317"/>
      <c r="BK93" s="316"/>
      <c r="BL93" s="317"/>
      <c r="BM93" s="316"/>
      <c r="BN93" s="318"/>
      <c r="BO93" s="289">
        <f ca="1">SUMIF(E$4:$BN92,$E$4,E93:BN93)</f>
        <v>0</v>
      </c>
      <c r="BP93" s="286">
        <f>+VLOOKUP(A93,'Tổng,SUMMARY'!C:K,8,0)</f>
        <v>0</v>
      </c>
      <c r="BQ93" s="293">
        <f t="shared" si="32"/>
        <v>0</v>
      </c>
    </row>
    <row r="94" spans="1:69" ht="18" hidden="1" customHeight="1">
      <c r="A94" s="320" t="s">
        <v>165</v>
      </c>
      <c r="B94" s="271" t="s">
        <v>166</v>
      </c>
      <c r="C94" s="315"/>
      <c r="D94" s="304">
        <f>SUMIF($E$4:BN$4,$F$4,E94:BN94)</f>
        <v>0</v>
      </c>
      <c r="E94" s="316"/>
      <c r="F94" s="317"/>
      <c r="G94" s="316"/>
      <c r="H94" s="317"/>
      <c r="I94" s="316"/>
      <c r="J94" s="317"/>
      <c r="K94" s="316"/>
      <c r="L94" s="317"/>
      <c r="M94" s="316"/>
      <c r="N94" s="317"/>
      <c r="O94" s="316"/>
      <c r="P94" s="317"/>
      <c r="Q94" s="316"/>
      <c r="R94" s="317"/>
      <c r="S94" s="316"/>
      <c r="T94" s="317"/>
      <c r="U94" s="316"/>
      <c r="V94" s="317"/>
      <c r="W94" s="316"/>
      <c r="X94" s="317"/>
      <c r="Y94" s="316"/>
      <c r="Z94" s="317"/>
      <c r="AA94" s="316"/>
      <c r="AB94" s="317"/>
      <c r="AC94" s="316"/>
      <c r="AD94" s="317"/>
      <c r="AE94" s="316"/>
      <c r="AF94" s="317"/>
      <c r="AG94" s="316"/>
      <c r="AH94" s="317"/>
      <c r="AI94" s="316"/>
      <c r="AJ94" s="317"/>
      <c r="AK94" s="316"/>
      <c r="AL94" s="317"/>
      <c r="AM94" s="316"/>
      <c r="AN94" s="317"/>
      <c r="AO94" s="316"/>
      <c r="AP94" s="317"/>
      <c r="AQ94" s="316"/>
      <c r="AR94" s="317"/>
      <c r="AS94" s="316"/>
      <c r="AT94" s="317"/>
      <c r="AU94" s="316"/>
      <c r="AV94" s="317"/>
      <c r="AW94" s="316"/>
      <c r="AX94" s="317"/>
      <c r="AY94" s="316"/>
      <c r="AZ94" s="317"/>
      <c r="BA94" s="316"/>
      <c r="BB94" s="317"/>
      <c r="BC94" s="316"/>
      <c r="BD94" s="317"/>
      <c r="BE94" s="316"/>
      <c r="BF94" s="317"/>
      <c r="BG94" s="316"/>
      <c r="BH94" s="317"/>
      <c r="BI94" s="316"/>
      <c r="BJ94" s="317"/>
      <c r="BK94" s="316"/>
      <c r="BL94" s="317"/>
      <c r="BM94" s="316"/>
      <c r="BN94" s="318"/>
      <c r="BO94" s="289">
        <f ca="1">SUMIF(E$4:$BN93,$E$4,E94:BN94)</f>
        <v>0</v>
      </c>
      <c r="BP94" s="286">
        <f>+VLOOKUP(A94,'Tổng,SUMMARY'!C:K,8,0)</f>
        <v>10200</v>
      </c>
      <c r="BQ94" s="293">
        <f t="shared" si="32"/>
        <v>-10200</v>
      </c>
    </row>
    <row r="95" spans="1:69" ht="18" hidden="1" customHeight="1">
      <c r="A95" s="320" t="s">
        <v>167</v>
      </c>
      <c r="B95" s="271" t="s">
        <v>168</v>
      </c>
      <c r="C95" s="315"/>
      <c r="D95" s="304">
        <f>SUMIF($E$4:BN$4,$F$4,E95:BN95)</f>
        <v>0</v>
      </c>
      <c r="E95" s="316"/>
      <c r="F95" s="317"/>
      <c r="G95" s="316"/>
      <c r="H95" s="317"/>
      <c r="I95" s="316"/>
      <c r="J95" s="317"/>
      <c r="K95" s="316"/>
      <c r="L95" s="317"/>
      <c r="M95" s="316"/>
      <c r="N95" s="317"/>
      <c r="O95" s="316"/>
      <c r="P95" s="317"/>
      <c r="Q95" s="316"/>
      <c r="R95" s="317"/>
      <c r="S95" s="316"/>
      <c r="T95" s="317"/>
      <c r="U95" s="316"/>
      <c r="V95" s="317"/>
      <c r="W95" s="316"/>
      <c r="X95" s="317"/>
      <c r="Y95" s="316"/>
      <c r="Z95" s="317"/>
      <c r="AA95" s="316"/>
      <c r="AB95" s="317"/>
      <c r="AC95" s="316"/>
      <c r="AD95" s="317"/>
      <c r="AE95" s="316"/>
      <c r="AF95" s="317"/>
      <c r="AG95" s="316"/>
      <c r="AH95" s="317"/>
      <c r="AI95" s="316"/>
      <c r="AJ95" s="317"/>
      <c r="AK95" s="316"/>
      <c r="AL95" s="317"/>
      <c r="AM95" s="316"/>
      <c r="AN95" s="317"/>
      <c r="AO95" s="316"/>
      <c r="AP95" s="317"/>
      <c r="AQ95" s="316"/>
      <c r="AR95" s="317"/>
      <c r="AS95" s="316"/>
      <c r="AT95" s="317"/>
      <c r="AU95" s="316"/>
      <c r="AV95" s="317"/>
      <c r="AW95" s="316"/>
      <c r="AX95" s="317"/>
      <c r="AY95" s="316"/>
      <c r="AZ95" s="317"/>
      <c r="BA95" s="316"/>
      <c r="BB95" s="317"/>
      <c r="BC95" s="316"/>
      <c r="BD95" s="317"/>
      <c r="BE95" s="316"/>
      <c r="BF95" s="317"/>
      <c r="BG95" s="316"/>
      <c r="BH95" s="317"/>
      <c r="BI95" s="316"/>
      <c r="BJ95" s="317"/>
      <c r="BK95" s="316"/>
      <c r="BL95" s="317"/>
      <c r="BM95" s="316"/>
      <c r="BN95" s="318"/>
      <c r="BO95" s="289">
        <f ca="1">SUMIF(E$4:$BN94,$E$4,E95:BN95)</f>
        <v>0</v>
      </c>
      <c r="BP95" s="286">
        <f>+VLOOKUP(A95,'Tổng,SUMMARY'!C:K,8,0)</f>
        <v>0</v>
      </c>
      <c r="BQ95" s="293">
        <f t="shared" si="32"/>
        <v>0</v>
      </c>
    </row>
    <row r="96" spans="1:69" ht="18" hidden="1" customHeight="1">
      <c r="A96" s="320" t="s">
        <v>169</v>
      </c>
      <c r="B96" s="271" t="s">
        <v>170</v>
      </c>
      <c r="C96" s="315"/>
      <c r="D96" s="304">
        <f>SUMIF($E$4:BN$4,$F$4,E96:BN96)</f>
        <v>0</v>
      </c>
      <c r="E96" s="316"/>
      <c r="F96" s="317"/>
      <c r="G96" s="316"/>
      <c r="H96" s="317"/>
      <c r="I96" s="316"/>
      <c r="J96" s="317"/>
      <c r="K96" s="316"/>
      <c r="L96" s="317"/>
      <c r="M96" s="316"/>
      <c r="N96" s="317"/>
      <c r="O96" s="316"/>
      <c r="P96" s="317"/>
      <c r="Q96" s="316"/>
      <c r="R96" s="317"/>
      <c r="S96" s="316"/>
      <c r="T96" s="317"/>
      <c r="U96" s="316"/>
      <c r="V96" s="317"/>
      <c r="W96" s="316"/>
      <c r="X96" s="317"/>
      <c r="Y96" s="316"/>
      <c r="Z96" s="317"/>
      <c r="AA96" s="316"/>
      <c r="AB96" s="317"/>
      <c r="AC96" s="316"/>
      <c r="AD96" s="317"/>
      <c r="AE96" s="316"/>
      <c r="AF96" s="317"/>
      <c r="AG96" s="316"/>
      <c r="AH96" s="317"/>
      <c r="AI96" s="316"/>
      <c r="AJ96" s="317"/>
      <c r="AK96" s="316"/>
      <c r="AL96" s="317"/>
      <c r="AM96" s="316"/>
      <c r="AN96" s="317"/>
      <c r="AO96" s="316"/>
      <c r="AP96" s="317"/>
      <c r="AQ96" s="316"/>
      <c r="AR96" s="317"/>
      <c r="AS96" s="316"/>
      <c r="AT96" s="317"/>
      <c r="AU96" s="316"/>
      <c r="AV96" s="317"/>
      <c r="AW96" s="316"/>
      <c r="AX96" s="317"/>
      <c r="AY96" s="316"/>
      <c r="AZ96" s="317"/>
      <c r="BA96" s="316"/>
      <c r="BB96" s="317"/>
      <c r="BC96" s="316"/>
      <c r="BD96" s="317"/>
      <c r="BE96" s="316"/>
      <c r="BF96" s="317"/>
      <c r="BG96" s="316"/>
      <c r="BH96" s="317"/>
      <c r="BI96" s="316"/>
      <c r="BJ96" s="317"/>
      <c r="BK96" s="316"/>
      <c r="BL96" s="317"/>
      <c r="BM96" s="316"/>
      <c r="BN96" s="318"/>
      <c r="BO96" s="289">
        <f ca="1">SUMIF(E$4:$BN95,$E$4,E96:BN96)</f>
        <v>0</v>
      </c>
      <c r="BP96" s="286">
        <f>+VLOOKUP(A96,'Tổng,SUMMARY'!C:K,8,0)</f>
        <v>0</v>
      </c>
      <c r="BQ96" s="293">
        <f t="shared" si="32"/>
        <v>0</v>
      </c>
    </row>
    <row r="97" spans="1:69" ht="18" hidden="1" customHeight="1">
      <c r="A97" s="320" t="s">
        <v>171</v>
      </c>
      <c r="B97" s="271" t="s">
        <v>172</v>
      </c>
      <c r="C97" s="315"/>
      <c r="D97" s="304">
        <f>SUMIF($E$4:BN$4,$F$4,E97:BN97)</f>
        <v>0</v>
      </c>
      <c r="E97" s="316"/>
      <c r="F97" s="317"/>
      <c r="G97" s="316"/>
      <c r="H97" s="317"/>
      <c r="I97" s="316"/>
      <c r="J97" s="317"/>
      <c r="K97" s="316"/>
      <c r="L97" s="317"/>
      <c r="M97" s="316"/>
      <c r="N97" s="317"/>
      <c r="O97" s="316"/>
      <c r="P97" s="317"/>
      <c r="Q97" s="316"/>
      <c r="R97" s="317"/>
      <c r="S97" s="316"/>
      <c r="T97" s="317"/>
      <c r="U97" s="316"/>
      <c r="V97" s="317"/>
      <c r="W97" s="316"/>
      <c r="X97" s="317"/>
      <c r="Y97" s="316"/>
      <c r="Z97" s="317"/>
      <c r="AA97" s="316"/>
      <c r="AB97" s="317"/>
      <c r="AC97" s="316"/>
      <c r="AD97" s="317"/>
      <c r="AE97" s="316"/>
      <c r="AF97" s="317"/>
      <c r="AG97" s="316"/>
      <c r="AH97" s="317"/>
      <c r="AI97" s="316"/>
      <c r="AJ97" s="317"/>
      <c r="AK97" s="316"/>
      <c r="AL97" s="317"/>
      <c r="AM97" s="316"/>
      <c r="AN97" s="317"/>
      <c r="AO97" s="316"/>
      <c r="AP97" s="317"/>
      <c r="AQ97" s="316"/>
      <c r="AR97" s="317"/>
      <c r="AS97" s="316"/>
      <c r="AT97" s="317"/>
      <c r="AU97" s="316"/>
      <c r="AV97" s="317"/>
      <c r="AW97" s="316"/>
      <c r="AX97" s="317"/>
      <c r="AY97" s="316"/>
      <c r="AZ97" s="317"/>
      <c r="BA97" s="316"/>
      <c r="BB97" s="317"/>
      <c r="BC97" s="316"/>
      <c r="BD97" s="317"/>
      <c r="BE97" s="316"/>
      <c r="BF97" s="317"/>
      <c r="BG97" s="316"/>
      <c r="BH97" s="317"/>
      <c r="BI97" s="316"/>
      <c r="BJ97" s="317"/>
      <c r="BK97" s="316"/>
      <c r="BL97" s="317"/>
      <c r="BM97" s="316"/>
      <c r="BN97" s="318"/>
      <c r="BO97" s="289">
        <f ca="1">SUMIF(E$4:$BN96,$E$4,E97:BN97)</f>
        <v>0</v>
      </c>
      <c r="BP97" s="286">
        <f>+VLOOKUP(A97,'Tổng,SUMMARY'!C:K,8,0)</f>
        <v>50</v>
      </c>
      <c r="BQ97" s="293">
        <f t="shared" si="32"/>
        <v>-50</v>
      </c>
    </row>
    <row r="98" spans="1:69" ht="18" hidden="1" customHeight="1">
      <c r="A98" s="320" t="s">
        <v>173</v>
      </c>
      <c r="B98" s="271" t="s">
        <v>174</v>
      </c>
      <c r="C98" s="315"/>
      <c r="D98" s="304">
        <f>SUMIF($E$4:BN$4,$F$4,E98:BN98)</f>
        <v>0</v>
      </c>
      <c r="E98" s="316"/>
      <c r="F98" s="317"/>
      <c r="G98" s="316"/>
      <c r="H98" s="317"/>
      <c r="I98" s="316"/>
      <c r="J98" s="317"/>
      <c r="K98" s="316"/>
      <c r="L98" s="317"/>
      <c r="M98" s="316"/>
      <c r="N98" s="317"/>
      <c r="O98" s="316"/>
      <c r="P98" s="317"/>
      <c r="Q98" s="316"/>
      <c r="R98" s="317"/>
      <c r="S98" s="316"/>
      <c r="T98" s="317"/>
      <c r="U98" s="316"/>
      <c r="V98" s="317"/>
      <c r="W98" s="316"/>
      <c r="X98" s="317"/>
      <c r="Y98" s="316"/>
      <c r="Z98" s="317"/>
      <c r="AA98" s="316"/>
      <c r="AB98" s="317"/>
      <c r="AC98" s="316"/>
      <c r="AD98" s="317"/>
      <c r="AE98" s="316"/>
      <c r="AF98" s="317"/>
      <c r="AG98" s="316"/>
      <c r="AH98" s="317"/>
      <c r="AI98" s="316"/>
      <c r="AJ98" s="317"/>
      <c r="AK98" s="316"/>
      <c r="AL98" s="317"/>
      <c r="AM98" s="316"/>
      <c r="AN98" s="317"/>
      <c r="AO98" s="316"/>
      <c r="AP98" s="317"/>
      <c r="AQ98" s="316"/>
      <c r="AR98" s="317"/>
      <c r="AS98" s="316"/>
      <c r="AT98" s="317"/>
      <c r="AU98" s="316"/>
      <c r="AV98" s="317"/>
      <c r="AW98" s="316"/>
      <c r="AX98" s="317"/>
      <c r="AY98" s="316"/>
      <c r="AZ98" s="317"/>
      <c r="BA98" s="316"/>
      <c r="BB98" s="317"/>
      <c r="BC98" s="316"/>
      <c r="BD98" s="317"/>
      <c r="BE98" s="316"/>
      <c r="BF98" s="317"/>
      <c r="BG98" s="316"/>
      <c r="BH98" s="317"/>
      <c r="BI98" s="316"/>
      <c r="BJ98" s="317"/>
      <c r="BK98" s="316"/>
      <c r="BL98" s="317"/>
      <c r="BM98" s="316"/>
      <c r="BN98" s="318"/>
      <c r="BO98" s="289">
        <f ca="1">SUMIF(E$4:$BN97,$E$4,E98:BN98)</f>
        <v>0</v>
      </c>
      <c r="BP98" s="286">
        <f>+VLOOKUP(A98,'Tổng,SUMMARY'!C:K,8,0)</f>
        <v>4300</v>
      </c>
      <c r="BQ98" s="293">
        <f t="shared" si="32"/>
        <v>-4300</v>
      </c>
    </row>
    <row r="99" spans="1:69" ht="18" hidden="1" customHeight="1">
      <c r="A99" s="320" t="s">
        <v>175</v>
      </c>
      <c r="B99" s="271" t="s">
        <v>176</v>
      </c>
      <c r="C99" s="315"/>
      <c r="D99" s="304">
        <f>SUMIF($E$4:BN$4,$F$4,E99:BN99)</f>
        <v>0</v>
      </c>
      <c r="E99" s="316"/>
      <c r="F99" s="317"/>
      <c r="G99" s="316"/>
      <c r="H99" s="317"/>
      <c r="I99" s="316"/>
      <c r="J99" s="317"/>
      <c r="K99" s="316"/>
      <c r="L99" s="317"/>
      <c r="M99" s="316"/>
      <c r="N99" s="317"/>
      <c r="O99" s="316"/>
      <c r="P99" s="317"/>
      <c r="Q99" s="316"/>
      <c r="R99" s="317"/>
      <c r="S99" s="316"/>
      <c r="T99" s="317"/>
      <c r="U99" s="316"/>
      <c r="V99" s="317"/>
      <c r="W99" s="316"/>
      <c r="X99" s="317"/>
      <c r="Y99" s="316"/>
      <c r="Z99" s="317"/>
      <c r="AA99" s="316"/>
      <c r="AB99" s="317"/>
      <c r="AC99" s="316"/>
      <c r="AD99" s="317"/>
      <c r="AE99" s="316"/>
      <c r="AF99" s="317"/>
      <c r="AG99" s="316"/>
      <c r="AH99" s="317"/>
      <c r="AI99" s="316"/>
      <c r="AJ99" s="317"/>
      <c r="AK99" s="316"/>
      <c r="AL99" s="317"/>
      <c r="AM99" s="316"/>
      <c r="AN99" s="317"/>
      <c r="AO99" s="316"/>
      <c r="AP99" s="317"/>
      <c r="AQ99" s="316"/>
      <c r="AR99" s="317"/>
      <c r="AS99" s="316"/>
      <c r="AT99" s="317"/>
      <c r="AU99" s="316"/>
      <c r="AV99" s="317"/>
      <c r="AW99" s="316"/>
      <c r="AX99" s="317"/>
      <c r="AY99" s="316"/>
      <c r="AZ99" s="317"/>
      <c r="BA99" s="316"/>
      <c r="BB99" s="317"/>
      <c r="BC99" s="316"/>
      <c r="BD99" s="317"/>
      <c r="BE99" s="316"/>
      <c r="BF99" s="317"/>
      <c r="BG99" s="316"/>
      <c r="BH99" s="317"/>
      <c r="BI99" s="316"/>
      <c r="BJ99" s="317"/>
      <c r="BK99" s="316"/>
      <c r="BL99" s="317"/>
      <c r="BM99" s="316"/>
      <c r="BN99" s="318"/>
      <c r="BO99" s="289">
        <f ca="1">SUMIF(E$4:$BN98,$E$4,E99:BN99)</f>
        <v>0</v>
      </c>
      <c r="BP99" s="286">
        <f>+VLOOKUP(A99,'Tổng,SUMMARY'!C:K,8,0)</f>
        <v>0</v>
      </c>
      <c r="BQ99" s="293">
        <f t="shared" si="32"/>
        <v>0</v>
      </c>
    </row>
    <row r="100" spans="1:69" ht="18" hidden="1" customHeight="1">
      <c r="A100" s="320" t="s">
        <v>177</v>
      </c>
      <c r="B100" s="271" t="s">
        <v>178</v>
      </c>
      <c r="C100" s="315"/>
      <c r="D100" s="304">
        <f>SUMIF($E$4:BN$4,$F$4,E100:BN100)</f>
        <v>0</v>
      </c>
      <c r="E100" s="316"/>
      <c r="F100" s="317"/>
      <c r="G100" s="316"/>
      <c r="H100" s="317"/>
      <c r="I100" s="316"/>
      <c r="J100" s="317"/>
      <c r="K100" s="316"/>
      <c r="L100" s="317"/>
      <c r="M100" s="316"/>
      <c r="N100" s="317"/>
      <c r="O100" s="316"/>
      <c r="P100" s="317"/>
      <c r="Q100" s="316"/>
      <c r="R100" s="317"/>
      <c r="S100" s="316"/>
      <c r="T100" s="317"/>
      <c r="U100" s="316"/>
      <c r="V100" s="317"/>
      <c r="W100" s="316"/>
      <c r="X100" s="317"/>
      <c r="Y100" s="316"/>
      <c r="Z100" s="317"/>
      <c r="AA100" s="316"/>
      <c r="AB100" s="317"/>
      <c r="AC100" s="316"/>
      <c r="AD100" s="317"/>
      <c r="AE100" s="316"/>
      <c r="AF100" s="317"/>
      <c r="AG100" s="316"/>
      <c r="AH100" s="317"/>
      <c r="AI100" s="316"/>
      <c r="AJ100" s="317"/>
      <c r="AK100" s="316"/>
      <c r="AL100" s="317"/>
      <c r="AM100" s="316"/>
      <c r="AN100" s="317"/>
      <c r="AO100" s="316"/>
      <c r="AP100" s="317"/>
      <c r="AQ100" s="316"/>
      <c r="AR100" s="317"/>
      <c r="AS100" s="316"/>
      <c r="AT100" s="317"/>
      <c r="AU100" s="316"/>
      <c r="AV100" s="317"/>
      <c r="AW100" s="316"/>
      <c r="AX100" s="317"/>
      <c r="AY100" s="316"/>
      <c r="AZ100" s="317"/>
      <c r="BA100" s="316"/>
      <c r="BB100" s="317"/>
      <c r="BC100" s="316"/>
      <c r="BD100" s="317"/>
      <c r="BE100" s="316"/>
      <c r="BF100" s="317"/>
      <c r="BG100" s="316"/>
      <c r="BH100" s="317"/>
      <c r="BI100" s="316"/>
      <c r="BJ100" s="317"/>
      <c r="BK100" s="316"/>
      <c r="BL100" s="317"/>
      <c r="BM100" s="316"/>
      <c r="BN100" s="318"/>
      <c r="BO100" s="289">
        <f ca="1">SUMIF(E$4:$BN99,$E$4,E100:BN100)</f>
        <v>0</v>
      </c>
      <c r="BP100" s="286">
        <f>+VLOOKUP(A100,'Tổng,SUMMARY'!C:K,8,0)</f>
        <v>4700</v>
      </c>
      <c r="BQ100" s="293">
        <f t="shared" si="32"/>
        <v>-4700</v>
      </c>
    </row>
    <row r="101" spans="1:69" ht="18" hidden="1" customHeight="1">
      <c r="A101" s="320" t="s">
        <v>179</v>
      </c>
      <c r="B101" s="271" t="s">
        <v>180</v>
      </c>
      <c r="C101" s="315"/>
      <c r="D101" s="304">
        <f>SUMIF($E$4:BN$4,$F$4,E101:BN101)</f>
        <v>0</v>
      </c>
      <c r="E101" s="316"/>
      <c r="F101" s="317"/>
      <c r="G101" s="316"/>
      <c r="H101" s="317"/>
      <c r="I101" s="316"/>
      <c r="J101" s="317"/>
      <c r="K101" s="316"/>
      <c r="L101" s="317"/>
      <c r="M101" s="316"/>
      <c r="N101" s="317"/>
      <c r="O101" s="316"/>
      <c r="P101" s="317"/>
      <c r="Q101" s="316"/>
      <c r="R101" s="317"/>
      <c r="S101" s="316"/>
      <c r="T101" s="317"/>
      <c r="U101" s="316"/>
      <c r="V101" s="317"/>
      <c r="W101" s="316"/>
      <c r="X101" s="317"/>
      <c r="Y101" s="316"/>
      <c r="Z101" s="317"/>
      <c r="AA101" s="316"/>
      <c r="AB101" s="317"/>
      <c r="AC101" s="316"/>
      <c r="AD101" s="317"/>
      <c r="AE101" s="316"/>
      <c r="AF101" s="317"/>
      <c r="AG101" s="316"/>
      <c r="AH101" s="317"/>
      <c r="AI101" s="316"/>
      <c r="AJ101" s="317"/>
      <c r="AK101" s="316"/>
      <c r="AL101" s="317"/>
      <c r="AM101" s="316"/>
      <c r="AN101" s="317"/>
      <c r="AO101" s="316"/>
      <c r="AP101" s="317"/>
      <c r="AQ101" s="316"/>
      <c r="AR101" s="317"/>
      <c r="AS101" s="316"/>
      <c r="AT101" s="317"/>
      <c r="AU101" s="316"/>
      <c r="AV101" s="317"/>
      <c r="AW101" s="316"/>
      <c r="AX101" s="317"/>
      <c r="AY101" s="316"/>
      <c r="AZ101" s="317"/>
      <c r="BA101" s="316"/>
      <c r="BB101" s="317"/>
      <c r="BC101" s="316"/>
      <c r="BD101" s="317"/>
      <c r="BE101" s="316"/>
      <c r="BF101" s="317"/>
      <c r="BG101" s="316"/>
      <c r="BH101" s="317"/>
      <c r="BI101" s="316"/>
      <c r="BJ101" s="317"/>
      <c r="BK101" s="316"/>
      <c r="BL101" s="317"/>
      <c r="BM101" s="316"/>
      <c r="BN101" s="318"/>
      <c r="BO101" s="289">
        <f ca="1">SUMIF(E$4:$BN100,$E$4,E101:BN101)</f>
        <v>0</v>
      </c>
      <c r="BP101" s="286">
        <f>+VLOOKUP(A101,'Tổng,SUMMARY'!C:K,8,0)</f>
        <v>450</v>
      </c>
      <c r="BQ101" s="293">
        <f t="shared" si="32"/>
        <v>-450</v>
      </c>
    </row>
    <row r="102" spans="1:69" ht="18" hidden="1" customHeight="1">
      <c r="A102" s="320" t="s">
        <v>181</v>
      </c>
      <c r="B102" s="271" t="s">
        <v>182</v>
      </c>
      <c r="C102" s="315"/>
      <c r="D102" s="304">
        <f>SUMIF($E$4:BN$4,$F$4,E102:BN102)</f>
        <v>0</v>
      </c>
      <c r="E102" s="316"/>
      <c r="F102" s="317"/>
      <c r="G102" s="316"/>
      <c r="H102" s="317"/>
      <c r="I102" s="316"/>
      <c r="J102" s="317"/>
      <c r="K102" s="316"/>
      <c r="L102" s="317"/>
      <c r="M102" s="316"/>
      <c r="N102" s="317"/>
      <c r="O102" s="316"/>
      <c r="P102" s="317"/>
      <c r="Q102" s="316"/>
      <c r="R102" s="317"/>
      <c r="S102" s="316"/>
      <c r="T102" s="317"/>
      <c r="U102" s="316"/>
      <c r="V102" s="317"/>
      <c r="W102" s="316"/>
      <c r="X102" s="317"/>
      <c r="Y102" s="316"/>
      <c r="Z102" s="317"/>
      <c r="AA102" s="316"/>
      <c r="AB102" s="317"/>
      <c r="AC102" s="316"/>
      <c r="AD102" s="317"/>
      <c r="AE102" s="316"/>
      <c r="AF102" s="317"/>
      <c r="AG102" s="316"/>
      <c r="AH102" s="317"/>
      <c r="AI102" s="316"/>
      <c r="AJ102" s="317"/>
      <c r="AK102" s="316"/>
      <c r="AL102" s="317"/>
      <c r="AM102" s="316"/>
      <c r="AN102" s="317"/>
      <c r="AO102" s="316"/>
      <c r="AP102" s="317"/>
      <c r="AQ102" s="316"/>
      <c r="AR102" s="317"/>
      <c r="AS102" s="316"/>
      <c r="AT102" s="317"/>
      <c r="AU102" s="316"/>
      <c r="AV102" s="317"/>
      <c r="AW102" s="316"/>
      <c r="AX102" s="317"/>
      <c r="AY102" s="316"/>
      <c r="AZ102" s="317"/>
      <c r="BA102" s="316"/>
      <c r="BB102" s="317"/>
      <c r="BC102" s="316"/>
      <c r="BD102" s="317"/>
      <c r="BE102" s="316"/>
      <c r="BF102" s="317"/>
      <c r="BG102" s="316"/>
      <c r="BH102" s="317"/>
      <c r="BI102" s="316"/>
      <c r="BJ102" s="317"/>
      <c r="BK102" s="316"/>
      <c r="BL102" s="317"/>
      <c r="BM102" s="316"/>
      <c r="BN102" s="318"/>
      <c r="BO102" s="289">
        <f ca="1">SUMIF(E$4:$BN101,$E$4,E102:BN102)</f>
        <v>0</v>
      </c>
      <c r="BP102" s="286">
        <f>+VLOOKUP(A102,'Tổng,SUMMARY'!C:K,8,0)</f>
        <v>0</v>
      </c>
      <c r="BQ102" s="293">
        <f t="shared" si="32"/>
        <v>0</v>
      </c>
    </row>
    <row r="103" spans="1:69" ht="18" hidden="1" customHeight="1">
      <c r="A103" s="320" t="s">
        <v>183</v>
      </c>
      <c r="B103" s="271" t="s">
        <v>184</v>
      </c>
      <c r="C103" s="315"/>
      <c r="D103" s="304">
        <f>SUMIF($E$4:BN$4,$F$4,E103:BN103)</f>
        <v>0</v>
      </c>
      <c r="E103" s="316"/>
      <c r="F103" s="317"/>
      <c r="G103" s="316"/>
      <c r="H103" s="317"/>
      <c r="I103" s="316"/>
      <c r="J103" s="317"/>
      <c r="K103" s="316"/>
      <c r="L103" s="317"/>
      <c r="M103" s="316"/>
      <c r="N103" s="317"/>
      <c r="O103" s="316"/>
      <c r="P103" s="317"/>
      <c r="Q103" s="316"/>
      <c r="R103" s="317"/>
      <c r="S103" s="316"/>
      <c r="T103" s="317"/>
      <c r="U103" s="316"/>
      <c r="V103" s="317"/>
      <c r="W103" s="316"/>
      <c r="X103" s="317"/>
      <c r="Y103" s="316"/>
      <c r="Z103" s="317"/>
      <c r="AA103" s="316"/>
      <c r="AB103" s="317"/>
      <c r="AC103" s="316"/>
      <c r="AD103" s="317"/>
      <c r="AE103" s="316"/>
      <c r="AF103" s="317"/>
      <c r="AG103" s="316"/>
      <c r="AH103" s="317"/>
      <c r="AI103" s="316"/>
      <c r="AJ103" s="317"/>
      <c r="AK103" s="316"/>
      <c r="AL103" s="317"/>
      <c r="AM103" s="316"/>
      <c r="AN103" s="317"/>
      <c r="AO103" s="316"/>
      <c r="AP103" s="317"/>
      <c r="AQ103" s="316"/>
      <c r="AR103" s="317"/>
      <c r="AS103" s="316"/>
      <c r="AT103" s="317"/>
      <c r="AU103" s="316"/>
      <c r="AV103" s="317"/>
      <c r="AW103" s="316"/>
      <c r="AX103" s="317"/>
      <c r="AY103" s="316"/>
      <c r="AZ103" s="317"/>
      <c r="BA103" s="316"/>
      <c r="BB103" s="317"/>
      <c r="BC103" s="316"/>
      <c r="BD103" s="317"/>
      <c r="BE103" s="316"/>
      <c r="BF103" s="317"/>
      <c r="BG103" s="316"/>
      <c r="BH103" s="317"/>
      <c r="BI103" s="316"/>
      <c r="BJ103" s="317"/>
      <c r="BK103" s="316"/>
      <c r="BL103" s="317"/>
      <c r="BM103" s="316"/>
      <c r="BN103" s="318"/>
      <c r="BO103" s="289">
        <f ca="1">SUMIF(E$4:$BN102,$E$4,E103:BN103)</f>
        <v>0</v>
      </c>
      <c r="BP103" s="286">
        <f>+VLOOKUP(A103,'Tổng,SUMMARY'!C:K,8,0)</f>
        <v>0</v>
      </c>
      <c r="BQ103" s="293">
        <f t="shared" si="32"/>
        <v>0</v>
      </c>
    </row>
    <row r="104" spans="1:69" ht="18" customHeight="1">
      <c r="A104" s="320" t="s">
        <v>185</v>
      </c>
      <c r="B104" s="271" t="s">
        <v>186</v>
      </c>
      <c r="C104" s="315"/>
      <c r="D104" s="304">
        <f>SUMIF($E$4:BN$4,$F$4,E104:BN104)</f>
        <v>2600</v>
      </c>
      <c r="E104" s="316"/>
      <c r="F104" s="317"/>
      <c r="G104" s="316"/>
      <c r="H104" s="317"/>
      <c r="I104" s="316"/>
      <c r="J104" s="317"/>
      <c r="K104" s="316"/>
      <c r="L104" s="317">
        <f>200+2400</f>
        <v>2600</v>
      </c>
      <c r="M104" s="316"/>
      <c r="N104" s="317"/>
      <c r="O104" s="316"/>
      <c r="P104" s="317"/>
      <c r="Q104" s="316"/>
      <c r="R104" s="317"/>
      <c r="S104" s="316"/>
      <c r="T104" s="317"/>
      <c r="U104" s="316"/>
      <c r="V104" s="317"/>
      <c r="W104" s="316"/>
      <c r="X104" s="317"/>
      <c r="Y104" s="316"/>
      <c r="Z104" s="317"/>
      <c r="AA104" s="316"/>
      <c r="AB104" s="317"/>
      <c r="AC104" s="316"/>
      <c r="AD104" s="317"/>
      <c r="AE104" s="316"/>
      <c r="AF104" s="317"/>
      <c r="AG104" s="316"/>
      <c r="AH104" s="317"/>
      <c r="AI104" s="316"/>
      <c r="AJ104" s="317"/>
      <c r="AK104" s="316"/>
      <c r="AL104" s="317"/>
      <c r="AM104" s="316"/>
      <c r="AN104" s="317"/>
      <c r="AO104" s="316"/>
      <c r="AP104" s="317"/>
      <c r="AQ104" s="316"/>
      <c r="AR104" s="317"/>
      <c r="AS104" s="316"/>
      <c r="AT104" s="317"/>
      <c r="AU104" s="316"/>
      <c r="AV104" s="317"/>
      <c r="AW104" s="316"/>
      <c r="AX104" s="317"/>
      <c r="AY104" s="316"/>
      <c r="AZ104" s="317"/>
      <c r="BA104" s="316"/>
      <c r="BB104" s="317"/>
      <c r="BC104" s="316"/>
      <c r="BD104" s="317"/>
      <c r="BE104" s="316"/>
      <c r="BF104" s="317"/>
      <c r="BG104" s="316"/>
      <c r="BH104" s="317"/>
      <c r="BI104" s="316"/>
      <c r="BJ104" s="317"/>
      <c r="BK104" s="316"/>
      <c r="BL104" s="317"/>
      <c r="BM104" s="316"/>
      <c r="BN104" s="318"/>
      <c r="BO104" s="289">
        <f ca="1">SUMIF(E$4:$BN103,$E$4,E104:BN104)</f>
        <v>0</v>
      </c>
      <c r="BP104" s="286">
        <f>+VLOOKUP(A104,'Tổng,SUMMARY'!C:K,8,0)</f>
        <v>2050</v>
      </c>
      <c r="BQ104" s="293">
        <f t="shared" si="32"/>
        <v>550</v>
      </c>
    </row>
    <row r="105" spans="1:69" ht="18" hidden="1" customHeight="1">
      <c r="A105" s="320" t="s">
        <v>187</v>
      </c>
      <c r="B105" s="271" t="s">
        <v>160</v>
      </c>
      <c r="C105" s="315"/>
      <c r="D105" s="304">
        <f>SUMIF($E$4:BN$4,$F$4,E105:BN105)</f>
        <v>0</v>
      </c>
      <c r="E105" s="316"/>
      <c r="F105" s="317"/>
      <c r="G105" s="316"/>
      <c r="H105" s="317"/>
      <c r="I105" s="316"/>
      <c r="J105" s="317"/>
      <c r="K105" s="316"/>
      <c r="L105" s="317"/>
      <c r="M105" s="316"/>
      <c r="N105" s="317"/>
      <c r="O105" s="316"/>
      <c r="P105" s="317"/>
      <c r="Q105" s="316"/>
      <c r="R105" s="317"/>
      <c r="S105" s="316"/>
      <c r="T105" s="317"/>
      <c r="U105" s="316"/>
      <c r="V105" s="317"/>
      <c r="W105" s="316"/>
      <c r="X105" s="317"/>
      <c r="Y105" s="316"/>
      <c r="Z105" s="317"/>
      <c r="AA105" s="316"/>
      <c r="AB105" s="317"/>
      <c r="AC105" s="316"/>
      <c r="AD105" s="317"/>
      <c r="AE105" s="316"/>
      <c r="AF105" s="317"/>
      <c r="AG105" s="316"/>
      <c r="AH105" s="317"/>
      <c r="AI105" s="316"/>
      <c r="AJ105" s="317"/>
      <c r="AK105" s="316"/>
      <c r="AL105" s="317"/>
      <c r="AM105" s="316"/>
      <c r="AN105" s="317"/>
      <c r="AO105" s="316"/>
      <c r="AP105" s="317"/>
      <c r="AQ105" s="316"/>
      <c r="AR105" s="317"/>
      <c r="AS105" s="316"/>
      <c r="AT105" s="317"/>
      <c r="AU105" s="316"/>
      <c r="AV105" s="317"/>
      <c r="AW105" s="316"/>
      <c r="AX105" s="317"/>
      <c r="AY105" s="316"/>
      <c r="AZ105" s="317"/>
      <c r="BA105" s="316"/>
      <c r="BB105" s="317"/>
      <c r="BC105" s="316"/>
      <c r="BD105" s="317"/>
      <c r="BE105" s="316"/>
      <c r="BF105" s="317"/>
      <c r="BG105" s="316"/>
      <c r="BH105" s="317"/>
      <c r="BI105" s="316"/>
      <c r="BJ105" s="317"/>
      <c r="BK105" s="316"/>
      <c r="BL105" s="317"/>
      <c r="BM105" s="316"/>
      <c r="BN105" s="318"/>
      <c r="BO105" s="289">
        <f ca="1">SUMIF(E$4:$BN104,$E$4,E105:BN105)</f>
        <v>0</v>
      </c>
      <c r="BP105" s="286">
        <f>+VLOOKUP(A105,'Tổng,SUMMARY'!C:K,8,0)</f>
        <v>250</v>
      </c>
      <c r="BQ105" s="293">
        <f t="shared" si="32"/>
        <v>-250</v>
      </c>
    </row>
    <row r="106" spans="1:69" ht="18" hidden="1" customHeight="1">
      <c r="A106" s="320" t="s">
        <v>188</v>
      </c>
      <c r="B106" s="271" t="s">
        <v>189</v>
      </c>
      <c r="C106" s="315"/>
      <c r="D106" s="304">
        <f>SUMIF($E$4:BN$4,$F$4,E106:BN106)</f>
        <v>0</v>
      </c>
      <c r="E106" s="316"/>
      <c r="F106" s="317"/>
      <c r="G106" s="316"/>
      <c r="H106" s="317"/>
      <c r="I106" s="316"/>
      <c r="J106" s="317"/>
      <c r="K106" s="316"/>
      <c r="L106" s="317"/>
      <c r="M106" s="316"/>
      <c r="N106" s="317"/>
      <c r="O106" s="316"/>
      <c r="P106" s="317"/>
      <c r="Q106" s="316"/>
      <c r="R106" s="317"/>
      <c r="S106" s="316"/>
      <c r="T106" s="317"/>
      <c r="U106" s="316"/>
      <c r="V106" s="317"/>
      <c r="W106" s="316"/>
      <c r="X106" s="317"/>
      <c r="Y106" s="316"/>
      <c r="Z106" s="317"/>
      <c r="AA106" s="316"/>
      <c r="AB106" s="317"/>
      <c r="AC106" s="316"/>
      <c r="AD106" s="317"/>
      <c r="AE106" s="316"/>
      <c r="AF106" s="317"/>
      <c r="AG106" s="316"/>
      <c r="AH106" s="317"/>
      <c r="AI106" s="316"/>
      <c r="AJ106" s="317"/>
      <c r="AK106" s="316"/>
      <c r="AL106" s="317"/>
      <c r="AM106" s="316"/>
      <c r="AN106" s="317"/>
      <c r="AO106" s="316"/>
      <c r="AP106" s="317"/>
      <c r="AQ106" s="316"/>
      <c r="AR106" s="317"/>
      <c r="AS106" s="316"/>
      <c r="AT106" s="317"/>
      <c r="AU106" s="316"/>
      <c r="AV106" s="317"/>
      <c r="AW106" s="316"/>
      <c r="AX106" s="317"/>
      <c r="AY106" s="316"/>
      <c r="AZ106" s="317"/>
      <c r="BA106" s="316"/>
      <c r="BB106" s="317"/>
      <c r="BC106" s="316"/>
      <c r="BD106" s="317"/>
      <c r="BE106" s="316"/>
      <c r="BF106" s="317"/>
      <c r="BG106" s="316"/>
      <c r="BH106" s="317"/>
      <c r="BI106" s="316"/>
      <c r="BJ106" s="317"/>
      <c r="BK106" s="316"/>
      <c r="BL106" s="317"/>
      <c r="BM106" s="316"/>
      <c r="BN106" s="318"/>
      <c r="BO106" s="289">
        <f ca="1">SUMIF(E$4:$BN105,$E$4,E106:BN106)</f>
        <v>0</v>
      </c>
      <c r="BP106" s="286" t="e">
        <f>+VLOOKUP(A106,'Tổng,SUMMARY'!C:K,8,0)</f>
        <v>#N/A</v>
      </c>
      <c r="BQ106" s="293" t="e">
        <f t="shared" si="32"/>
        <v>#N/A</v>
      </c>
    </row>
    <row r="107" spans="1:69" ht="18" hidden="1" customHeight="1">
      <c r="A107" s="320" t="s">
        <v>190</v>
      </c>
      <c r="B107" s="271" t="s">
        <v>191</v>
      </c>
      <c r="C107" s="315"/>
      <c r="D107" s="304">
        <f>SUMIF($E$4:BN$4,$F$4,E107:BN107)</f>
        <v>0</v>
      </c>
      <c r="E107" s="316"/>
      <c r="F107" s="317"/>
      <c r="G107" s="316"/>
      <c r="H107" s="317"/>
      <c r="I107" s="316"/>
      <c r="J107" s="317"/>
      <c r="K107" s="316"/>
      <c r="L107" s="317"/>
      <c r="M107" s="316"/>
      <c r="N107" s="317"/>
      <c r="O107" s="316"/>
      <c r="P107" s="317"/>
      <c r="Q107" s="316"/>
      <c r="R107" s="317"/>
      <c r="S107" s="316"/>
      <c r="T107" s="317"/>
      <c r="U107" s="316"/>
      <c r="V107" s="317"/>
      <c r="W107" s="316"/>
      <c r="X107" s="317"/>
      <c r="Y107" s="316"/>
      <c r="Z107" s="317"/>
      <c r="AA107" s="316"/>
      <c r="AB107" s="317"/>
      <c r="AC107" s="316"/>
      <c r="AD107" s="317"/>
      <c r="AE107" s="316"/>
      <c r="AF107" s="317"/>
      <c r="AG107" s="316"/>
      <c r="AH107" s="317"/>
      <c r="AI107" s="316"/>
      <c r="AJ107" s="317"/>
      <c r="AK107" s="316"/>
      <c r="AL107" s="317"/>
      <c r="AM107" s="316"/>
      <c r="AN107" s="317"/>
      <c r="AO107" s="316"/>
      <c r="AP107" s="317"/>
      <c r="AQ107" s="316"/>
      <c r="AR107" s="317"/>
      <c r="AS107" s="316"/>
      <c r="AT107" s="317"/>
      <c r="AU107" s="316"/>
      <c r="AV107" s="317"/>
      <c r="AW107" s="316"/>
      <c r="AX107" s="317"/>
      <c r="AY107" s="316"/>
      <c r="AZ107" s="317"/>
      <c r="BA107" s="316"/>
      <c r="BB107" s="317"/>
      <c r="BC107" s="316"/>
      <c r="BD107" s="317"/>
      <c r="BE107" s="316"/>
      <c r="BF107" s="317"/>
      <c r="BG107" s="316"/>
      <c r="BH107" s="317"/>
      <c r="BI107" s="316"/>
      <c r="BJ107" s="317"/>
      <c r="BK107" s="316"/>
      <c r="BL107" s="317"/>
      <c r="BM107" s="316"/>
      <c r="BN107" s="318"/>
      <c r="BO107" s="289">
        <f ca="1">SUMIF(E$4:$BN106,$E$4,E107:BN107)</f>
        <v>0</v>
      </c>
      <c r="BP107" s="286">
        <f>+VLOOKUP(A107,'Tổng,SUMMARY'!C:K,8,0)</f>
        <v>50</v>
      </c>
      <c r="BQ107" s="293">
        <f t="shared" si="32"/>
        <v>-50</v>
      </c>
    </row>
    <row r="108" spans="1:69" ht="18" hidden="1" customHeight="1">
      <c r="A108" s="320" t="s">
        <v>192</v>
      </c>
      <c r="B108" s="271" t="s">
        <v>186</v>
      </c>
      <c r="C108" s="315"/>
      <c r="D108" s="304">
        <f>SUMIF($E$4:BN$4,$F$4,E108:BN108)</f>
        <v>0</v>
      </c>
      <c r="E108" s="316"/>
      <c r="F108" s="317"/>
      <c r="G108" s="316"/>
      <c r="H108" s="317"/>
      <c r="I108" s="316"/>
      <c r="J108" s="317"/>
      <c r="K108" s="316"/>
      <c r="L108" s="317"/>
      <c r="M108" s="316"/>
      <c r="N108" s="317"/>
      <c r="O108" s="316"/>
      <c r="P108" s="317"/>
      <c r="Q108" s="316"/>
      <c r="R108" s="317"/>
      <c r="S108" s="316"/>
      <c r="T108" s="317"/>
      <c r="U108" s="316"/>
      <c r="V108" s="317"/>
      <c r="W108" s="316"/>
      <c r="X108" s="317"/>
      <c r="Y108" s="316"/>
      <c r="Z108" s="317"/>
      <c r="AA108" s="316"/>
      <c r="AB108" s="317"/>
      <c r="AC108" s="316"/>
      <c r="AD108" s="317"/>
      <c r="AE108" s="316"/>
      <c r="AF108" s="317"/>
      <c r="AG108" s="316"/>
      <c r="AH108" s="317"/>
      <c r="AI108" s="316"/>
      <c r="AJ108" s="317"/>
      <c r="AK108" s="316"/>
      <c r="AL108" s="317"/>
      <c r="AM108" s="316"/>
      <c r="AN108" s="317"/>
      <c r="AO108" s="316"/>
      <c r="AP108" s="317"/>
      <c r="AQ108" s="316"/>
      <c r="AR108" s="317"/>
      <c r="AS108" s="316"/>
      <c r="AT108" s="317"/>
      <c r="AU108" s="316"/>
      <c r="AV108" s="317"/>
      <c r="AW108" s="316"/>
      <c r="AX108" s="317"/>
      <c r="AY108" s="316"/>
      <c r="AZ108" s="317"/>
      <c r="BA108" s="316"/>
      <c r="BB108" s="317"/>
      <c r="BC108" s="316"/>
      <c r="BD108" s="317"/>
      <c r="BE108" s="316"/>
      <c r="BF108" s="317"/>
      <c r="BG108" s="316"/>
      <c r="BH108" s="317"/>
      <c r="BI108" s="316"/>
      <c r="BJ108" s="317"/>
      <c r="BK108" s="316"/>
      <c r="BL108" s="317"/>
      <c r="BM108" s="316"/>
      <c r="BN108" s="318"/>
      <c r="BO108" s="289">
        <f ca="1">SUMIF(E$4:$BN107,$E$4,E108:BN108)</f>
        <v>0</v>
      </c>
      <c r="BP108" s="286">
        <f>+VLOOKUP(A108,'Tổng,SUMMARY'!C:K,8,0)</f>
        <v>3750</v>
      </c>
      <c r="BQ108" s="293">
        <f t="shared" si="32"/>
        <v>-3750</v>
      </c>
    </row>
    <row r="109" spans="1:69" ht="18.75" hidden="1" customHeight="1">
      <c r="A109" s="320" t="s">
        <v>193</v>
      </c>
      <c r="B109" s="271" t="s">
        <v>194</v>
      </c>
      <c r="C109" s="315"/>
      <c r="D109" s="304">
        <f>SUMIF($E$4:BN$4,$F$4,E109:BN109)</f>
        <v>0</v>
      </c>
      <c r="E109" s="316"/>
      <c r="F109" s="317"/>
      <c r="G109" s="316"/>
      <c r="H109" s="317"/>
      <c r="I109" s="316"/>
      <c r="J109" s="317"/>
      <c r="K109" s="316"/>
      <c r="L109" s="317"/>
      <c r="M109" s="316"/>
      <c r="N109" s="317"/>
      <c r="O109" s="316"/>
      <c r="P109" s="317"/>
      <c r="Q109" s="316"/>
      <c r="R109" s="317"/>
      <c r="S109" s="316"/>
      <c r="T109" s="317"/>
      <c r="U109" s="316"/>
      <c r="V109" s="317"/>
      <c r="W109" s="316"/>
      <c r="X109" s="317"/>
      <c r="Y109" s="316"/>
      <c r="Z109" s="317"/>
      <c r="AA109" s="316"/>
      <c r="AB109" s="317"/>
      <c r="AC109" s="316"/>
      <c r="AD109" s="317"/>
      <c r="AE109" s="316"/>
      <c r="AF109" s="317"/>
      <c r="AG109" s="316"/>
      <c r="AH109" s="317"/>
      <c r="AI109" s="316"/>
      <c r="AJ109" s="317"/>
      <c r="AK109" s="316"/>
      <c r="AL109" s="317"/>
      <c r="AM109" s="316"/>
      <c r="AN109" s="317"/>
      <c r="AO109" s="316"/>
      <c r="AP109" s="317"/>
      <c r="AQ109" s="316"/>
      <c r="AR109" s="317"/>
      <c r="AS109" s="316"/>
      <c r="AT109" s="317"/>
      <c r="AU109" s="316"/>
      <c r="AV109" s="317"/>
      <c r="AW109" s="316"/>
      <c r="AX109" s="317"/>
      <c r="AY109" s="316"/>
      <c r="AZ109" s="317"/>
      <c r="BA109" s="316"/>
      <c r="BB109" s="317"/>
      <c r="BC109" s="316"/>
      <c r="BD109" s="317"/>
      <c r="BE109" s="316"/>
      <c r="BF109" s="317"/>
      <c r="BG109" s="316"/>
      <c r="BH109" s="317"/>
      <c r="BI109" s="316"/>
      <c r="BJ109" s="317"/>
      <c r="BK109" s="316"/>
      <c r="BL109" s="317"/>
      <c r="BM109" s="316"/>
      <c r="BN109" s="318"/>
      <c r="BO109" s="289">
        <f ca="1">SUMIF(E$4:$BN108,$E$4,E109:BN109)</f>
        <v>0</v>
      </c>
      <c r="BP109" s="286">
        <f>+VLOOKUP(A109,'Tổng,SUMMARY'!C:K,8,0)</f>
        <v>0</v>
      </c>
      <c r="BQ109" s="293">
        <f t="shared" si="32"/>
        <v>0</v>
      </c>
    </row>
    <row r="110" spans="1:69" ht="18.75" hidden="1" customHeight="1">
      <c r="A110" s="320" t="s">
        <v>195</v>
      </c>
      <c r="B110" s="271" t="s">
        <v>196</v>
      </c>
      <c r="C110" s="315"/>
      <c r="D110" s="304">
        <f>SUMIF($E$4:BN$4,$F$4,E110:BN110)</f>
        <v>0</v>
      </c>
      <c r="E110" s="316"/>
      <c r="F110" s="317"/>
      <c r="G110" s="316"/>
      <c r="H110" s="317"/>
      <c r="I110" s="316"/>
      <c r="J110" s="317"/>
      <c r="K110" s="316"/>
      <c r="L110" s="317"/>
      <c r="M110" s="316"/>
      <c r="N110" s="317"/>
      <c r="O110" s="316"/>
      <c r="P110" s="317"/>
      <c r="Q110" s="316"/>
      <c r="R110" s="317"/>
      <c r="S110" s="316"/>
      <c r="T110" s="317"/>
      <c r="U110" s="316"/>
      <c r="V110" s="317"/>
      <c r="W110" s="316"/>
      <c r="X110" s="317"/>
      <c r="Y110" s="316"/>
      <c r="Z110" s="317"/>
      <c r="AA110" s="316"/>
      <c r="AB110" s="317"/>
      <c r="AC110" s="316"/>
      <c r="AD110" s="317"/>
      <c r="AE110" s="316"/>
      <c r="AF110" s="317"/>
      <c r="AG110" s="316"/>
      <c r="AH110" s="317"/>
      <c r="AI110" s="316"/>
      <c r="AJ110" s="317"/>
      <c r="AK110" s="316"/>
      <c r="AL110" s="317"/>
      <c r="AM110" s="316"/>
      <c r="AN110" s="317"/>
      <c r="AO110" s="316"/>
      <c r="AP110" s="317"/>
      <c r="AQ110" s="316"/>
      <c r="AR110" s="317"/>
      <c r="AS110" s="316"/>
      <c r="AT110" s="317"/>
      <c r="AU110" s="316"/>
      <c r="AV110" s="317"/>
      <c r="AW110" s="316"/>
      <c r="AX110" s="317"/>
      <c r="AY110" s="316"/>
      <c r="AZ110" s="317"/>
      <c r="BA110" s="316"/>
      <c r="BB110" s="317"/>
      <c r="BC110" s="316"/>
      <c r="BD110" s="317"/>
      <c r="BE110" s="316"/>
      <c r="BF110" s="317"/>
      <c r="BG110" s="316"/>
      <c r="BH110" s="317"/>
      <c r="BI110" s="316"/>
      <c r="BJ110" s="317"/>
      <c r="BK110" s="316"/>
      <c r="BL110" s="317"/>
      <c r="BM110" s="316"/>
      <c r="BN110" s="318"/>
      <c r="BO110" s="289">
        <f ca="1">SUMIF(E$4:$BN109,$E$4,E110:BN110)</f>
        <v>0</v>
      </c>
      <c r="BP110" s="286">
        <f>+VLOOKUP(A110,'Tổng,SUMMARY'!C:K,8,0)</f>
        <v>200</v>
      </c>
      <c r="BQ110" s="293">
        <f t="shared" si="32"/>
        <v>-200</v>
      </c>
    </row>
    <row r="111" spans="1:69" ht="18.75" hidden="1" customHeight="1">
      <c r="A111" s="320" t="s">
        <v>197</v>
      </c>
      <c r="B111" s="271" t="s">
        <v>196</v>
      </c>
      <c r="C111" s="315"/>
      <c r="D111" s="304">
        <f>SUMIF($E$4:BN$4,$F$4,E111:BN111)</f>
        <v>0</v>
      </c>
      <c r="E111" s="316"/>
      <c r="F111" s="317"/>
      <c r="G111" s="316"/>
      <c r="H111" s="317"/>
      <c r="I111" s="316"/>
      <c r="J111" s="317"/>
      <c r="K111" s="316"/>
      <c r="L111" s="317"/>
      <c r="M111" s="316"/>
      <c r="N111" s="317"/>
      <c r="O111" s="316"/>
      <c r="P111" s="317"/>
      <c r="Q111" s="316"/>
      <c r="R111" s="317"/>
      <c r="S111" s="316"/>
      <c r="T111" s="317"/>
      <c r="U111" s="316"/>
      <c r="V111" s="317"/>
      <c r="W111" s="316"/>
      <c r="X111" s="317"/>
      <c r="Y111" s="316"/>
      <c r="Z111" s="317"/>
      <c r="AA111" s="316"/>
      <c r="AB111" s="317"/>
      <c r="AC111" s="316"/>
      <c r="AD111" s="317"/>
      <c r="AE111" s="316"/>
      <c r="AF111" s="317"/>
      <c r="AG111" s="316"/>
      <c r="AH111" s="317"/>
      <c r="AI111" s="316"/>
      <c r="AJ111" s="317"/>
      <c r="AK111" s="316"/>
      <c r="AL111" s="317"/>
      <c r="AM111" s="316"/>
      <c r="AN111" s="317"/>
      <c r="AO111" s="316"/>
      <c r="AP111" s="317"/>
      <c r="AQ111" s="316"/>
      <c r="AR111" s="317"/>
      <c r="AS111" s="316"/>
      <c r="AT111" s="317"/>
      <c r="AU111" s="316"/>
      <c r="AV111" s="317"/>
      <c r="AW111" s="316"/>
      <c r="AX111" s="317"/>
      <c r="AY111" s="316"/>
      <c r="AZ111" s="317"/>
      <c r="BA111" s="316"/>
      <c r="BB111" s="317"/>
      <c r="BC111" s="316"/>
      <c r="BD111" s="317"/>
      <c r="BE111" s="316"/>
      <c r="BF111" s="317"/>
      <c r="BG111" s="316"/>
      <c r="BH111" s="317"/>
      <c r="BI111" s="316"/>
      <c r="BJ111" s="317"/>
      <c r="BK111" s="316"/>
      <c r="BL111" s="317"/>
      <c r="BM111" s="316"/>
      <c r="BN111" s="318"/>
      <c r="BP111" s="286">
        <f>+VLOOKUP(A111,'Tổng,SUMMARY'!C:K,8,0)</f>
        <v>0</v>
      </c>
      <c r="BQ111" s="293">
        <f t="shared" si="32"/>
        <v>0</v>
      </c>
    </row>
    <row r="112" spans="1:69" ht="18.75" hidden="1" customHeight="1">
      <c r="A112" s="320" t="s">
        <v>198</v>
      </c>
      <c r="B112" s="271" t="s">
        <v>199</v>
      </c>
      <c r="C112" s="315"/>
      <c r="D112" s="304">
        <f>SUMIF($E$4:BN$4,$F$4,E112:BN112)</f>
        <v>0</v>
      </c>
      <c r="E112" s="316"/>
      <c r="F112" s="317"/>
      <c r="G112" s="316"/>
      <c r="H112" s="317"/>
      <c r="I112" s="316"/>
      <c r="J112" s="317"/>
      <c r="K112" s="316"/>
      <c r="L112" s="317"/>
      <c r="M112" s="316"/>
      <c r="N112" s="317"/>
      <c r="O112" s="316"/>
      <c r="P112" s="317"/>
      <c r="Q112" s="316"/>
      <c r="R112" s="317"/>
      <c r="S112" s="316"/>
      <c r="T112" s="317"/>
      <c r="U112" s="316"/>
      <c r="V112" s="317"/>
      <c r="W112" s="316"/>
      <c r="X112" s="317"/>
      <c r="Y112" s="316"/>
      <c r="Z112" s="317"/>
      <c r="AA112" s="316"/>
      <c r="AB112" s="317"/>
      <c r="AC112" s="316"/>
      <c r="AD112" s="317"/>
      <c r="AE112" s="316"/>
      <c r="AF112" s="317"/>
      <c r="AG112" s="316"/>
      <c r="AH112" s="317"/>
      <c r="AI112" s="316"/>
      <c r="AJ112" s="317"/>
      <c r="AK112" s="316"/>
      <c r="AL112" s="317"/>
      <c r="AM112" s="316"/>
      <c r="AN112" s="317"/>
      <c r="AO112" s="316"/>
      <c r="AP112" s="317"/>
      <c r="AQ112" s="316"/>
      <c r="AR112" s="317"/>
      <c r="AS112" s="316"/>
      <c r="AT112" s="317"/>
      <c r="AU112" s="316"/>
      <c r="AV112" s="317"/>
      <c r="AW112" s="316"/>
      <c r="AX112" s="317"/>
      <c r="AY112" s="316"/>
      <c r="AZ112" s="317"/>
      <c r="BA112" s="316"/>
      <c r="BB112" s="317"/>
      <c r="BC112" s="316"/>
      <c r="BD112" s="317"/>
      <c r="BE112" s="316"/>
      <c r="BF112" s="317"/>
      <c r="BG112" s="316"/>
      <c r="BH112" s="317"/>
      <c r="BI112" s="316"/>
      <c r="BJ112" s="317"/>
      <c r="BK112" s="316"/>
      <c r="BL112" s="317"/>
      <c r="BM112" s="316"/>
      <c r="BN112" s="318"/>
      <c r="BO112" s="289">
        <f ca="1">SUMIF(E$4:$BN110,$E$4,E112:BN112)</f>
        <v>0</v>
      </c>
      <c r="BP112" s="286">
        <f>+VLOOKUP(A112,'Tổng,SUMMARY'!C:K,8,0)</f>
        <v>300</v>
      </c>
      <c r="BQ112" s="293">
        <f t="shared" si="32"/>
        <v>-300</v>
      </c>
    </row>
    <row r="113" spans="1:69" ht="18" hidden="1" customHeight="1">
      <c r="A113" s="320" t="s">
        <v>200</v>
      </c>
      <c r="B113" s="271" t="s">
        <v>201</v>
      </c>
      <c r="C113" s="315"/>
      <c r="D113" s="304">
        <f>SUMIF($E$4:BN$4,$F$4,E113:BN113)</f>
        <v>0</v>
      </c>
      <c r="E113" s="316"/>
      <c r="F113" s="317"/>
      <c r="G113" s="316"/>
      <c r="H113" s="317"/>
      <c r="I113" s="316"/>
      <c r="J113" s="317"/>
      <c r="K113" s="316"/>
      <c r="L113" s="317"/>
      <c r="M113" s="316"/>
      <c r="N113" s="317"/>
      <c r="O113" s="316"/>
      <c r="P113" s="317"/>
      <c r="Q113" s="316"/>
      <c r="R113" s="317"/>
      <c r="S113" s="316"/>
      <c r="T113" s="317"/>
      <c r="U113" s="316"/>
      <c r="V113" s="317"/>
      <c r="W113" s="316"/>
      <c r="X113" s="317"/>
      <c r="Y113" s="316"/>
      <c r="Z113" s="317"/>
      <c r="AA113" s="316"/>
      <c r="AB113" s="317"/>
      <c r="AC113" s="316"/>
      <c r="AD113" s="317"/>
      <c r="AE113" s="316"/>
      <c r="AF113" s="317"/>
      <c r="AG113" s="316"/>
      <c r="AH113" s="317"/>
      <c r="AI113" s="316"/>
      <c r="AJ113" s="317"/>
      <c r="AK113" s="316"/>
      <c r="AL113" s="317"/>
      <c r="AM113" s="316"/>
      <c r="AN113" s="317"/>
      <c r="AO113" s="316"/>
      <c r="AP113" s="317"/>
      <c r="AQ113" s="316"/>
      <c r="AR113" s="317"/>
      <c r="AS113" s="316"/>
      <c r="AT113" s="317"/>
      <c r="AU113" s="316"/>
      <c r="AV113" s="317"/>
      <c r="AW113" s="316"/>
      <c r="AX113" s="317"/>
      <c r="AY113" s="316"/>
      <c r="AZ113" s="317"/>
      <c r="BA113" s="316"/>
      <c r="BB113" s="317"/>
      <c r="BC113" s="316"/>
      <c r="BD113" s="317"/>
      <c r="BE113" s="316"/>
      <c r="BF113" s="317"/>
      <c r="BG113" s="316"/>
      <c r="BH113" s="317"/>
      <c r="BI113" s="316"/>
      <c r="BJ113" s="317"/>
      <c r="BK113" s="316"/>
      <c r="BL113" s="317"/>
      <c r="BM113" s="316"/>
      <c r="BN113" s="318"/>
      <c r="BO113" s="289">
        <f ca="1">SUMIF(E$4:$BN112,$E$4,E113:BN113)</f>
        <v>0</v>
      </c>
      <c r="BP113" s="286">
        <f>+VLOOKUP(A113,'Tổng,SUMMARY'!C:K,8,0)</f>
        <v>1350</v>
      </c>
      <c r="BQ113" s="293">
        <f t="shared" si="32"/>
        <v>-1350</v>
      </c>
    </row>
    <row r="114" spans="1:69" ht="18" hidden="1" customHeight="1">
      <c r="A114" s="320" t="s">
        <v>202</v>
      </c>
      <c r="B114" s="271" t="s">
        <v>203</v>
      </c>
      <c r="C114" s="315"/>
      <c r="D114" s="304">
        <f>SUMIF($E$4:BN$4,$F$4,E114:BN114)</f>
        <v>0</v>
      </c>
      <c r="E114" s="316"/>
      <c r="F114" s="317"/>
      <c r="G114" s="316"/>
      <c r="H114" s="317"/>
      <c r="I114" s="316"/>
      <c r="J114" s="317"/>
      <c r="K114" s="316"/>
      <c r="L114" s="317"/>
      <c r="M114" s="316"/>
      <c r="N114" s="317"/>
      <c r="O114" s="316"/>
      <c r="P114" s="317"/>
      <c r="Q114" s="316"/>
      <c r="R114" s="317"/>
      <c r="S114" s="316"/>
      <c r="T114" s="317"/>
      <c r="U114" s="316"/>
      <c r="V114" s="317"/>
      <c r="W114" s="316"/>
      <c r="X114" s="317"/>
      <c r="Y114" s="316"/>
      <c r="Z114" s="317"/>
      <c r="AA114" s="316"/>
      <c r="AB114" s="317"/>
      <c r="AC114" s="316"/>
      <c r="AD114" s="317"/>
      <c r="AE114" s="316"/>
      <c r="AF114" s="317"/>
      <c r="AG114" s="316"/>
      <c r="AH114" s="317"/>
      <c r="AI114" s="316"/>
      <c r="AJ114" s="317"/>
      <c r="AK114" s="316"/>
      <c r="AL114" s="317"/>
      <c r="AM114" s="316"/>
      <c r="AN114" s="317"/>
      <c r="AO114" s="316"/>
      <c r="AP114" s="317"/>
      <c r="AQ114" s="316"/>
      <c r="AR114" s="317"/>
      <c r="AS114" s="316"/>
      <c r="AT114" s="317"/>
      <c r="AU114" s="316"/>
      <c r="AV114" s="317"/>
      <c r="AW114" s="316"/>
      <c r="AX114" s="317"/>
      <c r="AY114" s="316"/>
      <c r="AZ114" s="317"/>
      <c r="BA114" s="316"/>
      <c r="BB114" s="317"/>
      <c r="BC114" s="316"/>
      <c r="BD114" s="317"/>
      <c r="BE114" s="316"/>
      <c r="BF114" s="317"/>
      <c r="BG114" s="316"/>
      <c r="BH114" s="317"/>
      <c r="BI114" s="316"/>
      <c r="BJ114" s="317"/>
      <c r="BK114" s="316"/>
      <c r="BL114" s="317"/>
      <c r="BM114" s="316"/>
      <c r="BN114" s="318"/>
      <c r="BO114" s="289">
        <f ca="1">SUMIF(E$4:$BN113,$E$4,E114:BN114)</f>
        <v>0</v>
      </c>
      <c r="BP114" s="286">
        <f>+VLOOKUP(A114,'Tổng,SUMMARY'!C:K,8,0)</f>
        <v>0</v>
      </c>
      <c r="BQ114" s="293">
        <f t="shared" si="32"/>
        <v>0</v>
      </c>
    </row>
    <row r="115" spans="1:69" ht="18" hidden="1" customHeight="1">
      <c r="A115" s="320" t="s">
        <v>204</v>
      </c>
      <c r="B115" s="271" t="s">
        <v>205</v>
      </c>
      <c r="C115" s="315"/>
      <c r="D115" s="304">
        <f>SUMIF($E$4:BN$4,$F$4,E115:BN115)</f>
        <v>0</v>
      </c>
      <c r="E115" s="316"/>
      <c r="F115" s="317"/>
      <c r="G115" s="316"/>
      <c r="H115" s="317"/>
      <c r="I115" s="316"/>
      <c r="J115" s="317"/>
      <c r="K115" s="316"/>
      <c r="L115" s="317"/>
      <c r="M115" s="316"/>
      <c r="N115" s="317"/>
      <c r="O115" s="316"/>
      <c r="P115" s="317"/>
      <c r="Q115" s="316"/>
      <c r="R115" s="317"/>
      <c r="S115" s="316"/>
      <c r="T115" s="317"/>
      <c r="U115" s="316"/>
      <c r="V115" s="317"/>
      <c r="W115" s="316"/>
      <c r="X115" s="317"/>
      <c r="Y115" s="316"/>
      <c r="Z115" s="317"/>
      <c r="AA115" s="316"/>
      <c r="AB115" s="317"/>
      <c r="AC115" s="316"/>
      <c r="AD115" s="317"/>
      <c r="AE115" s="316"/>
      <c r="AF115" s="317"/>
      <c r="AG115" s="316"/>
      <c r="AH115" s="317"/>
      <c r="AI115" s="316"/>
      <c r="AJ115" s="317"/>
      <c r="AK115" s="316"/>
      <c r="AL115" s="317"/>
      <c r="AM115" s="316"/>
      <c r="AN115" s="317"/>
      <c r="AO115" s="316"/>
      <c r="AP115" s="317"/>
      <c r="AQ115" s="316"/>
      <c r="AR115" s="317"/>
      <c r="AS115" s="316"/>
      <c r="AT115" s="317"/>
      <c r="AU115" s="316"/>
      <c r="AV115" s="317"/>
      <c r="AW115" s="316"/>
      <c r="AX115" s="317"/>
      <c r="AY115" s="316"/>
      <c r="AZ115" s="317"/>
      <c r="BA115" s="316"/>
      <c r="BB115" s="317"/>
      <c r="BC115" s="316"/>
      <c r="BD115" s="317"/>
      <c r="BE115" s="316"/>
      <c r="BF115" s="317"/>
      <c r="BG115" s="316"/>
      <c r="BH115" s="317"/>
      <c r="BI115" s="316"/>
      <c r="BJ115" s="317"/>
      <c r="BK115" s="316"/>
      <c r="BL115" s="317"/>
      <c r="BM115" s="316"/>
      <c r="BN115" s="318"/>
      <c r="BO115" s="289">
        <f ca="1">SUMIF(E$4:$BN114,$E$4,E115:BN115)</f>
        <v>0</v>
      </c>
      <c r="BP115" s="286">
        <f>+VLOOKUP(A115,'Tổng,SUMMARY'!C:K,8,0)</f>
        <v>1000</v>
      </c>
      <c r="BQ115" s="293">
        <f t="shared" si="32"/>
        <v>-1000</v>
      </c>
    </row>
    <row r="116" spans="1:69" ht="18" customHeight="1">
      <c r="A116" s="320" t="s">
        <v>206</v>
      </c>
      <c r="B116" s="271" t="s">
        <v>186</v>
      </c>
      <c r="C116" s="315"/>
      <c r="D116" s="304">
        <f>SUMIF($E$4:BN$4,$F$4,E116:BN116)</f>
        <v>2400</v>
      </c>
      <c r="E116" s="316"/>
      <c r="F116" s="317"/>
      <c r="G116" s="316"/>
      <c r="H116" s="317"/>
      <c r="I116" s="316"/>
      <c r="J116" s="317">
        <v>1200</v>
      </c>
      <c r="K116" s="316"/>
      <c r="L116" s="317">
        <v>1200</v>
      </c>
      <c r="M116" s="316"/>
      <c r="N116" s="317"/>
      <c r="O116" s="316"/>
      <c r="P116" s="317"/>
      <c r="Q116" s="316"/>
      <c r="R116" s="317"/>
      <c r="S116" s="316"/>
      <c r="T116" s="317"/>
      <c r="U116" s="316"/>
      <c r="V116" s="317"/>
      <c r="W116" s="316"/>
      <c r="X116" s="317"/>
      <c r="Y116" s="316"/>
      <c r="Z116" s="317"/>
      <c r="AA116" s="316"/>
      <c r="AB116" s="317"/>
      <c r="AC116" s="316"/>
      <c r="AD116" s="317"/>
      <c r="AE116" s="316"/>
      <c r="AF116" s="317"/>
      <c r="AG116" s="316"/>
      <c r="AH116" s="317"/>
      <c r="AI116" s="316"/>
      <c r="AJ116" s="317"/>
      <c r="AK116" s="316"/>
      <c r="AL116" s="317"/>
      <c r="AM116" s="316"/>
      <c r="AN116" s="317"/>
      <c r="AO116" s="316"/>
      <c r="AP116" s="317"/>
      <c r="AQ116" s="316"/>
      <c r="AR116" s="317"/>
      <c r="AS116" s="316"/>
      <c r="AT116" s="317"/>
      <c r="AU116" s="316"/>
      <c r="AV116" s="317"/>
      <c r="AW116" s="316"/>
      <c r="AX116" s="317"/>
      <c r="AY116" s="316"/>
      <c r="AZ116" s="317"/>
      <c r="BA116" s="316"/>
      <c r="BB116" s="317"/>
      <c r="BC116" s="316"/>
      <c r="BD116" s="317"/>
      <c r="BE116" s="316"/>
      <c r="BF116" s="317"/>
      <c r="BG116" s="316"/>
      <c r="BH116" s="317"/>
      <c r="BI116" s="316"/>
      <c r="BJ116" s="317"/>
      <c r="BK116" s="316"/>
      <c r="BL116" s="317"/>
      <c r="BM116" s="316"/>
      <c r="BN116" s="318"/>
      <c r="BO116" s="289">
        <f ca="1">SUMIF(E$4:$BN115,$E$4,E116:BN116)</f>
        <v>0</v>
      </c>
      <c r="BP116" s="286">
        <f>+VLOOKUP(A116,'Tổng,SUMMARY'!C:K,8,0)</f>
        <v>2300</v>
      </c>
      <c r="BQ116" s="293">
        <f t="shared" si="32"/>
        <v>100</v>
      </c>
    </row>
    <row r="117" spans="1:69" ht="18" hidden="1" customHeight="1">
      <c r="A117" s="320" t="s">
        <v>207</v>
      </c>
      <c r="B117" s="271" t="s">
        <v>208</v>
      </c>
      <c r="C117" s="315"/>
      <c r="D117" s="304">
        <f>SUMIF($E$4:BN$4,$F$4,E117:BN117)</f>
        <v>0</v>
      </c>
      <c r="E117" s="316"/>
      <c r="F117" s="317"/>
      <c r="G117" s="316"/>
      <c r="H117" s="317"/>
      <c r="I117" s="316"/>
      <c r="J117" s="317"/>
      <c r="K117" s="316"/>
      <c r="L117" s="317"/>
      <c r="M117" s="316"/>
      <c r="N117" s="317"/>
      <c r="O117" s="316"/>
      <c r="P117" s="317"/>
      <c r="Q117" s="316"/>
      <c r="R117" s="317"/>
      <c r="S117" s="316"/>
      <c r="T117" s="317"/>
      <c r="U117" s="316"/>
      <c r="V117" s="317"/>
      <c r="W117" s="316"/>
      <c r="X117" s="317"/>
      <c r="Y117" s="316"/>
      <c r="Z117" s="317"/>
      <c r="AA117" s="316"/>
      <c r="AB117" s="317"/>
      <c r="AC117" s="316"/>
      <c r="AD117" s="317"/>
      <c r="AE117" s="316"/>
      <c r="AF117" s="317"/>
      <c r="AG117" s="316"/>
      <c r="AH117" s="317"/>
      <c r="AI117" s="316"/>
      <c r="AJ117" s="317"/>
      <c r="AK117" s="316"/>
      <c r="AL117" s="317"/>
      <c r="AM117" s="316"/>
      <c r="AN117" s="317"/>
      <c r="AO117" s="316"/>
      <c r="AP117" s="317"/>
      <c r="AQ117" s="316"/>
      <c r="AR117" s="317"/>
      <c r="AS117" s="316"/>
      <c r="AT117" s="317"/>
      <c r="AU117" s="316"/>
      <c r="AV117" s="317"/>
      <c r="AW117" s="316"/>
      <c r="AX117" s="317"/>
      <c r="AY117" s="316"/>
      <c r="AZ117" s="317"/>
      <c r="BA117" s="316"/>
      <c r="BB117" s="317"/>
      <c r="BC117" s="316"/>
      <c r="BD117" s="317"/>
      <c r="BE117" s="316"/>
      <c r="BF117" s="317"/>
      <c r="BG117" s="316"/>
      <c r="BH117" s="317"/>
      <c r="BI117" s="316"/>
      <c r="BJ117" s="317"/>
      <c r="BK117" s="316"/>
      <c r="BL117" s="317"/>
      <c r="BM117" s="316"/>
      <c r="BN117" s="318"/>
      <c r="BO117" s="289">
        <f ca="1">SUMIF(E$4:$BN116,$E$4,E117:BN117)</f>
        <v>0</v>
      </c>
      <c r="BP117" s="286">
        <f>+VLOOKUP(A117,'Tổng,SUMMARY'!C:K,8,0)</f>
        <v>1800</v>
      </c>
      <c r="BQ117" s="293">
        <f t="shared" si="32"/>
        <v>-1800</v>
      </c>
    </row>
    <row r="118" spans="1:69" ht="18" customHeight="1">
      <c r="A118" s="320" t="s">
        <v>209</v>
      </c>
      <c r="B118" s="271" t="s">
        <v>210</v>
      </c>
      <c r="C118" s="315"/>
      <c r="D118" s="304">
        <f>SUMIF($E$4:BN$4,$F$4,E118:BN118)</f>
        <v>4800</v>
      </c>
      <c r="E118" s="316"/>
      <c r="F118" s="317"/>
      <c r="G118" s="316"/>
      <c r="H118" s="317"/>
      <c r="I118" s="316"/>
      <c r="J118" s="317"/>
      <c r="K118" s="316"/>
      <c r="L118" s="317">
        <v>4800</v>
      </c>
      <c r="M118" s="316"/>
      <c r="N118" s="317"/>
      <c r="O118" s="316"/>
      <c r="P118" s="317"/>
      <c r="Q118" s="316"/>
      <c r="R118" s="317"/>
      <c r="S118" s="316"/>
      <c r="T118" s="317"/>
      <c r="U118" s="316"/>
      <c r="V118" s="317"/>
      <c r="W118" s="316"/>
      <c r="X118" s="317"/>
      <c r="Y118" s="316"/>
      <c r="Z118" s="317"/>
      <c r="AA118" s="316"/>
      <c r="AB118" s="317"/>
      <c r="AC118" s="316"/>
      <c r="AD118" s="317"/>
      <c r="AE118" s="316"/>
      <c r="AF118" s="317"/>
      <c r="AG118" s="316"/>
      <c r="AH118" s="317"/>
      <c r="AI118" s="316"/>
      <c r="AJ118" s="317"/>
      <c r="AK118" s="316"/>
      <c r="AL118" s="317"/>
      <c r="AM118" s="316"/>
      <c r="AN118" s="317"/>
      <c r="AO118" s="316"/>
      <c r="AP118" s="317"/>
      <c r="AQ118" s="316"/>
      <c r="AR118" s="317"/>
      <c r="AS118" s="316"/>
      <c r="AT118" s="317"/>
      <c r="AU118" s="316"/>
      <c r="AV118" s="317"/>
      <c r="AW118" s="316"/>
      <c r="AX118" s="317"/>
      <c r="AY118" s="316"/>
      <c r="AZ118" s="317"/>
      <c r="BA118" s="316"/>
      <c r="BB118" s="317"/>
      <c r="BC118" s="316"/>
      <c r="BD118" s="317"/>
      <c r="BE118" s="316"/>
      <c r="BF118" s="317"/>
      <c r="BG118" s="316"/>
      <c r="BH118" s="317"/>
      <c r="BI118" s="316"/>
      <c r="BJ118" s="317"/>
      <c r="BK118" s="316"/>
      <c r="BL118" s="317"/>
      <c r="BM118" s="316"/>
      <c r="BN118" s="318"/>
      <c r="BO118" s="289">
        <f ca="1">SUMIF(E$4:$BN117,$E$4,E118:BN118)</f>
        <v>0</v>
      </c>
      <c r="BP118" s="286">
        <f>+VLOOKUP(A118,'Tổng,SUMMARY'!C:K,8,0)</f>
        <v>20550</v>
      </c>
      <c r="BQ118" s="293">
        <f t="shared" si="32"/>
        <v>-15750</v>
      </c>
    </row>
    <row r="119" spans="1:69" ht="18" customHeight="1">
      <c r="A119" s="320" t="s">
        <v>211</v>
      </c>
      <c r="B119" s="271" t="s">
        <v>212</v>
      </c>
      <c r="C119" s="315"/>
      <c r="D119" s="304">
        <f>SUMIF($E$4:BN$4,$F$4,E119:BN119)</f>
        <v>1150</v>
      </c>
      <c r="E119" s="316"/>
      <c r="F119" s="317"/>
      <c r="G119" s="316"/>
      <c r="H119" s="317"/>
      <c r="I119" s="316"/>
      <c r="J119" s="317"/>
      <c r="K119" s="316"/>
      <c r="L119" s="317">
        <v>1150</v>
      </c>
      <c r="M119" s="316"/>
      <c r="N119" s="317"/>
      <c r="O119" s="316"/>
      <c r="P119" s="317"/>
      <c r="Q119" s="316"/>
      <c r="R119" s="317"/>
      <c r="S119" s="316"/>
      <c r="T119" s="317"/>
      <c r="U119" s="316"/>
      <c r="V119" s="317"/>
      <c r="W119" s="316"/>
      <c r="X119" s="317"/>
      <c r="Y119" s="316"/>
      <c r="Z119" s="317"/>
      <c r="AA119" s="316"/>
      <c r="AB119" s="317"/>
      <c r="AC119" s="316"/>
      <c r="AD119" s="317"/>
      <c r="AE119" s="316"/>
      <c r="AF119" s="317"/>
      <c r="AG119" s="316"/>
      <c r="AH119" s="317"/>
      <c r="AI119" s="316"/>
      <c r="AJ119" s="317"/>
      <c r="AK119" s="316"/>
      <c r="AL119" s="317"/>
      <c r="AM119" s="316"/>
      <c r="AN119" s="317"/>
      <c r="AO119" s="316"/>
      <c r="AP119" s="317"/>
      <c r="AQ119" s="316"/>
      <c r="AR119" s="317"/>
      <c r="AS119" s="316"/>
      <c r="AT119" s="317"/>
      <c r="AU119" s="316"/>
      <c r="AV119" s="317"/>
      <c r="AW119" s="316"/>
      <c r="AX119" s="317"/>
      <c r="AY119" s="316"/>
      <c r="AZ119" s="317"/>
      <c r="BA119" s="316"/>
      <c r="BB119" s="317"/>
      <c r="BC119" s="316"/>
      <c r="BD119" s="317"/>
      <c r="BE119" s="316"/>
      <c r="BF119" s="317"/>
      <c r="BG119" s="316"/>
      <c r="BH119" s="317"/>
      <c r="BI119" s="316"/>
      <c r="BJ119" s="317"/>
      <c r="BK119" s="316"/>
      <c r="BL119" s="317"/>
      <c r="BM119" s="316"/>
      <c r="BN119" s="318"/>
      <c r="BO119" s="289">
        <f ca="1">SUMIF(E$4:$BN118,$E$4,E119:BN119)</f>
        <v>0</v>
      </c>
      <c r="BP119" s="286">
        <f>+VLOOKUP(A119,'Tổng,SUMMARY'!C:K,8,0)</f>
        <v>2650</v>
      </c>
      <c r="BQ119" s="293">
        <f t="shared" si="32"/>
        <v>-1500</v>
      </c>
    </row>
    <row r="120" spans="1:69" ht="18" hidden="1" customHeight="1">
      <c r="A120" s="320" t="s">
        <v>213</v>
      </c>
      <c r="B120" s="271" t="s">
        <v>212</v>
      </c>
      <c r="C120" s="315"/>
      <c r="D120" s="304">
        <f>SUMIF($E$4:BN$4,$F$4,E120:BN120)</f>
        <v>0</v>
      </c>
      <c r="E120" s="316"/>
      <c r="F120" s="317"/>
      <c r="G120" s="316"/>
      <c r="H120" s="317"/>
      <c r="I120" s="316"/>
      <c r="J120" s="317"/>
      <c r="K120" s="316"/>
      <c r="L120" s="317"/>
      <c r="M120" s="316"/>
      <c r="N120" s="317"/>
      <c r="O120" s="316"/>
      <c r="P120" s="317"/>
      <c r="Q120" s="316"/>
      <c r="R120" s="317"/>
      <c r="S120" s="316"/>
      <c r="T120" s="317"/>
      <c r="U120" s="316"/>
      <c r="V120" s="317"/>
      <c r="W120" s="316"/>
      <c r="X120" s="317"/>
      <c r="Y120" s="316"/>
      <c r="Z120" s="317"/>
      <c r="AA120" s="316"/>
      <c r="AB120" s="317"/>
      <c r="AC120" s="316"/>
      <c r="AD120" s="317"/>
      <c r="AE120" s="316"/>
      <c r="AF120" s="317"/>
      <c r="AG120" s="316"/>
      <c r="AH120" s="317"/>
      <c r="AI120" s="316"/>
      <c r="AJ120" s="317"/>
      <c r="AK120" s="316"/>
      <c r="AL120" s="317"/>
      <c r="AM120" s="316"/>
      <c r="AN120" s="317"/>
      <c r="AO120" s="316"/>
      <c r="AP120" s="317"/>
      <c r="AQ120" s="316"/>
      <c r="AR120" s="317"/>
      <c r="AS120" s="316"/>
      <c r="AT120" s="317"/>
      <c r="AU120" s="316"/>
      <c r="AV120" s="317"/>
      <c r="AW120" s="316"/>
      <c r="AX120" s="317"/>
      <c r="AY120" s="316"/>
      <c r="AZ120" s="317"/>
      <c r="BA120" s="316"/>
      <c r="BB120" s="317"/>
      <c r="BC120" s="316"/>
      <c r="BD120" s="317"/>
      <c r="BE120" s="316"/>
      <c r="BF120" s="317"/>
      <c r="BG120" s="316"/>
      <c r="BH120" s="317"/>
      <c r="BI120" s="316"/>
      <c r="BJ120" s="317"/>
      <c r="BK120" s="316"/>
      <c r="BL120" s="317"/>
      <c r="BM120" s="316"/>
      <c r="BN120" s="318"/>
      <c r="BO120" s="289">
        <f ca="1">SUMIF(E$4:$BN119,$E$4,E120:BN120)</f>
        <v>0</v>
      </c>
      <c r="BP120" s="286">
        <f>+VLOOKUP(A120,'Tổng,SUMMARY'!C:K,8,0)</f>
        <v>0</v>
      </c>
      <c r="BQ120" s="293">
        <f t="shared" si="32"/>
        <v>0</v>
      </c>
    </row>
    <row r="121" spans="1:69" ht="18" hidden="1" customHeight="1">
      <c r="A121" s="320" t="s">
        <v>214</v>
      </c>
      <c r="B121" s="271" t="s">
        <v>215</v>
      </c>
      <c r="C121" s="315"/>
      <c r="D121" s="304">
        <f>SUMIF($E$4:BN$4,$F$4,E121:BN121)</f>
        <v>0</v>
      </c>
      <c r="E121" s="316"/>
      <c r="F121" s="317"/>
      <c r="G121" s="316"/>
      <c r="H121" s="317"/>
      <c r="I121" s="316"/>
      <c r="J121" s="317"/>
      <c r="K121" s="316"/>
      <c r="L121" s="317"/>
      <c r="M121" s="316"/>
      <c r="N121" s="317"/>
      <c r="O121" s="316"/>
      <c r="P121" s="317"/>
      <c r="Q121" s="316"/>
      <c r="R121" s="317"/>
      <c r="S121" s="316"/>
      <c r="T121" s="317"/>
      <c r="U121" s="316"/>
      <c r="V121" s="317"/>
      <c r="W121" s="316"/>
      <c r="X121" s="317"/>
      <c r="Y121" s="316"/>
      <c r="Z121" s="317"/>
      <c r="AA121" s="316"/>
      <c r="AB121" s="317"/>
      <c r="AC121" s="316"/>
      <c r="AD121" s="317"/>
      <c r="AE121" s="316"/>
      <c r="AF121" s="317"/>
      <c r="AG121" s="316"/>
      <c r="AH121" s="317"/>
      <c r="AI121" s="316"/>
      <c r="AJ121" s="317"/>
      <c r="AK121" s="316"/>
      <c r="AL121" s="317"/>
      <c r="AM121" s="316"/>
      <c r="AN121" s="317"/>
      <c r="AO121" s="316"/>
      <c r="AP121" s="317"/>
      <c r="AQ121" s="316"/>
      <c r="AR121" s="317"/>
      <c r="AS121" s="316"/>
      <c r="AT121" s="317"/>
      <c r="AU121" s="316"/>
      <c r="AV121" s="317"/>
      <c r="AW121" s="316"/>
      <c r="AX121" s="317"/>
      <c r="AY121" s="316"/>
      <c r="AZ121" s="317"/>
      <c r="BA121" s="316"/>
      <c r="BB121" s="317"/>
      <c r="BC121" s="316"/>
      <c r="BD121" s="317"/>
      <c r="BE121" s="316"/>
      <c r="BF121" s="317"/>
      <c r="BG121" s="316"/>
      <c r="BH121" s="317"/>
      <c r="BI121" s="316"/>
      <c r="BJ121" s="317"/>
      <c r="BK121" s="316"/>
      <c r="BL121" s="317"/>
      <c r="BM121" s="316"/>
      <c r="BN121" s="318"/>
      <c r="BO121" s="289">
        <f ca="1">SUMIF(E$4:$BN120,$E$4,E121:BN121)</f>
        <v>0</v>
      </c>
      <c r="BP121" s="286">
        <f>+VLOOKUP(A121,'Tổng,SUMMARY'!C:K,8,0)</f>
        <v>200</v>
      </c>
      <c r="BQ121" s="293">
        <f t="shared" si="32"/>
        <v>-200</v>
      </c>
    </row>
    <row r="122" spans="1:69" ht="18" hidden="1" customHeight="1">
      <c r="A122" s="320" t="s">
        <v>216</v>
      </c>
      <c r="B122" s="271" t="s">
        <v>217</v>
      </c>
      <c r="C122" s="315"/>
      <c r="D122" s="304">
        <f>SUMIF($E$4:BN$4,$F$4,E122:BN122)</f>
        <v>0</v>
      </c>
      <c r="E122" s="316"/>
      <c r="F122" s="317"/>
      <c r="G122" s="316"/>
      <c r="H122" s="317"/>
      <c r="I122" s="316"/>
      <c r="J122" s="317"/>
      <c r="K122" s="316"/>
      <c r="L122" s="317"/>
      <c r="M122" s="316"/>
      <c r="N122" s="317"/>
      <c r="O122" s="316"/>
      <c r="P122" s="317"/>
      <c r="Q122" s="316"/>
      <c r="R122" s="317"/>
      <c r="S122" s="316"/>
      <c r="T122" s="317"/>
      <c r="U122" s="316"/>
      <c r="V122" s="317"/>
      <c r="W122" s="316"/>
      <c r="X122" s="317"/>
      <c r="Y122" s="316"/>
      <c r="Z122" s="317"/>
      <c r="AA122" s="316"/>
      <c r="AB122" s="317"/>
      <c r="AC122" s="316"/>
      <c r="AD122" s="317"/>
      <c r="AE122" s="316"/>
      <c r="AF122" s="317"/>
      <c r="AG122" s="316"/>
      <c r="AH122" s="317"/>
      <c r="AI122" s="316"/>
      <c r="AJ122" s="317"/>
      <c r="AK122" s="316"/>
      <c r="AL122" s="317"/>
      <c r="AM122" s="316"/>
      <c r="AN122" s="317"/>
      <c r="AO122" s="316"/>
      <c r="AP122" s="317"/>
      <c r="AQ122" s="316"/>
      <c r="AR122" s="317"/>
      <c r="AS122" s="316"/>
      <c r="AT122" s="317"/>
      <c r="AU122" s="316"/>
      <c r="AV122" s="317"/>
      <c r="AW122" s="316"/>
      <c r="AX122" s="317"/>
      <c r="AY122" s="316"/>
      <c r="AZ122" s="317"/>
      <c r="BA122" s="316"/>
      <c r="BB122" s="317"/>
      <c r="BC122" s="316"/>
      <c r="BD122" s="317"/>
      <c r="BE122" s="316"/>
      <c r="BF122" s="317"/>
      <c r="BG122" s="316"/>
      <c r="BH122" s="317"/>
      <c r="BI122" s="316"/>
      <c r="BJ122" s="317"/>
      <c r="BK122" s="316"/>
      <c r="BL122" s="317"/>
      <c r="BM122" s="316"/>
      <c r="BN122" s="318"/>
      <c r="BO122" s="289">
        <f ca="1">SUMIF(E$4:$BN121,$E$4,E122:BN122)</f>
        <v>0</v>
      </c>
      <c r="BP122" s="286">
        <f>+VLOOKUP(A122,'Tổng,SUMMARY'!C:K,8,0)</f>
        <v>350</v>
      </c>
      <c r="BQ122" s="293">
        <f t="shared" si="32"/>
        <v>-350</v>
      </c>
    </row>
    <row r="123" spans="1:69" ht="18" hidden="1" customHeight="1">
      <c r="A123" s="320" t="s">
        <v>218</v>
      </c>
      <c r="B123" s="271" t="s">
        <v>219</v>
      </c>
      <c r="C123" s="315"/>
      <c r="D123" s="304">
        <f>SUMIF($E$4:BN$4,$F$4,E123:BN123)</f>
        <v>0</v>
      </c>
      <c r="E123" s="316"/>
      <c r="F123" s="317"/>
      <c r="G123" s="316"/>
      <c r="H123" s="317"/>
      <c r="I123" s="316"/>
      <c r="J123" s="317"/>
      <c r="K123" s="316"/>
      <c r="L123" s="317"/>
      <c r="M123" s="316"/>
      <c r="N123" s="317"/>
      <c r="O123" s="316"/>
      <c r="P123" s="317"/>
      <c r="Q123" s="316"/>
      <c r="R123" s="317"/>
      <c r="S123" s="316"/>
      <c r="T123" s="317"/>
      <c r="U123" s="316"/>
      <c r="V123" s="317"/>
      <c r="W123" s="316"/>
      <c r="X123" s="317"/>
      <c r="Y123" s="316"/>
      <c r="Z123" s="317"/>
      <c r="AA123" s="316"/>
      <c r="AB123" s="317"/>
      <c r="AC123" s="316"/>
      <c r="AD123" s="317"/>
      <c r="AE123" s="316"/>
      <c r="AF123" s="317"/>
      <c r="AG123" s="316"/>
      <c r="AH123" s="317"/>
      <c r="AI123" s="316"/>
      <c r="AJ123" s="317"/>
      <c r="AK123" s="316"/>
      <c r="AL123" s="317"/>
      <c r="AM123" s="316"/>
      <c r="AN123" s="317"/>
      <c r="AO123" s="316"/>
      <c r="AP123" s="317"/>
      <c r="AQ123" s="316"/>
      <c r="AR123" s="317"/>
      <c r="AS123" s="316"/>
      <c r="AT123" s="317"/>
      <c r="AU123" s="316"/>
      <c r="AV123" s="317"/>
      <c r="AW123" s="316"/>
      <c r="AX123" s="317"/>
      <c r="AY123" s="316"/>
      <c r="AZ123" s="317"/>
      <c r="BA123" s="316"/>
      <c r="BB123" s="317"/>
      <c r="BC123" s="316"/>
      <c r="BD123" s="317"/>
      <c r="BE123" s="316"/>
      <c r="BF123" s="317"/>
      <c r="BG123" s="316"/>
      <c r="BH123" s="317"/>
      <c r="BI123" s="316"/>
      <c r="BJ123" s="317"/>
      <c r="BK123" s="316"/>
      <c r="BL123" s="317"/>
      <c r="BM123" s="316"/>
      <c r="BN123" s="318"/>
      <c r="BO123" s="289">
        <f ca="1">SUMIF(E$4:$BN122,$E$4,E123:BN123)</f>
        <v>0</v>
      </c>
      <c r="BP123" s="286">
        <f>+VLOOKUP(A123,'Tổng,SUMMARY'!C:K,8,0)</f>
        <v>200</v>
      </c>
      <c r="BQ123" s="293">
        <f t="shared" si="32"/>
        <v>-200</v>
      </c>
    </row>
    <row r="124" spans="1:69" ht="18" hidden="1" customHeight="1">
      <c r="A124" s="320" t="s">
        <v>220</v>
      </c>
      <c r="B124" s="271" t="s">
        <v>221</v>
      </c>
      <c r="C124" s="315"/>
      <c r="D124" s="304">
        <f>SUMIF($E$4:BN$4,$F$4,E124:BN124)</f>
        <v>0</v>
      </c>
      <c r="E124" s="316"/>
      <c r="F124" s="317"/>
      <c r="G124" s="316"/>
      <c r="H124" s="317"/>
      <c r="I124" s="316"/>
      <c r="J124" s="317"/>
      <c r="K124" s="316"/>
      <c r="L124" s="317"/>
      <c r="M124" s="316"/>
      <c r="N124" s="317"/>
      <c r="O124" s="316"/>
      <c r="P124" s="317"/>
      <c r="Q124" s="316"/>
      <c r="R124" s="317"/>
      <c r="S124" s="316"/>
      <c r="T124" s="317"/>
      <c r="U124" s="316"/>
      <c r="V124" s="317"/>
      <c r="W124" s="316"/>
      <c r="X124" s="317"/>
      <c r="Y124" s="316"/>
      <c r="Z124" s="317"/>
      <c r="AA124" s="316"/>
      <c r="AB124" s="317"/>
      <c r="AC124" s="316"/>
      <c r="AD124" s="317"/>
      <c r="AE124" s="316"/>
      <c r="AF124" s="317"/>
      <c r="AG124" s="316"/>
      <c r="AH124" s="317"/>
      <c r="AI124" s="316"/>
      <c r="AJ124" s="317"/>
      <c r="AK124" s="316"/>
      <c r="AL124" s="317"/>
      <c r="AM124" s="316"/>
      <c r="AN124" s="317"/>
      <c r="AO124" s="316"/>
      <c r="AP124" s="317"/>
      <c r="AQ124" s="316"/>
      <c r="AR124" s="317"/>
      <c r="AS124" s="316"/>
      <c r="AT124" s="317"/>
      <c r="AU124" s="316"/>
      <c r="AV124" s="317"/>
      <c r="AW124" s="316"/>
      <c r="AX124" s="317"/>
      <c r="AY124" s="316"/>
      <c r="AZ124" s="317"/>
      <c r="BA124" s="316"/>
      <c r="BB124" s="317"/>
      <c r="BC124" s="316"/>
      <c r="BD124" s="317"/>
      <c r="BE124" s="316"/>
      <c r="BF124" s="317"/>
      <c r="BG124" s="316"/>
      <c r="BH124" s="317"/>
      <c r="BI124" s="316"/>
      <c r="BJ124" s="317"/>
      <c r="BK124" s="316"/>
      <c r="BL124" s="317"/>
      <c r="BM124" s="316"/>
      <c r="BN124" s="318"/>
      <c r="BO124" s="289">
        <f ca="1">SUMIF(E$4:$BN123,$E$4,E124:BN124)</f>
        <v>0</v>
      </c>
      <c r="BP124" s="286">
        <f>+VLOOKUP(A124,'Tổng,SUMMARY'!C:K,8,0)</f>
        <v>100</v>
      </c>
      <c r="BQ124" s="293">
        <f t="shared" si="32"/>
        <v>-100</v>
      </c>
    </row>
    <row r="125" spans="1:69" ht="18" hidden="1" customHeight="1">
      <c r="A125" s="320" t="s">
        <v>222</v>
      </c>
      <c r="B125" s="271" t="s">
        <v>223</v>
      </c>
      <c r="C125" s="315"/>
      <c r="D125" s="304">
        <f>SUMIF($E$4:BN$4,$F$4,E125:BN125)</f>
        <v>0</v>
      </c>
      <c r="E125" s="316"/>
      <c r="F125" s="317"/>
      <c r="G125" s="316"/>
      <c r="H125" s="317"/>
      <c r="I125" s="316"/>
      <c r="J125" s="317"/>
      <c r="K125" s="316"/>
      <c r="L125" s="317"/>
      <c r="M125" s="316"/>
      <c r="N125" s="317"/>
      <c r="O125" s="316"/>
      <c r="P125" s="317"/>
      <c r="Q125" s="316"/>
      <c r="R125" s="317"/>
      <c r="S125" s="316"/>
      <c r="T125" s="317"/>
      <c r="U125" s="316"/>
      <c r="V125" s="317"/>
      <c r="W125" s="316"/>
      <c r="X125" s="317"/>
      <c r="Y125" s="316"/>
      <c r="Z125" s="317"/>
      <c r="AA125" s="316"/>
      <c r="AB125" s="317"/>
      <c r="AC125" s="316"/>
      <c r="AD125" s="317"/>
      <c r="AE125" s="316"/>
      <c r="AF125" s="317"/>
      <c r="AG125" s="316"/>
      <c r="AH125" s="317"/>
      <c r="AI125" s="316"/>
      <c r="AJ125" s="317"/>
      <c r="AK125" s="316"/>
      <c r="AL125" s="317"/>
      <c r="AM125" s="316"/>
      <c r="AN125" s="317"/>
      <c r="AO125" s="316"/>
      <c r="AP125" s="317"/>
      <c r="AQ125" s="316"/>
      <c r="AR125" s="317"/>
      <c r="AS125" s="316"/>
      <c r="AT125" s="317"/>
      <c r="AU125" s="316"/>
      <c r="AV125" s="317"/>
      <c r="AW125" s="316"/>
      <c r="AX125" s="317"/>
      <c r="AY125" s="316"/>
      <c r="AZ125" s="317"/>
      <c r="BA125" s="316"/>
      <c r="BB125" s="317"/>
      <c r="BC125" s="316"/>
      <c r="BD125" s="317"/>
      <c r="BE125" s="316"/>
      <c r="BF125" s="317"/>
      <c r="BG125" s="316"/>
      <c r="BH125" s="317"/>
      <c r="BI125" s="316"/>
      <c r="BJ125" s="317"/>
      <c r="BK125" s="316"/>
      <c r="BL125" s="317"/>
      <c r="BM125" s="316"/>
      <c r="BN125" s="318"/>
      <c r="BO125" s="289">
        <f ca="1">SUMIF(E$4:$BN124,$E$4,E125:BN125)</f>
        <v>0</v>
      </c>
      <c r="BP125" s="286">
        <f>+VLOOKUP(A125,'Tổng,SUMMARY'!C:K,8,0)</f>
        <v>0</v>
      </c>
      <c r="BQ125" s="293">
        <f t="shared" si="32"/>
        <v>0</v>
      </c>
    </row>
    <row r="126" spans="1:69" ht="18" hidden="1" customHeight="1">
      <c r="A126" s="320" t="s">
        <v>224</v>
      </c>
      <c r="B126" s="271" t="s">
        <v>225</v>
      </c>
      <c r="C126" s="315"/>
      <c r="D126" s="304">
        <f>SUMIF($E$4:BN$4,$F$4,E126:BN126)</f>
        <v>0</v>
      </c>
      <c r="E126" s="316"/>
      <c r="F126" s="317"/>
      <c r="G126" s="316"/>
      <c r="H126" s="317"/>
      <c r="I126" s="316"/>
      <c r="J126" s="317"/>
      <c r="K126" s="316"/>
      <c r="L126" s="317"/>
      <c r="M126" s="316"/>
      <c r="N126" s="317"/>
      <c r="O126" s="316"/>
      <c r="P126" s="317"/>
      <c r="Q126" s="316"/>
      <c r="R126" s="317"/>
      <c r="S126" s="316"/>
      <c r="T126" s="317"/>
      <c r="U126" s="316"/>
      <c r="V126" s="317"/>
      <c r="W126" s="316"/>
      <c r="X126" s="317"/>
      <c r="Y126" s="316"/>
      <c r="Z126" s="317"/>
      <c r="AA126" s="316"/>
      <c r="AB126" s="317"/>
      <c r="AC126" s="316"/>
      <c r="AD126" s="317"/>
      <c r="AE126" s="316"/>
      <c r="AF126" s="317"/>
      <c r="AG126" s="316"/>
      <c r="AH126" s="317"/>
      <c r="AI126" s="316"/>
      <c r="AJ126" s="317"/>
      <c r="AK126" s="316"/>
      <c r="AL126" s="317"/>
      <c r="AM126" s="316"/>
      <c r="AN126" s="317"/>
      <c r="AO126" s="316"/>
      <c r="AP126" s="317"/>
      <c r="AQ126" s="316"/>
      <c r="AR126" s="317"/>
      <c r="AS126" s="316"/>
      <c r="AT126" s="317"/>
      <c r="AU126" s="316"/>
      <c r="AV126" s="317"/>
      <c r="AW126" s="316"/>
      <c r="AX126" s="317"/>
      <c r="AY126" s="316"/>
      <c r="AZ126" s="317"/>
      <c r="BA126" s="316"/>
      <c r="BB126" s="317"/>
      <c r="BC126" s="316"/>
      <c r="BD126" s="317"/>
      <c r="BE126" s="316"/>
      <c r="BF126" s="317"/>
      <c r="BG126" s="316"/>
      <c r="BH126" s="317"/>
      <c r="BI126" s="316"/>
      <c r="BJ126" s="317"/>
      <c r="BK126" s="316"/>
      <c r="BL126" s="317"/>
      <c r="BM126" s="316"/>
      <c r="BN126" s="318"/>
      <c r="BO126" s="289">
        <f ca="1">SUMIF(E$4:$BN125,$E$4,E126:BN126)</f>
        <v>0</v>
      </c>
      <c r="BP126" s="286">
        <f>+VLOOKUP(A126,'Tổng,SUMMARY'!C:K,8,0)</f>
        <v>250</v>
      </c>
      <c r="BQ126" s="293">
        <f t="shared" si="32"/>
        <v>-250</v>
      </c>
    </row>
    <row r="127" spans="1:69" ht="18" hidden="1" customHeight="1">
      <c r="A127" s="320" t="s">
        <v>226</v>
      </c>
      <c r="B127" s="271" t="s">
        <v>225</v>
      </c>
      <c r="C127" s="315"/>
      <c r="D127" s="304">
        <f>SUMIF($E$4:BN$4,$F$4,E127:BN127)</f>
        <v>0</v>
      </c>
      <c r="E127" s="316"/>
      <c r="F127" s="317"/>
      <c r="G127" s="316"/>
      <c r="H127" s="317"/>
      <c r="I127" s="316"/>
      <c r="J127" s="317"/>
      <c r="K127" s="316"/>
      <c r="L127" s="317"/>
      <c r="M127" s="316"/>
      <c r="N127" s="317"/>
      <c r="O127" s="316"/>
      <c r="P127" s="317"/>
      <c r="Q127" s="316"/>
      <c r="R127" s="317"/>
      <c r="S127" s="316"/>
      <c r="T127" s="317"/>
      <c r="U127" s="316"/>
      <c r="V127" s="317"/>
      <c r="W127" s="316"/>
      <c r="X127" s="317"/>
      <c r="Y127" s="316"/>
      <c r="Z127" s="317"/>
      <c r="AA127" s="316"/>
      <c r="AB127" s="317"/>
      <c r="AC127" s="316"/>
      <c r="AD127" s="317"/>
      <c r="AE127" s="316"/>
      <c r="AF127" s="317"/>
      <c r="AG127" s="316"/>
      <c r="AH127" s="317"/>
      <c r="AI127" s="316"/>
      <c r="AJ127" s="317"/>
      <c r="AK127" s="316"/>
      <c r="AL127" s="317"/>
      <c r="AM127" s="316"/>
      <c r="AN127" s="317"/>
      <c r="AO127" s="316"/>
      <c r="AP127" s="317"/>
      <c r="AQ127" s="316"/>
      <c r="AR127" s="317"/>
      <c r="AS127" s="316"/>
      <c r="AT127" s="317"/>
      <c r="AU127" s="316"/>
      <c r="AV127" s="317"/>
      <c r="AW127" s="316"/>
      <c r="AX127" s="317"/>
      <c r="AY127" s="316"/>
      <c r="AZ127" s="317"/>
      <c r="BA127" s="316"/>
      <c r="BB127" s="317"/>
      <c r="BC127" s="316"/>
      <c r="BD127" s="317"/>
      <c r="BE127" s="316"/>
      <c r="BF127" s="317"/>
      <c r="BG127" s="316"/>
      <c r="BH127" s="317"/>
      <c r="BI127" s="316"/>
      <c r="BJ127" s="317"/>
      <c r="BK127" s="316"/>
      <c r="BL127" s="317"/>
      <c r="BM127" s="316"/>
      <c r="BN127" s="318"/>
      <c r="BQ127" s="293"/>
    </row>
    <row r="128" spans="1:69" ht="18" hidden="1" customHeight="1">
      <c r="A128" s="320" t="s">
        <v>227</v>
      </c>
      <c r="B128" s="271" t="s">
        <v>228</v>
      </c>
      <c r="C128" s="315"/>
      <c r="D128" s="304">
        <f>SUMIF($E$4:BN$4,$F$4,E128:BN128)</f>
        <v>0</v>
      </c>
      <c r="E128" s="316"/>
      <c r="F128" s="317"/>
      <c r="G128" s="316"/>
      <c r="H128" s="317"/>
      <c r="I128" s="316"/>
      <c r="J128" s="317"/>
      <c r="K128" s="316"/>
      <c r="L128" s="317"/>
      <c r="M128" s="316"/>
      <c r="N128" s="317"/>
      <c r="O128" s="316"/>
      <c r="P128" s="317"/>
      <c r="Q128" s="316"/>
      <c r="R128" s="317"/>
      <c r="S128" s="316"/>
      <c r="T128" s="317"/>
      <c r="U128" s="316"/>
      <c r="V128" s="317"/>
      <c r="W128" s="316"/>
      <c r="X128" s="317"/>
      <c r="Y128" s="316"/>
      <c r="Z128" s="317"/>
      <c r="AA128" s="316"/>
      <c r="AB128" s="317"/>
      <c r="AC128" s="316"/>
      <c r="AD128" s="317"/>
      <c r="AE128" s="316"/>
      <c r="AF128" s="317"/>
      <c r="AG128" s="316"/>
      <c r="AH128" s="317"/>
      <c r="AI128" s="316"/>
      <c r="AJ128" s="317"/>
      <c r="AK128" s="316"/>
      <c r="AL128" s="317"/>
      <c r="AM128" s="316"/>
      <c r="AN128" s="317"/>
      <c r="AO128" s="316"/>
      <c r="AP128" s="317"/>
      <c r="AQ128" s="316"/>
      <c r="AR128" s="317"/>
      <c r="AS128" s="316"/>
      <c r="AT128" s="317"/>
      <c r="AU128" s="316"/>
      <c r="AV128" s="317"/>
      <c r="AW128" s="316"/>
      <c r="AX128" s="317"/>
      <c r="AY128" s="316"/>
      <c r="AZ128" s="317"/>
      <c r="BA128" s="316"/>
      <c r="BB128" s="317"/>
      <c r="BC128" s="316"/>
      <c r="BD128" s="317"/>
      <c r="BE128" s="316"/>
      <c r="BF128" s="317"/>
      <c r="BG128" s="316"/>
      <c r="BH128" s="317"/>
      <c r="BI128" s="316"/>
      <c r="BJ128" s="317"/>
      <c r="BK128" s="316"/>
      <c r="BL128" s="317"/>
      <c r="BM128" s="316"/>
      <c r="BN128" s="318"/>
      <c r="BO128" s="289">
        <f ca="1">SUMIF(E$4:$BN126,$E$4,E128:BN128)</f>
        <v>0</v>
      </c>
      <c r="BP128" s="286">
        <f>+VLOOKUP(A128,'Tổng,SUMMARY'!C:K,8,0)</f>
        <v>300</v>
      </c>
      <c r="BQ128" s="293">
        <f t="shared" si="32"/>
        <v>-300</v>
      </c>
    </row>
    <row r="129" spans="1:69" ht="18" hidden="1" customHeight="1">
      <c r="A129" s="320" t="s">
        <v>229</v>
      </c>
      <c r="B129" s="271" t="s">
        <v>228</v>
      </c>
      <c r="C129" s="315"/>
      <c r="D129" s="304">
        <f>SUMIF($E$4:BN$4,$F$4,E129:BN129)</f>
        <v>0</v>
      </c>
      <c r="E129" s="316"/>
      <c r="F129" s="317"/>
      <c r="G129" s="316"/>
      <c r="H129" s="317"/>
      <c r="I129" s="316"/>
      <c r="J129" s="317"/>
      <c r="K129" s="316"/>
      <c r="L129" s="317"/>
      <c r="M129" s="316"/>
      <c r="N129" s="317"/>
      <c r="O129" s="316"/>
      <c r="P129" s="317"/>
      <c r="Q129" s="316"/>
      <c r="R129" s="317"/>
      <c r="S129" s="316"/>
      <c r="T129" s="317"/>
      <c r="U129" s="316"/>
      <c r="V129" s="317"/>
      <c r="W129" s="316"/>
      <c r="X129" s="317"/>
      <c r="Y129" s="316"/>
      <c r="Z129" s="317"/>
      <c r="AA129" s="316"/>
      <c r="AB129" s="317"/>
      <c r="AC129" s="316"/>
      <c r="AD129" s="317"/>
      <c r="AE129" s="316"/>
      <c r="AF129" s="317"/>
      <c r="AG129" s="316"/>
      <c r="AH129" s="317"/>
      <c r="AI129" s="316"/>
      <c r="AJ129" s="317"/>
      <c r="AK129" s="316"/>
      <c r="AL129" s="317"/>
      <c r="AM129" s="316"/>
      <c r="AN129" s="317"/>
      <c r="AO129" s="316"/>
      <c r="AP129" s="317"/>
      <c r="AQ129" s="316"/>
      <c r="AR129" s="317"/>
      <c r="AS129" s="316"/>
      <c r="AT129" s="317"/>
      <c r="AU129" s="316"/>
      <c r="AV129" s="317"/>
      <c r="AW129" s="316"/>
      <c r="AX129" s="317"/>
      <c r="AY129" s="316"/>
      <c r="AZ129" s="317"/>
      <c r="BA129" s="316"/>
      <c r="BB129" s="317"/>
      <c r="BC129" s="316"/>
      <c r="BD129" s="317"/>
      <c r="BE129" s="316"/>
      <c r="BF129" s="317"/>
      <c r="BG129" s="316"/>
      <c r="BH129" s="317"/>
      <c r="BI129" s="316"/>
      <c r="BJ129" s="317"/>
      <c r="BK129" s="316"/>
      <c r="BL129" s="317"/>
      <c r="BM129" s="316"/>
      <c r="BN129" s="318"/>
      <c r="BO129" s="289">
        <f ca="1">SUMIF(E$4:$BN128,$E$4,E129:BN129)</f>
        <v>0</v>
      </c>
      <c r="BP129" s="286">
        <f>+VLOOKUP(A129,'Tổng,SUMMARY'!C:K,8,0)</f>
        <v>50</v>
      </c>
      <c r="BQ129" s="293">
        <f t="shared" si="32"/>
        <v>-50</v>
      </c>
    </row>
    <row r="130" spans="1:69" ht="18" hidden="1" customHeight="1">
      <c r="A130" s="320" t="s">
        <v>230</v>
      </c>
      <c r="B130" s="271" t="s">
        <v>231</v>
      </c>
      <c r="C130" s="315"/>
      <c r="D130" s="304">
        <f>SUMIF($E$4:BN$4,$F$4,E130:BN130)</f>
        <v>0</v>
      </c>
      <c r="E130" s="316"/>
      <c r="F130" s="317"/>
      <c r="G130" s="316"/>
      <c r="H130" s="317"/>
      <c r="I130" s="316"/>
      <c r="J130" s="317"/>
      <c r="K130" s="316"/>
      <c r="L130" s="317"/>
      <c r="M130" s="316"/>
      <c r="N130" s="317"/>
      <c r="O130" s="316"/>
      <c r="P130" s="317"/>
      <c r="Q130" s="316"/>
      <c r="R130" s="317"/>
      <c r="S130" s="316"/>
      <c r="T130" s="317"/>
      <c r="U130" s="316"/>
      <c r="V130" s="317"/>
      <c r="W130" s="316"/>
      <c r="X130" s="317"/>
      <c r="Y130" s="316"/>
      <c r="Z130" s="317"/>
      <c r="AA130" s="316"/>
      <c r="AB130" s="317"/>
      <c r="AC130" s="316"/>
      <c r="AD130" s="317"/>
      <c r="AE130" s="316"/>
      <c r="AF130" s="317"/>
      <c r="AG130" s="316"/>
      <c r="AH130" s="317"/>
      <c r="AI130" s="316"/>
      <c r="AJ130" s="317"/>
      <c r="AK130" s="316"/>
      <c r="AL130" s="317"/>
      <c r="AM130" s="316"/>
      <c r="AN130" s="317"/>
      <c r="AO130" s="316"/>
      <c r="AP130" s="317"/>
      <c r="AQ130" s="316"/>
      <c r="AR130" s="317"/>
      <c r="AS130" s="316"/>
      <c r="AT130" s="317"/>
      <c r="AU130" s="316"/>
      <c r="AV130" s="317"/>
      <c r="AW130" s="316"/>
      <c r="AX130" s="317"/>
      <c r="AY130" s="316"/>
      <c r="AZ130" s="317"/>
      <c r="BA130" s="316"/>
      <c r="BB130" s="317"/>
      <c r="BC130" s="316"/>
      <c r="BD130" s="317"/>
      <c r="BE130" s="316"/>
      <c r="BF130" s="317"/>
      <c r="BG130" s="316"/>
      <c r="BH130" s="317"/>
      <c r="BI130" s="316"/>
      <c r="BJ130" s="317"/>
      <c r="BK130" s="316"/>
      <c r="BL130" s="317"/>
      <c r="BM130" s="316"/>
      <c r="BN130" s="318"/>
      <c r="BO130" s="289">
        <f ca="1">SUMIF(E$4:$BN129,$E$4,E130:BN130)</f>
        <v>0</v>
      </c>
      <c r="BP130" s="286">
        <f>+VLOOKUP(A130,'Tổng,SUMMARY'!C:K,8,0)</f>
        <v>3450</v>
      </c>
      <c r="BQ130" s="293">
        <f t="shared" si="32"/>
        <v>-3450</v>
      </c>
    </row>
    <row r="131" spans="1:69" ht="18.75" hidden="1" customHeight="1">
      <c r="A131" s="320" t="s">
        <v>232</v>
      </c>
      <c r="B131" s="271" t="s">
        <v>233</v>
      </c>
      <c r="C131" s="315"/>
      <c r="D131" s="304">
        <f>SUMIF($E$4:BN$4,$F$4,E131:BN131)</f>
        <v>0</v>
      </c>
      <c r="E131" s="316"/>
      <c r="F131" s="317"/>
      <c r="G131" s="316"/>
      <c r="H131" s="317"/>
      <c r="I131" s="316"/>
      <c r="J131" s="317"/>
      <c r="K131" s="316"/>
      <c r="L131" s="317"/>
      <c r="M131" s="316"/>
      <c r="N131" s="317"/>
      <c r="O131" s="316"/>
      <c r="P131" s="317"/>
      <c r="Q131" s="316"/>
      <c r="R131" s="317"/>
      <c r="S131" s="316"/>
      <c r="T131" s="317"/>
      <c r="U131" s="316"/>
      <c r="V131" s="317"/>
      <c r="W131" s="316"/>
      <c r="X131" s="317"/>
      <c r="Y131" s="316"/>
      <c r="Z131" s="317"/>
      <c r="AA131" s="316"/>
      <c r="AB131" s="317"/>
      <c r="AC131" s="316"/>
      <c r="AD131" s="317"/>
      <c r="AE131" s="316"/>
      <c r="AF131" s="317"/>
      <c r="AG131" s="316"/>
      <c r="AH131" s="317"/>
      <c r="AI131" s="316"/>
      <c r="AJ131" s="317"/>
      <c r="AK131" s="316"/>
      <c r="AL131" s="317"/>
      <c r="AM131" s="316"/>
      <c r="AN131" s="317"/>
      <c r="AO131" s="316"/>
      <c r="AP131" s="317"/>
      <c r="AQ131" s="316"/>
      <c r="AR131" s="317"/>
      <c r="AS131" s="316"/>
      <c r="AT131" s="317"/>
      <c r="AU131" s="316"/>
      <c r="AV131" s="317"/>
      <c r="AW131" s="316"/>
      <c r="AX131" s="317"/>
      <c r="AY131" s="316"/>
      <c r="AZ131" s="317"/>
      <c r="BA131" s="316"/>
      <c r="BB131" s="317"/>
      <c r="BC131" s="316"/>
      <c r="BD131" s="317"/>
      <c r="BE131" s="316"/>
      <c r="BF131" s="317"/>
      <c r="BG131" s="316"/>
      <c r="BH131" s="317"/>
      <c r="BI131" s="316"/>
      <c r="BJ131" s="317"/>
      <c r="BK131" s="316"/>
      <c r="BL131" s="317"/>
      <c r="BM131" s="316"/>
      <c r="BN131" s="318"/>
      <c r="BO131" s="289">
        <f ca="1">SUMIF(E$4:$BN130,$E$4,E131:BN131)</f>
        <v>0</v>
      </c>
      <c r="BP131" s="286">
        <f>+VLOOKUP(A131,'Tổng,SUMMARY'!C:K,8,0)</f>
        <v>1250</v>
      </c>
      <c r="BQ131" s="293">
        <f t="shared" si="32"/>
        <v>-1250</v>
      </c>
    </row>
    <row r="132" spans="1:69" ht="18.75" hidden="1" customHeight="1">
      <c r="A132" s="320" t="s">
        <v>234</v>
      </c>
      <c r="B132" s="271" t="s">
        <v>233</v>
      </c>
      <c r="C132" s="315"/>
      <c r="D132" s="304">
        <f>SUMIF($E$4:BN$4,$F$4,E132:BN132)</f>
        <v>0</v>
      </c>
      <c r="E132" s="316"/>
      <c r="F132" s="317"/>
      <c r="G132" s="316"/>
      <c r="H132" s="317"/>
      <c r="I132" s="316"/>
      <c r="J132" s="317"/>
      <c r="K132" s="316"/>
      <c r="L132" s="317"/>
      <c r="M132" s="316"/>
      <c r="N132" s="317"/>
      <c r="O132" s="316"/>
      <c r="P132" s="317"/>
      <c r="Q132" s="316"/>
      <c r="R132" s="317"/>
      <c r="S132" s="316"/>
      <c r="T132" s="317"/>
      <c r="U132" s="316"/>
      <c r="V132" s="317"/>
      <c r="W132" s="316"/>
      <c r="X132" s="317"/>
      <c r="Y132" s="316"/>
      <c r="Z132" s="317"/>
      <c r="AA132" s="316"/>
      <c r="AB132" s="317"/>
      <c r="AC132" s="316"/>
      <c r="AD132" s="317"/>
      <c r="AE132" s="316"/>
      <c r="AF132" s="317"/>
      <c r="AG132" s="316"/>
      <c r="AH132" s="317"/>
      <c r="AI132" s="316"/>
      <c r="AJ132" s="317"/>
      <c r="AK132" s="316"/>
      <c r="AL132" s="317"/>
      <c r="AM132" s="316"/>
      <c r="AN132" s="317"/>
      <c r="AO132" s="316"/>
      <c r="AP132" s="317"/>
      <c r="AQ132" s="316"/>
      <c r="AR132" s="317"/>
      <c r="AS132" s="316"/>
      <c r="AT132" s="317"/>
      <c r="AU132" s="316"/>
      <c r="AV132" s="317"/>
      <c r="AW132" s="316"/>
      <c r="AX132" s="317"/>
      <c r="AY132" s="316"/>
      <c r="AZ132" s="317"/>
      <c r="BA132" s="316"/>
      <c r="BB132" s="317"/>
      <c r="BC132" s="316"/>
      <c r="BD132" s="317"/>
      <c r="BE132" s="316"/>
      <c r="BF132" s="317"/>
      <c r="BG132" s="316"/>
      <c r="BH132" s="317"/>
      <c r="BI132" s="316"/>
      <c r="BJ132" s="317"/>
      <c r="BK132" s="316"/>
      <c r="BL132" s="317"/>
      <c r="BM132" s="316"/>
      <c r="BN132" s="318"/>
      <c r="BQ132" s="293"/>
    </row>
    <row r="133" spans="1:69" ht="18.75" hidden="1" customHeight="1">
      <c r="A133" s="320" t="s">
        <v>235</v>
      </c>
      <c r="B133" s="271" t="s">
        <v>236</v>
      </c>
      <c r="C133" s="315"/>
      <c r="D133" s="304">
        <f>SUMIF($E$4:BN$4,$F$4,E133:BN133)</f>
        <v>0</v>
      </c>
      <c r="E133" s="316"/>
      <c r="F133" s="317"/>
      <c r="G133" s="316"/>
      <c r="H133" s="317"/>
      <c r="I133" s="316"/>
      <c r="J133" s="317"/>
      <c r="K133" s="316"/>
      <c r="L133" s="317"/>
      <c r="M133" s="316"/>
      <c r="N133" s="317"/>
      <c r="O133" s="316"/>
      <c r="P133" s="317"/>
      <c r="Q133" s="316"/>
      <c r="R133" s="317"/>
      <c r="S133" s="316"/>
      <c r="T133" s="317"/>
      <c r="U133" s="316"/>
      <c r="V133" s="317"/>
      <c r="W133" s="316"/>
      <c r="X133" s="317"/>
      <c r="Y133" s="316"/>
      <c r="Z133" s="317"/>
      <c r="AA133" s="316"/>
      <c r="AB133" s="317"/>
      <c r="AC133" s="316"/>
      <c r="AD133" s="317"/>
      <c r="AE133" s="316"/>
      <c r="AF133" s="317"/>
      <c r="AG133" s="316"/>
      <c r="AH133" s="317"/>
      <c r="AI133" s="316"/>
      <c r="AJ133" s="317"/>
      <c r="AK133" s="316"/>
      <c r="AL133" s="317"/>
      <c r="AM133" s="316"/>
      <c r="AN133" s="317"/>
      <c r="AO133" s="316"/>
      <c r="AP133" s="317"/>
      <c r="AQ133" s="316"/>
      <c r="AR133" s="317"/>
      <c r="AS133" s="316"/>
      <c r="AT133" s="317"/>
      <c r="AU133" s="316"/>
      <c r="AV133" s="317"/>
      <c r="AW133" s="316"/>
      <c r="AX133" s="317"/>
      <c r="AY133" s="316"/>
      <c r="AZ133" s="317"/>
      <c r="BA133" s="316"/>
      <c r="BB133" s="317"/>
      <c r="BC133" s="316"/>
      <c r="BD133" s="317"/>
      <c r="BE133" s="316"/>
      <c r="BF133" s="317"/>
      <c r="BG133" s="316"/>
      <c r="BH133" s="317"/>
      <c r="BI133" s="316"/>
      <c r="BJ133" s="317"/>
      <c r="BK133" s="316"/>
      <c r="BL133" s="317"/>
      <c r="BM133" s="316"/>
      <c r="BN133" s="318"/>
      <c r="BO133" s="289">
        <f ca="1">SUMIF(E$4:$BN131,$E$4,E133:BN133)</f>
        <v>0</v>
      </c>
      <c r="BP133" s="286">
        <f>+VLOOKUP(A133,'Tổng,SUMMARY'!C:K,8,0)</f>
        <v>150</v>
      </c>
      <c r="BQ133" s="293">
        <f t="shared" si="32"/>
        <v>-150</v>
      </c>
    </row>
    <row r="134" spans="1:69" ht="18.75" hidden="1" customHeight="1">
      <c r="A134" s="320" t="s">
        <v>237</v>
      </c>
      <c r="B134" s="271" t="s">
        <v>236</v>
      </c>
      <c r="C134" s="315"/>
      <c r="D134" s="304">
        <f>SUMIF($E$4:BN$4,$F$4,E134:BN134)</f>
        <v>0</v>
      </c>
      <c r="E134" s="316"/>
      <c r="F134" s="317"/>
      <c r="G134" s="316"/>
      <c r="H134" s="317"/>
      <c r="I134" s="316"/>
      <c r="J134" s="317"/>
      <c r="K134" s="316"/>
      <c r="L134" s="317"/>
      <c r="M134" s="316"/>
      <c r="N134" s="317"/>
      <c r="O134" s="316"/>
      <c r="P134" s="317"/>
      <c r="Q134" s="316"/>
      <c r="R134" s="317"/>
      <c r="S134" s="316"/>
      <c r="T134" s="317"/>
      <c r="U134" s="316"/>
      <c r="V134" s="317"/>
      <c r="W134" s="316"/>
      <c r="X134" s="317"/>
      <c r="Y134" s="316"/>
      <c r="Z134" s="317"/>
      <c r="AA134" s="316"/>
      <c r="AB134" s="317"/>
      <c r="AC134" s="316"/>
      <c r="AD134" s="317"/>
      <c r="AE134" s="316"/>
      <c r="AF134" s="317"/>
      <c r="AG134" s="316"/>
      <c r="AH134" s="317"/>
      <c r="AI134" s="316"/>
      <c r="AJ134" s="317"/>
      <c r="AK134" s="316"/>
      <c r="AL134" s="317"/>
      <c r="AM134" s="316"/>
      <c r="AN134" s="317"/>
      <c r="AO134" s="316"/>
      <c r="AP134" s="317"/>
      <c r="AQ134" s="316"/>
      <c r="AR134" s="317"/>
      <c r="AS134" s="316"/>
      <c r="AT134" s="317"/>
      <c r="AU134" s="316"/>
      <c r="AV134" s="317"/>
      <c r="AW134" s="316"/>
      <c r="AX134" s="317"/>
      <c r="AY134" s="316"/>
      <c r="AZ134" s="317"/>
      <c r="BA134" s="316"/>
      <c r="BB134" s="317"/>
      <c r="BC134" s="316"/>
      <c r="BD134" s="317"/>
      <c r="BE134" s="316"/>
      <c r="BF134" s="317"/>
      <c r="BG134" s="316"/>
      <c r="BH134" s="317"/>
      <c r="BI134" s="316"/>
      <c r="BJ134" s="317"/>
      <c r="BK134" s="316"/>
      <c r="BL134" s="317"/>
      <c r="BM134" s="316"/>
      <c r="BN134" s="318"/>
      <c r="BO134" s="289">
        <f ca="1">SUMIF(E$4:$BN133,$E$4,E134:BN134)</f>
        <v>0</v>
      </c>
      <c r="BP134" s="286">
        <f>+VLOOKUP(A134,'Tổng,SUMMARY'!C:K,8,0)</f>
        <v>0</v>
      </c>
      <c r="BQ134" s="293">
        <f t="shared" si="32"/>
        <v>0</v>
      </c>
    </row>
    <row r="135" spans="1:69" ht="18.75" hidden="1" customHeight="1">
      <c r="A135" s="320" t="s">
        <v>238</v>
      </c>
      <c r="B135" s="271" t="s">
        <v>239</v>
      </c>
      <c r="C135" s="315"/>
      <c r="D135" s="304">
        <f>SUMIF($E$4:BN$4,$F$4,E135:BN135)</f>
        <v>0</v>
      </c>
      <c r="E135" s="316"/>
      <c r="F135" s="317"/>
      <c r="G135" s="316"/>
      <c r="H135" s="317"/>
      <c r="I135" s="316"/>
      <c r="J135" s="317"/>
      <c r="K135" s="316"/>
      <c r="L135" s="317"/>
      <c r="M135" s="316"/>
      <c r="N135" s="317"/>
      <c r="O135" s="316"/>
      <c r="P135" s="317"/>
      <c r="Q135" s="316"/>
      <c r="R135" s="317"/>
      <c r="S135" s="316"/>
      <c r="T135" s="317"/>
      <c r="U135" s="316"/>
      <c r="V135" s="317"/>
      <c r="W135" s="316"/>
      <c r="X135" s="317"/>
      <c r="Y135" s="316"/>
      <c r="Z135" s="317"/>
      <c r="AA135" s="316"/>
      <c r="AB135" s="317"/>
      <c r="AC135" s="316"/>
      <c r="AD135" s="317"/>
      <c r="AE135" s="316"/>
      <c r="AF135" s="317"/>
      <c r="AG135" s="316"/>
      <c r="AH135" s="317"/>
      <c r="AI135" s="316"/>
      <c r="AJ135" s="317"/>
      <c r="AK135" s="316"/>
      <c r="AL135" s="317"/>
      <c r="AM135" s="316"/>
      <c r="AN135" s="317"/>
      <c r="AO135" s="316"/>
      <c r="AP135" s="317"/>
      <c r="AQ135" s="316"/>
      <c r="AR135" s="317"/>
      <c r="AS135" s="316"/>
      <c r="AT135" s="317"/>
      <c r="AU135" s="316"/>
      <c r="AV135" s="317"/>
      <c r="AW135" s="316"/>
      <c r="AX135" s="317"/>
      <c r="AY135" s="316"/>
      <c r="AZ135" s="317"/>
      <c r="BA135" s="316"/>
      <c r="BB135" s="317"/>
      <c r="BC135" s="316"/>
      <c r="BD135" s="317"/>
      <c r="BE135" s="316"/>
      <c r="BF135" s="317"/>
      <c r="BG135" s="316"/>
      <c r="BH135" s="317"/>
      <c r="BI135" s="316"/>
      <c r="BJ135" s="317"/>
      <c r="BK135" s="316"/>
      <c r="BL135" s="317"/>
      <c r="BM135" s="316"/>
      <c r="BN135" s="318"/>
      <c r="BO135" s="289">
        <f ca="1">SUMIF(E$4:$BN134,$E$4,E135:BN135)</f>
        <v>0</v>
      </c>
      <c r="BP135" s="286">
        <f>+VLOOKUP(A135,'Tổng,SUMMARY'!C:K,8,0)</f>
        <v>1400</v>
      </c>
      <c r="BQ135" s="293">
        <f t="shared" si="32"/>
        <v>-1400</v>
      </c>
    </row>
    <row r="136" spans="1:69" ht="18.75" hidden="1" customHeight="1">
      <c r="A136" s="320" t="s">
        <v>240</v>
      </c>
      <c r="B136" s="271" t="s">
        <v>239</v>
      </c>
      <c r="C136" s="315"/>
      <c r="D136" s="304">
        <f>SUMIF($E$4:BN$4,$F$4,E136:BN136)</f>
        <v>0</v>
      </c>
      <c r="E136" s="316"/>
      <c r="F136" s="317"/>
      <c r="G136" s="316"/>
      <c r="H136" s="317"/>
      <c r="I136" s="316"/>
      <c r="J136" s="317"/>
      <c r="K136" s="316"/>
      <c r="L136" s="317"/>
      <c r="M136" s="316"/>
      <c r="N136" s="317"/>
      <c r="O136" s="316"/>
      <c r="P136" s="317"/>
      <c r="Q136" s="316"/>
      <c r="R136" s="317"/>
      <c r="S136" s="316"/>
      <c r="T136" s="317"/>
      <c r="U136" s="316"/>
      <c r="V136" s="317"/>
      <c r="W136" s="316"/>
      <c r="X136" s="317"/>
      <c r="Y136" s="316"/>
      <c r="Z136" s="317"/>
      <c r="AA136" s="316"/>
      <c r="AB136" s="317"/>
      <c r="AC136" s="316"/>
      <c r="AD136" s="317"/>
      <c r="AE136" s="316"/>
      <c r="AF136" s="317"/>
      <c r="AG136" s="316"/>
      <c r="AH136" s="317"/>
      <c r="AI136" s="316"/>
      <c r="AJ136" s="317"/>
      <c r="AK136" s="316"/>
      <c r="AL136" s="317"/>
      <c r="AM136" s="316"/>
      <c r="AN136" s="317"/>
      <c r="AO136" s="316"/>
      <c r="AP136" s="317"/>
      <c r="AQ136" s="316"/>
      <c r="AR136" s="317"/>
      <c r="AS136" s="316"/>
      <c r="AT136" s="317"/>
      <c r="AU136" s="316"/>
      <c r="AV136" s="317"/>
      <c r="AW136" s="316"/>
      <c r="AX136" s="317"/>
      <c r="AY136" s="316"/>
      <c r="AZ136" s="317"/>
      <c r="BA136" s="316"/>
      <c r="BB136" s="317"/>
      <c r="BC136" s="316"/>
      <c r="BD136" s="317"/>
      <c r="BE136" s="316"/>
      <c r="BF136" s="317"/>
      <c r="BG136" s="316"/>
      <c r="BH136" s="317"/>
      <c r="BI136" s="316"/>
      <c r="BJ136" s="317"/>
      <c r="BK136" s="316"/>
      <c r="BL136" s="317"/>
      <c r="BM136" s="316"/>
      <c r="BN136" s="318"/>
      <c r="BO136" s="289">
        <f ca="1">SUMIF(E$4:$BN135,$E$4,E136:BN136)</f>
        <v>0</v>
      </c>
      <c r="BP136" s="286">
        <f>+VLOOKUP(A136,'Tổng,SUMMARY'!C:K,8,0)</f>
        <v>0</v>
      </c>
      <c r="BQ136" s="293">
        <f t="shared" si="32"/>
        <v>0</v>
      </c>
    </row>
    <row r="137" spans="1:69" ht="18.75" hidden="1" customHeight="1">
      <c r="A137" s="320" t="s">
        <v>241</v>
      </c>
      <c r="B137" s="271" t="s">
        <v>242</v>
      </c>
      <c r="C137" s="315"/>
      <c r="D137" s="304">
        <f>SUMIF($E$4:BN$4,$F$4,E137:BN137)</f>
        <v>0</v>
      </c>
      <c r="E137" s="316"/>
      <c r="F137" s="317"/>
      <c r="G137" s="316"/>
      <c r="H137" s="317"/>
      <c r="I137" s="316"/>
      <c r="J137" s="317"/>
      <c r="K137" s="316"/>
      <c r="L137" s="317"/>
      <c r="M137" s="316"/>
      <c r="N137" s="317"/>
      <c r="O137" s="316"/>
      <c r="P137" s="317"/>
      <c r="Q137" s="316"/>
      <c r="R137" s="317"/>
      <c r="S137" s="316"/>
      <c r="T137" s="317"/>
      <c r="U137" s="316"/>
      <c r="V137" s="317"/>
      <c r="W137" s="316"/>
      <c r="X137" s="317"/>
      <c r="Y137" s="316"/>
      <c r="Z137" s="317"/>
      <c r="AA137" s="316"/>
      <c r="AB137" s="317"/>
      <c r="AC137" s="316"/>
      <c r="AD137" s="317"/>
      <c r="AE137" s="316"/>
      <c r="AF137" s="317"/>
      <c r="AG137" s="316"/>
      <c r="AH137" s="317"/>
      <c r="AI137" s="316"/>
      <c r="AJ137" s="317"/>
      <c r="AK137" s="316"/>
      <c r="AL137" s="317"/>
      <c r="AM137" s="316"/>
      <c r="AN137" s="317"/>
      <c r="AO137" s="316"/>
      <c r="AP137" s="317"/>
      <c r="AQ137" s="316"/>
      <c r="AR137" s="317"/>
      <c r="AS137" s="316"/>
      <c r="AT137" s="317"/>
      <c r="AU137" s="316"/>
      <c r="AV137" s="317"/>
      <c r="AW137" s="316"/>
      <c r="AX137" s="317"/>
      <c r="AY137" s="316"/>
      <c r="AZ137" s="317"/>
      <c r="BA137" s="316"/>
      <c r="BB137" s="317"/>
      <c r="BC137" s="316"/>
      <c r="BD137" s="317"/>
      <c r="BE137" s="316"/>
      <c r="BF137" s="317"/>
      <c r="BG137" s="316"/>
      <c r="BH137" s="317"/>
      <c r="BI137" s="316"/>
      <c r="BJ137" s="317"/>
      <c r="BK137" s="316"/>
      <c r="BL137" s="317"/>
      <c r="BM137" s="316"/>
      <c r="BN137" s="318"/>
      <c r="BO137" s="289">
        <f ca="1">SUMIF(E$4:$BN136,$E$4,E137:BN137)</f>
        <v>0</v>
      </c>
      <c r="BP137" s="286">
        <f>+VLOOKUP(A137,'Tổng,SUMMARY'!C:K,8,0)</f>
        <v>1450</v>
      </c>
      <c r="BQ137" s="293">
        <f t="shared" si="32"/>
        <v>-1450</v>
      </c>
    </row>
    <row r="138" spans="1:69" ht="18.75" hidden="1" customHeight="1">
      <c r="A138" s="320" t="s">
        <v>243</v>
      </c>
      <c r="B138" s="271" t="s">
        <v>244</v>
      </c>
      <c r="C138" s="315"/>
      <c r="D138" s="304">
        <f>SUMIF($E$4:BN$4,$F$4,E138:BN138)</f>
        <v>0</v>
      </c>
      <c r="E138" s="316"/>
      <c r="F138" s="317"/>
      <c r="G138" s="316"/>
      <c r="H138" s="317"/>
      <c r="I138" s="316"/>
      <c r="J138" s="317"/>
      <c r="K138" s="316"/>
      <c r="L138" s="317"/>
      <c r="M138" s="316"/>
      <c r="N138" s="317"/>
      <c r="O138" s="316"/>
      <c r="P138" s="317"/>
      <c r="Q138" s="316"/>
      <c r="R138" s="317"/>
      <c r="S138" s="316"/>
      <c r="T138" s="317"/>
      <c r="U138" s="316"/>
      <c r="V138" s="317"/>
      <c r="W138" s="316"/>
      <c r="X138" s="317"/>
      <c r="Y138" s="316"/>
      <c r="Z138" s="317"/>
      <c r="AA138" s="316"/>
      <c r="AB138" s="317"/>
      <c r="AC138" s="316"/>
      <c r="AD138" s="317"/>
      <c r="AE138" s="316"/>
      <c r="AF138" s="317"/>
      <c r="AG138" s="316"/>
      <c r="AH138" s="317"/>
      <c r="AI138" s="316"/>
      <c r="AJ138" s="317"/>
      <c r="AK138" s="316"/>
      <c r="AL138" s="317"/>
      <c r="AM138" s="316"/>
      <c r="AN138" s="317"/>
      <c r="AO138" s="316"/>
      <c r="AP138" s="317"/>
      <c r="AQ138" s="316"/>
      <c r="AR138" s="317"/>
      <c r="AS138" s="316"/>
      <c r="AT138" s="317"/>
      <c r="AU138" s="316"/>
      <c r="AV138" s="317"/>
      <c r="AW138" s="316"/>
      <c r="AX138" s="317"/>
      <c r="AY138" s="316"/>
      <c r="AZ138" s="317"/>
      <c r="BA138" s="316"/>
      <c r="BB138" s="317"/>
      <c r="BC138" s="316"/>
      <c r="BD138" s="317"/>
      <c r="BE138" s="316"/>
      <c r="BF138" s="317"/>
      <c r="BG138" s="316"/>
      <c r="BH138" s="317"/>
      <c r="BI138" s="316"/>
      <c r="BJ138" s="317"/>
      <c r="BK138" s="316"/>
      <c r="BL138" s="317"/>
      <c r="BM138" s="316"/>
      <c r="BN138" s="318"/>
      <c r="BO138" s="289">
        <f ca="1">SUMIF(E$4:$BN137,$E$4,E138:BN138)</f>
        <v>0</v>
      </c>
      <c r="BP138" s="286">
        <f>+VLOOKUP(A138,'Tổng,SUMMARY'!C:K,8,0)</f>
        <v>900</v>
      </c>
      <c r="BQ138" s="293">
        <f t="shared" ref="BQ138:BQ210" si="33">+D138-BP138</f>
        <v>-900</v>
      </c>
    </row>
    <row r="139" spans="1:69" ht="18.75" hidden="1" customHeight="1">
      <c r="A139" s="320" t="s">
        <v>245</v>
      </c>
      <c r="B139" s="271" t="s">
        <v>246</v>
      </c>
      <c r="C139" s="315"/>
      <c r="D139" s="304">
        <f>SUMIF($E$4:BN$4,$F$4,E139:BN139)</f>
        <v>0</v>
      </c>
      <c r="E139" s="316"/>
      <c r="F139" s="317"/>
      <c r="G139" s="316"/>
      <c r="H139" s="317"/>
      <c r="I139" s="316"/>
      <c r="J139" s="317"/>
      <c r="K139" s="316"/>
      <c r="L139" s="317"/>
      <c r="M139" s="316"/>
      <c r="N139" s="317"/>
      <c r="O139" s="316"/>
      <c r="P139" s="317"/>
      <c r="Q139" s="316"/>
      <c r="R139" s="317"/>
      <c r="S139" s="316"/>
      <c r="T139" s="317"/>
      <c r="U139" s="316"/>
      <c r="V139" s="317"/>
      <c r="W139" s="316"/>
      <c r="X139" s="317"/>
      <c r="Y139" s="316"/>
      <c r="Z139" s="317"/>
      <c r="AA139" s="316"/>
      <c r="AB139" s="317"/>
      <c r="AC139" s="316"/>
      <c r="AD139" s="317"/>
      <c r="AE139" s="316"/>
      <c r="AF139" s="317"/>
      <c r="AG139" s="316"/>
      <c r="AH139" s="317"/>
      <c r="AI139" s="316"/>
      <c r="AJ139" s="317"/>
      <c r="AK139" s="316"/>
      <c r="AL139" s="317"/>
      <c r="AM139" s="316"/>
      <c r="AN139" s="317"/>
      <c r="AO139" s="316"/>
      <c r="AP139" s="317"/>
      <c r="AQ139" s="316"/>
      <c r="AR139" s="317"/>
      <c r="AS139" s="316"/>
      <c r="AT139" s="317"/>
      <c r="AU139" s="316"/>
      <c r="AV139" s="317"/>
      <c r="AW139" s="316"/>
      <c r="AX139" s="317"/>
      <c r="AY139" s="316"/>
      <c r="AZ139" s="317"/>
      <c r="BA139" s="316"/>
      <c r="BB139" s="317"/>
      <c r="BC139" s="316"/>
      <c r="BD139" s="317"/>
      <c r="BE139" s="316"/>
      <c r="BF139" s="317"/>
      <c r="BG139" s="316"/>
      <c r="BH139" s="317"/>
      <c r="BI139" s="316"/>
      <c r="BJ139" s="317"/>
      <c r="BK139" s="316"/>
      <c r="BL139" s="317"/>
      <c r="BM139" s="316"/>
      <c r="BN139" s="318"/>
      <c r="BO139" s="289">
        <f ca="1">SUMIF(E$4:$BN138,$E$4,E139:BN139)</f>
        <v>0</v>
      </c>
      <c r="BP139" s="286">
        <f>+VLOOKUP(A139,'Tổng,SUMMARY'!C:K,8,0)</f>
        <v>550</v>
      </c>
      <c r="BQ139" s="293">
        <f t="shared" si="33"/>
        <v>-550</v>
      </c>
    </row>
    <row r="140" spans="1:69" ht="18.75" hidden="1" customHeight="1">
      <c r="A140" s="320" t="s">
        <v>247</v>
      </c>
      <c r="B140" s="271" t="s">
        <v>248</v>
      </c>
      <c r="C140" s="315"/>
      <c r="D140" s="304">
        <f>SUMIF($E$4:BN$4,$F$4,E140:BN140)</f>
        <v>0</v>
      </c>
      <c r="E140" s="316"/>
      <c r="F140" s="317"/>
      <c r="G140" s="316"/>
      <c r="H140" s="317"/>
      <c r="I140" s="316"/>
      <c r="J140" s="317"/>
      <c r="K140" s="316"/>
      <c r="L140" s="317"/>
      <c r="M140" s="316"/>
      <c r="N140" s="317"/>
      <c r="O140" s="316"/>
      <c r="P140" s="317"/>
      <c r="Q140" s="316"/>
      <c r="R140" s="317"/>
      <c r="S140" s="316"/>
      <c r="T140" s="317"/>
      <c r="U140" s="316"/>
      <c r="V140" s="317"/>
      <c r="W140" s="316"/>
      <c r="X140" s="317"/>
      <c r="Y140" s="316"/>
      <c r="Z140" s="317"/>
      <c r="AA140" s="316"/>
      <c r="AB140" s="317"/>
      <c r="AC140" s="316"/>
      <c r="AD140" s="317"/>
      <c r="AE140" s="316"/>
      <c r="AF140" s="317"/>
      <c r="AG140" s="316"/>
      <c r="AH140" s="317"/>
      <c r="AI140" s="316"/>
      <c r="AJ140" s="317"/>
      <c r="AK140" s="316"/>
      <c r="AL140" s="317"/>
      <c r="AM140" s="316"/>
      <c r="AN140" s="317"/>
      <c r="AO140" s="316"/>
      <c r="AP140" s="317"/>
      <c r="AQ140" s="316"/>
      <c r="AR140" s="317"/>
      <c r="AS140" s="316"/>
      <c r="AT140" s="317"/>
      <c r="AU140" s="316"/>
      <c r="AV140" s="317"/>
      <c r="AW140" s="316"/>
      <c r="AX140" s="317"/>
      <c r="AY140" s="316"/>
      <c r="AZ140" s="317"/>
      <c r="BA140" s="316"/>
      <c r="BB140" s="317"/>
      <c r="BC140" s="316"/>
      <c r="BD140" s="317"/>
      <c r="BE140" s="316"/>
      <c r="BF140" s="317"/>
      <c r="BG140" s="316"/>
      <c r="BH140" s="317"/>
      <c r="BI140" s="316"/>
      <c r="BJ140" s="317"/>
      <c r="BK140" s="316"/>
      <c r="BL140" s="317"/>
      <c r="BM140" s="316"/>
      <c r="BN140" s="318"/>
      <c r="BO140" s="289">
        <f ca="1">SUMIF(E$4:$BN139,$E$4,E140:BN140)</f>
        <v>0</v>
      </c>
      <c r="BP140" s="286">
        <f>+VLOOKUP(A140,'Tổng,SUMMARY'!C:K,8,0)</f>
        <v>3400</v>
      </c>
      <c r="BQ140" s="293">
        <f t="shared" si="33"/>
        <v>-3400</v>
      </c>
    </row>
    <row r="141" spans="1:69" ht="18.75" hidden="1" customHeight="1">
      <c r="A141" s="320" t="s">
        <v>249</v>
      </c>
      <c r="B141" s="271" t="s">
        <v>250</v>
      </c>
      <c r="C141" s="315"/>
      <c r="D141" s="304">
        <f>SUMIF($E$4:BN$4,$F$4,E141:BN141)</f>
        <v>0</v>
      </c>
      <c r="E141" s="316"/>
      <c r="F141" s="317"/>
      <c r="G141" s="316"/>
      <c r="H141" s="317"/>
      <c r="I141" s="316"/>
      <c r="J141" s="317"/>
      <c r="K141" s="316"/>
      <c r="L141" s="317"/>
      <c r="M141" s="316"/>
      <c r="N141" s="317"/>
      <c r="O141" s="316"/>
      <c r="P141" s="317"/>
      <c r="Q141" s="316"/>
      <c r="R141" s="317"/>
      <c r="S141" s="316"/>
      <c r="T141" s="317"/>
      <c r="U141" s="316"/>
      <c r="V141" s="317"/>
      <c r="W141" s="316"/>
      <c r="X141" s="317"/>
      <c r="Y141" s="316"/>
      <c r="Z141" s="317"/>
      <c r="AA141" s="316"/>
      <c r="AB141" s="317"/>
      <c r="AC141" s="316"/>
      <c r="AD141" s="317"/>
      <c r="AE141" s="316"/>
      <c r="AF141" s="317"/>
      <c r="AG141" s="316"/>
      <c r="AH141" s="317"/>
      <c r="AI141" s="316"/>
      <c r="AJ141" s="317"/>
      <c r="AK141" s="316"/>
      <c r="AL141" s="317"/>
      <c r="AM141" s="316"/>
      <c r="AN141" s="317"/>
      <c r="AO141" s="316"/>
      <c r="AP141" s="317"/>
      <c r="AQ141" s="316"/>
      <c r="AR141" s="317"/>
      <c r="AS141" s="316"/>
      <c r="AT141" s="317"/>
      <c r="AU141" s="316"/>
      <c r="AV141" s="317"/>
      <c r="AW141" s="316"/>
      <c r="AX141" s="317"/>
      <c r="AY141" s="316"/>
      <c r="AZ141" s="317"/>
      <c r="BA141" s="316"/>
      <c r="BB141" s="317"/>
      <c r="BC141" s="316"/>
      <c r="BD141" s="317"/>
      <c r="BE141" s="316"/>
      <c r="BF141" s="317"/>
      <c r="BG141" s="316"/>
      <c r="BH141" s="317"/>
      <c r="BI141" s="316"/>
      <c r="BJ141" s="317"/>
      <c r="BK141" s="316"/>
      <c r="BL141" s="317"/>
      <c r="BM141" s="316"/>
      <c r="BN141" s="318"/>
      <c r="BO141" s="289">
        <f ca="1">SUMIF(E$4:$BN140,$E$4,E141:BN141)</f>
        <v>0</v>
      </c>
      <c r="BP141" s="286">
        <f>+VLOOKUP(A141,'Tổng,SUMMARY'!C:K,8,0)</f>
        <v>700</v>
      </c>
      <c r="BQ141" s="293">
        <f t="shared" si="33"/>
        <v>-700</v>
      </c>
    </row>
    <row r="142" spans="1:69" ht="18.75" hidden="1" customHeight="1">
      <c r="A142" s="320" t="s">
        <v>251</v>
      </c>
      <c r="B142" s="271" t="s">
        <v>252</v>
      </c>
      <c r="C142" s="315"/>
      <c r="D142" s="304">
        <f>SUMIF($E$4:BN$4,$F$4,E142:BN142)</f>
        <v>0</v>
      </c>
      <c r="E142" s="316"/>
      <c r="F142" s="317"/>
      <c r="G142" s="316"/>
      <c r="H142" s="317"/>
      <c r="I142" s="316"/>
      <c r="J142" s="317"/>
      <c r="K142" s="316"/>
      <c r="L142" s="317"/>
      <c r="M142" s="316"/>
      <c r="N142" s="317"/>
      <c r="O142" s="316"/>
      <c r="P142" s="317"/>
      <c r="Q142" s="316"/>
      <c r="R142" s="317"/>
      <c r="S142" s="316"/>
      <c r="T142" s="317"/>
      <c r="U142" s="316"/>
      <c r="V142" s="317"/>
      <c r="W142" s="316"/>
      <c r="X142" s="317"/>
      <c r="Y142" s="316"/>
      <c r="Z142" s="317"/>
      <c r="AA142" s="316"/>
      <c r="AB142" s="317"/>
      <c r="AC142" s="316"/>
      <c r="AD142" s="317"/>
      <c r="AE142" s="316"/>
      <c r="AF142" s="317"/>
      <c r="AG142" s="316"/>
      <c r="AH142" s="317"/>
      <c r="AI142" s="316"/>
      <c r="AJ142" s="317"/>
      <c r="AK142" s="316"/>
      <c r="AL142" s="317"/>
      <c r="AM142" s="316"/>
      <c r="AN142" s="317"/>
      <c r="AO142" s="316"/>
      <c r="AP142" s="317"/>
      <c r="AQ142" s="316"/>
      <c r="AR142" s="317"/>
      <c r="AS142" s="316"/>
      <c r="AT142" s="317"/>
      <c r="AU142" s="316"/>
      <c r="AV142" s="317"/>
      <c r="AW142" s="316"/>
      <c r="AX142" s="317"/>
      <c r="AY142" s="316"/>
      <c r="AZ142" s="317"/>
      <c r="BA142" s="316"/>
      <c r="BB142" s="317"/>
      <c r="BC142" s="316"/>
      <c r="BD142" s="317"/>
      <c r="BE142" s="316"/>
      <c r="BF142" s="317"/>
      <c r="BG142" s="316"/>
      <c r="BH142" s="317"/>
      <c r="BI142" s="316"/>
      <c r="BJ142" s="317"/>
      <c r="BK142" s="316"/>
      <c r="BL142" s="317"/>
      <c r="BM142" s="316"/>
      <c r="BN142" s="318"/>
      <c r="BO142" s="289">
        <f ca="1">SUMIF(E$4:$BN141,$E$4,E142:BN142)</f>
        <v>0</v>
      </c>
      <c r="BP142" s="286">
        <f>+VLOOKUP(A142,'Tổng,SUMMARY'!C:K,8,0)</f>
        <v>50</v>
      </c>
      <c r="BQ142" s="293">
        <f t="shared" si="33"/>
        <v>-50</v>
      </c>
    </row>
    <row r="143" spans="1:69" ht="18.75" hidden="1" customHeight="1">
      <c r="A143" s="320" t="s">
        <v>253</v>
      </c>
      <c r="B143" s="271" t="s">
        <v>254</v>
      </c>
      <c r="C143" s="315"/>
      <c r="D143" s="304">
        <f>SUMIF($E$4:BN$4,$F$4,E143:BN143)</f>
        <v>0</v>
      </c>
      <c r="E143" s="316"/>
      <c r="F143" s="317"/>
      <c r="G143" s="316"/>
      <c r="H143" s="317"/>
      <c r="I143" s="316"/>
      <c r="J143" s="317"/>
      <c r="K143" s="316"/>
      <c r="L143" s="317"/>
      <c r="M143" s="316"/>
      <c r="N143" s="317"/>
      <c r="O143" s="316"/>
      <c r="P143" s="317"/>
      <c r="Q143" s="316"/>
      <c r="R143" s="317"/>
      <c r="S143" s="316"/>
      <c r="T143" s="317"/>
      <c r="U143" s="316"/>
      <c r="V143" s="317"/>
      <c r="W143" s="316"/>
      <c r="X143" s="317"/>
      <c r="Y143" s="316"/>
      <c r="Z143" s="317"/>
      <c r="AA143" s="316"/>
      <c r="AB143" s="317"/>
      <c r="AC143" s="316"/>
      <c r="AD143" s="317"/>
      <c r="AE143" s="316"/>
      <c r="AF143" s="317"/>
      <c r="AG143" s="316"/>
      <c r="AH143" s="317"/>
      <c r="AI143" s="316"/>
      <c r="AJ143" s="317"/>
      <c r="AK143" s="316"/>
      <c r="AL143" s="317"/>
      <c r="AM143" s="316"/>
      <c r="AN143" s="317"/>
      <c r="AO143" s="316"/>
      <c r="AP143" s="317"/>
      <c r="AQ143" s="316"/>
      <c r="AR143" s="317"/>
      <c r="AS143" s="316"/>
      <c r="AT143" s="317"/>
      <c r="AU143" s="316"/>
      <c r="AV143" s="317"/>
      <c r="AW143" s="316"/>
      <c r="AX143" s="317"/>
      <c r="AY143" s="316"/>
      <c r="AZ143" s="317"/>
      <c r="BA143" s="316"/>
      <c r="BB143" s="317"/>
      <c r="BC143" s="316"/>
      <c r="BD143" s="317"/>
      <c r="BE143" s="316"/>
      <c r="BF143" s="317"/>
      <c r="BG143" s="316"/>
      <c r="BH143" s="317"/>
      <c r="BI143" s="316"/>
      <c r="BJ143" s="317"/>
      <c r="BK143" s="316"/>
      <c r="BL143" s="317"/>
      <c r="BM143" s="316"/>
      <c r="BN143" s="318"/>
      <c r="BO143" s="289">
        <f ca="1">SUMIF(E$4:$BN142,$E$4,E143:BN143)</f>
        <v>0</v>
      </c>
      <c r="BP143" s="286">
        <f>+VLOOKUP(A143,'Tổng,SUMMARY'!C:K,8,0)</f>
        <v>500</v>
      </c>
      <c r="BQ143" s="293">
        <f t="shared" si="33"/>
        <v>-500</v>
      </c>
    </row>
    <row r="144" spans="1:69" ht="18.75" hidden="1" customHeight="1">
      <c r="A144" s="320" t="s">
        <v>255</v>
      </c>
      <c r="B144" s="271" t="s">
        <v>256</v>
      </c>
      <c r="C144" s="315"/>
      <c r="D144" s="304">
        <f>SUMIF($E$4:BN$4,$F$4,E144:BN144)</f>
        <v>0</v>
      </c>
      <c r="E144" s="316"/>
      <c r="F144" s="317"/>
      <c r="G144" s="316"/>
      <c r="H144" s="317"/>
      <c r="I144" s="316"/>
      <c r="J144" s="317"/>
      <c r="K144" s="316"/>
      <c r="L144" s="317"/>
      <c r="M144" s="316"/>
      <c r="N144" s="317"/>
      <c r="O144" s="316"/>
      <c r="P144" s="317"/>
      <c r="Q144" s="316"/>
      <c r="R144" s="317"/>
      <c r="S144" s="316"/>
      <c r="T144" s="317"/>
      <c r="U144" s="316"/>
      <c r="V144" s="317"/>
      <c r="W144" s="316"/>
      <c r="X144" s="317"/>
      <c r="Y144" s="316"/>
      <c r="Z144" s="317"/>
      <c r="AA144" s="316"/>
      <c r="AB144" s="317"/>
      <c r="AC144" s="316"/>
      <c r="AD144" s="317"/>
      <c r="AE144" s="316"/>
      <c r="AF144" s="317"/>
      <c r="AG144" s="316"/>
      <c r="AH144" s="317"/>
      <c r="AI144" s="316"/>
      <c r="AJ144" s="317"/>
      <c r="AK144" s="316"/>
      <c r="AL144" s="317"/>
      <c r="AM144" s="316"/>
      <c r="AN144" s="317"/>
      <c r="AO144" s="316"/>
      <c r="AP144" s="317"/>
      <c r="AQ144" s="316"/>
      <c r="AR144" s="317"/>
      <c r="AS144" s="316"/>
      <c r="AT144" s="317"/>
      <c r="AU144" s="316"/>
      <c r="AV144" s="317"/>
      <c r="AW144" s="316"/>
      <c r="AX144" s="317"/>
      <c r="AY144" s="316"/>
      <c r="AZ144" s="317"/>
      <c r="BA144" s="316"/>
      <c r="BB144" s="317"/>
      <c r="BC144" s="316"/>
      <c r="BD144" s="317"/>
      <c r="BE144" s="316"/>
      <c r="BF144" s="317"/>
      <c r="BG144" s="316"/>
      <c r="BH144" s="317"/>
      <c r="BI144" s="316"/>
      <c r="BJ144" s="317"/>
      <c r="BK144" s="316"/>
      <c r="BL144" s="317"/>
      <c r="BM144" s="316"/>
      <c r="BN144" s="318"/>
      <c r="BO144" s="289">
        <f ca="1">SUMIF(E$4:$BN143,$E$4,E144:BN144)</f>
        <v>0</v>
      </c>
      <c r="BP144" s="286">
        <f>+VLOOKUP(A144,'Tổng,SUMMARY'!C:K,8,0)</f>
        <v>300</v>
      </c>
      <c r="BQ144" s="293">
        <f t="shared" si="33"/>
        <v>-300</v>
      </c>
    </row>
    <row r="145" spans="1:69" ht="18.75" hidden="1" customHeight="1">
      <c r="A145" s="320" t="s">
        <v>257</v>
      </c>
      <c r="B145" s="271" t="s">
        <v>258</v>
      </c>
      <c r="C145" s="315"/>
      <c r="D145" s="304">
        <f>SUMIF($E$4:BN$4,$F$4,E145:BN145)</f>
        <v>0</v>
      </c>
      <c r="E145" s="316"/>
      <c r="F145" s="317"/>
      <c r="G145" s="316"/>
      <c r="H145" s="317"/>
      <c r="I145" s="316"/>
      <c r="J145" s="317"/>
      <c r="K145" s="316"/>
      <c r="L145" s="317"/>
      <c r="M145" s="316"/>
      <c r="N145" s="317"/>
      <c r="O145" s="316"/>
      <c r="P145" s="317"/>
      <c r="Q145" s="316"/>
      <c r="R145" s="317"/>
      <c r="S145" s="316"/>
      <c r="T145" s="317"/>
      <c r="U145" s="316"/>
      <c r="V145" s="317"/>
      <c r="W145" s="316"/>
      <c r="X145" s="317"/>
      <c r="Y145" s="316"/>
      <c r="Z145" s="317"/>
      <c r="AA145" s="316"/>
      <c r="AB145" s="317"/>
      <c r="AC145" s="316"/>
      <c r="AD145" s="317"/>
      <c r="AE145" s="316"/>
      <c r="AF145" s="317"/>
      <c r="AG145" s="316"/>
      <c r="AH145" s="317"/>
      <c r="AI145" s="316"/>
      <c r="AJ145" s="317"/>
      <c r="AK145" s="316"/>
      <c r="AL145" s="317"/>
      <c r="AM145" s="316"/>
      <c r="AN145" s="317"/>
      <c r="AO145" s="316"/>
      <c r="AP145" s="317"/>
      <c r="AQ145" s="316"/>
      <c r="AR145" s="317"/>
      <c r="AS145" s="316"/>
      <c r="AT145" s="317"/>
      <c r="AU145" s="316"/>
      <c r="AV145" s="317"/>
      <c r="AW145" s="316"/>
      <c r="AX145" s="317"/>
      <c r="AY145" s="316"/>
      <c r="AZ145" s="317"/>
      <c r="BA145" s="316"/>
      <c r="BB145" s="317"/>
      <c r="BC145" s="316"/>
      <c r="BD145" s="317"/>
      <c r="BE145" s="316"/>
      <c r="BF145" s="317"/>
      <c r="BG145" s="316"/>
      <c r="BH145" s="317"/>
      <c r="BI145" s="316"/>
      <c r="BJ145" s="317"/>
      <c r="BK145" s="316"/>
      <c r="BL145" s="317"/>
      <c r="BM145" s="316"/>
      <c r="BN145" s="318"/>
      <c r="BO145" s="289">
        <f ca="1">SUMIF(E$4:$BN144,$E$4,E145:BN145)</f>
        <v>0</v>
      </c>
      <c r="BP145" s="286">
        <f>+VLOOKUP(A145,'Tổng,SUMMARY'!C:K,8,0)</f>
        <v>4200</v>
      </c>
      <c r="BQ145" s="293">
        <f t="shared" si="33"/>
        <v>-4200</v>
      </c>
    </row>
    <row r="146" spans="1:69" ht="18.75" hidden="1" customHeight="1">
      <c r="A146" s="320" t="s">
        <v>259</v>
      </c>
      <c r="B146" s="271" t="s">
        <v>260</v>
      </c>
      <c r="C146" s="315"/>
      <c r="D146" s="304">
        <f>SUMIF($E$4:BN$4,$F$4,E146:BN146)</f>
        <v>0</v>
      </c>
      <c r="E146" s="316"/>
      <c r="F146" s="317"/>
      <c r="G146" s="316"/>
      <c r="H146" s="317"/>
      <c r="I146" s="316"/>
      <c r="J146" s="317"/>
      <c r="K146" s="316"/>
      <c r="L146" s="317"/>
      <c r="M146" s="316"/>
      <c r="N146" s="317"/>
      <c r="O146" s="316"/>
      <c r="P146" s="317"/>
      <c r="Q146" s="316"/>
      <c r="R146" s="317"/>
      <c r="S146" s="316"/>
      <c r="T146" s="317"/>
      <c r="U146" s="316"/>
      <c r="V146" s="317"/>
      <c r="W146" s="316"/>
      <c r="X146" s="317"/>
      <c r="Y146" s="316"/>
      <c r="Z146" s="317"/>
      <c r="AA146" s="316"/>
      <c r="AB146" s="317"/>
      <c r="AC146" s="316"/>
      <c r="AD146" s="317"/>
      <c r="AE146" s="316"/>
      <c r="AF146" s="317"/>
      <c r="AG146" s="316"/>
      <c r="AH146" s="317"/>
      <c r="AI146" s="316"/>
      <c r="AJ146" s="317"/>
      <c r="AK146" s="316"/>
      <c r="AL146" s="317"/>
      <c r="AM146" s="316"/>
      <c r="AN146" s="317"/>
      <c r="AO146" s="316"/>
      <c r="AP146" s="317"/>
      <c r="AQ146" s="316"/>
      <c r="AR146" s="317"/>
      <c r="AS146" s="316"/>
      <c r="AT146" s="317"/>
      <c r="AU146" s="316"/>
      <c r="AV146" s="317"/>
      <c r="AW146" s="316"/>
      <c r="AX146" s="317"/>
      <c r="AY146" s="316"/>
      <c r="AZ146" s="317"/>
      <c r="BA146" s="316"/>
      <c r="BB146" s="317"/>
      <c r="BC146" s="316"/>
      <c r="BD146" s="317"/>
      <c r="BE146" s="316"/>
      <c r="BF146" s="317"/>
      <c r="BG146" s="316"/>
      <c r="BH146" s="317"/>
      <c r="BI146" s="316"/>
      <c r="BJ146" s="317"/>
      <c r="BK146" s="316"/>
      <c r="BL146" s="317"/>
      <c r="BM146" s="316"/>
      <c r="BN146" s="318"/>
      <c r="BO146" s="289">
        <f ca="1">SUMIF(E$4:$BN145,$E$4,E146:BN146)</f>
        <v>0</v>
      </c>
      <c r="BP146" s="286">
        <f>+VLOOKUP(A146,'Tổng,SUMMARY'!C:K,8,0)</f>
        <v>600</v>
      </c>
      <c r="BQ146" s="293">
        <f t="shared" si="33"/>
        <v>-600</v>
      </c>
    </row>
    <row r="147" spans="1:69" ht="18.75" hidden="1" customHeight="1">
      <c r="A147" s="320" t="s">
        <v>261</v>
      </c>
      <c r="B147" s="271" t="s">
        <v>260</v>
      </c>
      <c r="C147" s="315"/>
      <c r="D147" s="304">
        <f>SUMIF($E$4:BN$4,$F$4,E147:BN147)</f>
        <v>0</v>
      </c>
      <c r="E147" s="316"/>
      <c r="F147" s="317"/>
      <c r="G147" s="316"/>
      <c r="H147" s="317"/>
      <c r="I147" s="316"/>
      <c r="J147" s="317"/>
      <c r="K147" s="316"/>
      <c r="L147" s="317"/>
      <c r="M147" s="316"/>
      <c r="N147" s="317"/>
      <c r="O147" s="316"/>
      <c r="P147" s="317"/>
      <c r="Q147" s="316"/>
      <c r="R147" s="317"/>
      <c r="S147" s="316"/>
      <c r="T147" s="317"/>
      <c r="U147" s="316"/>
      <c r="V147" s="317"/>
      <c r="W147" s="316"/>
      <c r="X147" s="317"/>
      <c r="Y147" s="316"/>
      <c r="Z147" s="317"/>
      <c r="AA147" s="316"/>
      <c r="AB147" s="317"/>
      <c r="AC147" s="316"/>
      <c r="AD147" s="317"/>
      <c r="AE147" s="316"/>
      <c r="AF147" s="317"/>
      <c r="AG147" s="316"/>
      <c r="AH147" s="317"/>
      <c r="AI147" s="316"/>
      <c r="AJ147" s="317"/>
      <c r="AK147" s="316"/>
      <c r="AL147" s="317"/>
      <c r="AM147" s="316"/>
      <c r="AN147" s="317"/>
      <c r="AO147" s="316"/>
      <c r="AP147" s="317"/>
      <c r="AQ147" s="316"/>
      <c r="AR147" s="317"/>
      <c r="AS147" s="316"/>
      <c r="AT147" s="317"/>
      <c r="AU147" s="316"/>
      <c r="AV147" s="317"/>
      <c r="AW147" s="316"/>
      <c r="AX147" s="317"/>
      <c r="AY147" s="316"/>
      <c r="AZ147" s="317"/>
      <c r="BA147" s="316"/>
      <c r="BB147" s="317"/>
      <c r="BC147" s="316"/>
      <c r="BD147" s="317"/>
      <c r="BE147" s="316"/>
      <c r="BF147" s="317"/>
      <c r="BG147" s="316"/>
      <c r="BH147" s="317"/>
      <c r="BI147" s="316"/>
      <c r="BJ147" s="317"/>
      <c r="BK147" s="316"/>
      <c r="BL147" s="317"/>
      <c r="BM147" s="316"/>
      <c r="BN147" s="318"/>
      <c r="BO147" s="289">
        <f ca="1">SUMIF(E$4:$BN146,$E$4,E147:BN147)</f>
        <v>0</v>
      </c>
      <c r="BP147" s="286">
        <f>+VLOOKUP(A147,'Tổng,SUMMARY'!C:K,8,0)</f>
        <v>750</v>
      </c>
      <c r="BQ147" s="293">
        <f t="shared" si="33"/>
        <v>-750</v>
      </c>
    </row>
    <row r="148" spans="1:69" ht="18.75" hidden="1" customHeight="1">
      <c r="A148" s="320" t="s">
        <v>262</v>
      </c>
      <c r="B148" s="271" t="s">
        <v>263</v>
      </c>
      <c r="C148" s="315"/>
      <c r="D148" s="304">
        <f>SUMIF($E$4:BN$4,$F$4,E148:BN148)</f>
        <v>0</v>
      </c>
      <c r="E148" s="316"/>
      <c r="F148" s="317"/>
      <c r="G148" s="316"/>
      <c r="H148" s="317"/>
      <c r="I148" s="316"/>
      <c r="J148" s="317"/>
      <c r="K148" s="316"/>
      <c r="L148" s="317"/>
      <c r="M148" s="316"/>
      <c r="N148" s="317"/>
      <c r="O148" s="316"/>
      <c r="P148" s="317"/>
      <c r="Q148" s="316"/>
      <c r="R148" s="317"/>
      <c r="S148" s="316"/>
      <c r="T148" s="317"/>
      <c r="U148" s="316"/>
      <c r="V148" s="317"/>
      <c r="W148" s="316"/>
      <c r="X148" s="317"/>
      <c r="Y148" s="316"/>
      <c r="Z148" s="317"/>
      <c r="AA148" s="316"/>
      <c r="AB148" s="317"/>
      <c r="AC148" s="316"/>
      <c r="AD148" s="317"/>
      <c r="AE148" s="316"/>
      <c r="AF148" s="317"/>
      <c r="AG148" s="316"/>
      <c r="AH148" s="317"/>
      <c r="AI148" s="316"/>
      <c r="AJ148" s="317"/>
      <c r="AK148" s="316"/>
      <c r="AL148" s="317"/>
      <c r="AM148" s="316"/>
      <c r="AN148" s="317"/>
      <c r="AO148" s="316"/>
      <c r="AP148" s="317"/>
      <c r="AQ148" s="316"/>
      <c r="AR148" s="317"/>
      <c r="AS148" s="316"/>
      <c r="AT148" s="317"/>
      <c r="AU148" s="316"/>
      <c r="AV148" s="317"/>
      <c r="AW148" s="316"/>
      <c r="AX148" s="317"/>
      <c r="AY148" s="316"/>
      <c r="AZ148" s="317"/>
      <c r="BA148" s="316"/>
      <c r="BB148" s="317"/>
      <c r="BC148" s="316"/>
      <c r="BD148" s="317"/>
      <c r="BE148" s="316"/>
      <c r="BF148" s="317"/>
      <c r="BG148" s="316"/>
      <c r="BH148" s="317"/>
      <c r="BI148" s="316"/>
      <c r="BJ148" s="317"/>
      <c r="BK148" s="316"/>
      <c r="BL148" s="317"/>
      <c r="BM148" s="316"/>
      <c r="BN148" s="318"/>
      <c r="BO148" s="289">
        <f ca="1">SUMIF(E$4:$BN147,$E$4,E148:BN148)</f>
        <v>0</v>
      </c>
      <c r="BP148" s="286">
        <f>+VLOOKUP(A148,'Tổng,SUMMARY'!C:K,8,0)</f>
        <v>1050</v>
      </c>
      <c r="BQ148" s="293">
        <f t="shared" si="33"/>
        <v>-1050</v>
      </c>
    </row>
    <row r="149" spans="1:69" ht="18.75" hidden="1" customHeight="1">
      <c r="A149" s="320" t="s">
        <v>264</v>
      </c>
      <c r="B149" s="271" t="s">
        <v>265</v>
      </c>
      <c r="C149" s="315"/>
      <c r="D149" s="304">
        <f>SUMIF($E$4:BN$4,$F$4,E149:BN149)</f>
        <v>0</v>
      </c>
      <c r="E149" s="316"/>
      <c r="F149" s="317"/>
      <c r="G149" s="316"/>
      <c r="H149" s="317"/>
      <c r="I149" s="316"/>
      <c r="J149" s="317"/>
      <c r="K149" s="316"/>
      <c r="L149" s="317"/>
      <c r="M149" s="316"/>
      <c r="N149" s="317"/>
      <c r="O149" s="316"/>
      <c r="P149" s="317"/>
      <c r="Q149" s="316"/>
      <c r="R149" s="317"/>
      <c r="S149" s="316"/>
      <c r="T149" s="317"/>
      <c r="U149" s="316"/>
      <c r="V149" s="317"/>
      <c r="W149" s="316"/>
      <c r="X149" s="317"/>
      <c r="Y149" s="316"/>
      <c r="Z149" s="317"/>
      <c r="AA149" s="316"/>
      <c r="AB149" s="317"/>
      <c r="AC149" s="316"/>
      <c r="AD149" s="317"/>
      <c r="AE149" s="316"/>
      <c r="AF149" s="317"/>
      <c r="AG149" s="316"/>
      <c r="AH149" s="317"/>
      <c r="AI149" s="316"/>
      <c r="AJ149" s="317"/>
      <c r="AK149" s="316"/>
      <c r="AL149" s="317"/>
      <c r="AM149" s="316"/>
      <c r="AN149" s="317"/>
      <c r="AO149" s="316"/>
      <c r="AP149" s="317"/>
      <c r="AQ149" s="316"/>
      <c r="AR149" s="317"/>
      <c r="AS149" s="316"/>
      <c r="AT149" s="317"/>
      <c r="AU149" s="316"/>
      <c r="AV149" s="317"/>
      <c r="AW149" s="316"/>
      <c r="AX149" s="317"/>
      <c r="AY149" s="316"/>
      <c r="AZ149" s="317"/>
      <c r="BA149" s="316"/>
      <c r="BB149" s="317"/>
      <c r="BC149" s="316"/>
      <c r="BD149" s="317"/>
      <c r="BE149" s="316"/>
      <c r="BF149" s="317"/>
      <c r="BG149" s="316"/>
      <c r="BH149" s="317"/>
      <c r="BI149" s="316"/>
      <c r="BJ149" s="317"/>
      <c r="BK149" s="316"/>
      <c r="BL149" s="317"/>
      <c r="BM149" s="316"/>
      <c r="BN149" s="318"/>
      <c r="BO149" s="289">
        <f ca="1">SUMIF(E$4:$BN148,$E$4,E149:BN149)</f>
        <v>0</v>
      </c>
      <c r="BP149" s="286">
        <f>+VLOOKUP(A149,'Tổng,SUMMARY'!C:K,8,0)</f>
        <v>2600</v>
      </c>
      <c r="BQ149" s="293">
        <f t="shared" si="33"/>
        <v>-2600</v>
      </c>
    </row>
    <row r="150" spans="1:69" ht="18.75" hidden="1" customHeight="1">
      <c r="A150" s="320" t="s">
        <v>266</v>
      </c>
      <c r="B150" s="271" t="s">
        <v>265</v>
      </c>
      <c r="C150" s="315"/>
      <c r="D150" s="304">
        <f>SUMIF($E$4:BN$4,$F$4,E150:BN150)</f>
        <v>0</v>
      </c>
      <c r="E150" s="316"/>
      <c r="F150" s="317"/>
      <c r="G150" s="316"/>
      <c r="H150" s="317"/>
      <c r="I150" s="316"/>
      <c r="J150" s="317"/>
      <c r="K150" s="316"/>
      <c r="L150" s="317"/>
      <c r="M150" s="316"/>
      <c r="N150" s="317"/>
      <c r="O150" s="316"/>
      <c r="P150" s="317"/>
      <c r="Q150" s="316"/>
      <c r="R150" s="317"/>
      <c r="S150" s="316"/>
      <c r="T150" s="317"/>
      <c r="U150" s="316"/>
      <c r="V150" s="317"/>
      <c r="W150" s="316"/>
      <c r="X150" s="317"/>
      <c r="Y150" s="316"/>
      <c r="Z150" s="317"/>
      <c r="AA150" s="316"/>
      <c r="AB150" s="317"/>
      <c r="AC150" s="316"/>
      <c r="AD150" s="317"/>
      <c r="AE150" s="316"/>
      <c r="AF150" s="317"/>
      <c r="AG150" s="316"/>
      <c r="AH150" s="317"/>
      <c r="AI150" s="316"/>
      <c r="AJ150" s="317"/>
      <c r="AK150" s="316"/>
      <c r="AL150" s="317"/>
      <c r="AM150" s="316"/>
      <c r="AN150" s="317"/>
      <c r="AO150" s="316"/>
      <c r="AP150" s="317"/>
      <c r="AQ150" s="316"/>
      <c r="AR150" s="317"/>
      <c r="AS150" s="316"/>
      <c r="AT150" s="317"/>
      <c r="AU150" s="316"/>
      <c r="AV150" s="317"/>
      <c r="AW150" s="316"/>
      <c r="AX150" s="317"/>
      <c r="AY150" s="316"/>
      <c r="AZ150" s="317"/>
      <c r="BA150" s="316"/>
      <c r="BB150" s="317"/>
      <c r="BC150" s="316"/>
      <c r="BD150" s="317"/>
      <c r="BE150" s="316"/>
      <c r="BF150" s="317"/>
      <c r="BG150" s="316"/>
      <c r="BH150" s="317"/>
      <c r="BI150" s="316"/>
      <c r="BJ150" s="317"/>
      <c r="BK150" s="316"/>
      <c r="BL150" s="317"/>
      <c r="BM150" s="316"/>
      <c r="BN150" s="318"/>
      <c r="BO150" s="289">
        <f ca="1">SUMIF(E$4:$BN149,$E$4,E150:BN150)</f>
        <v>0</v>
      </c>
      <c r="BP150" s="286">
        <f>+VLOOKUP(A150,'Tổng,SUMMARY'!C:K,8,0)</f>
        <v>1100</v>
      </c>
      <c r="BQ150" s="293">
        <f t="shared" si="33"/>
        <v>-1100</v>
      </c>
    </row>
    <row r="151" spans="1:69" ht="18.75" customHeight="1">
      <c r="A151" s="320" t="s">
        <v>267</v>
      </c>
      <c r="B151" s="271" t="s">
        <v>268</v>
      </c>
      <c r="C151" s="315"/>
      <c r="D151" s="304">
        <f>SUMIF($E$4:BN$4,$F$4,E151:BN151)</f>
        <v>4620</v>
      </c>
      <c r="E151" s="316"/>
      <c r="F151" s="317"/>
      <c r="G151" s="316"/>
      <c r="H151" s="317"/>
      <c r="I151" s="316"/>
      <c r="J151" s="317">
        <f>780+780+780+750</f>
        <v>3090</v>
      </c>
      <c r="K151" s="316"/>
      <c r="L151" s="317">
        <f>750+780</f>
        <v>1530</v>
      </c>
      <c r="M151" s="316"/>
      <c r="N151" s="317"/>
      <c r="O151" s="316"/>
      <c r="P151" s="317"/>
      <c r="Q151" s="316"/>
      <c r="R151" s="317"/>
      <c r="S151" s="316"/>
      <c r="T151" s="317"/>
      <c r="U151" s="316"/>
      <c r="V151" s="317"/>
      <c r="W151" s="316"/>
      <c r="X151" s="317"/>
      <c r="Y151" s="316"/>
      <c r="Z151" s="317"/>
      <c r="AA151" s="316"/>
      <c r="AB151" s="317"/>
      <c r="AC151" s="316"/>
      <c r="AD151" s="317"/>
      <c r="AE151" s="316"/>
      <c r="AF151" s="317"/>
      <c r="AG151" s="316"/>
      <c r="AH151" s="317"/>
      <c r="AI151" s="316"/>
      <c r="AJ151" s="317"/>
      <c r="AK151" s="316"/>
      <c r="AL151" s="317"/>
      <c r="AM151" s="316"/>
      <c r="AN151" s="317"/>
      <c r="AO151" s="316"/>
      <c r="AP151" s="317"/>
      <c r="AQ151" s="316"/>
      <c r="AR151" s="317"/>
      <c r="AS151" s="316"/>
      <c r="AT151" s="317"/>
      <c r="AU151" s="316"/>
      <c r="AV151" s="317"/>
      <c r="AW151" s="316"/>
      <c r="AX151" s="317"/>
      <c r="AY151" s="316"/>
      <c r="AZ151" s="317"/>
      <c r="BA151" s="316"/>
      <c r="BB151" s="317"/>
      <c r="BC151" s="316"/>
      <c r="BD151" s="317"/>
      <c r="BE151" s="316"/>
      <c r="BF151" s="317"/>
      <c r="BG151" s="316"/>
      <c r="BH151" s="317"/>
      <c r="BI151" s="316"/>
      <c r="BJ151" s="317"/>
      <c r="BK151" s="316"/>
      <c r="BL151" s="317"/>
      <c r="BM151" s="316"/>
      <c r="BN151" s="318"/>
      <c r="BO151" s="289">
        <f ca="1">SUMIF(E$4:$BN150,$E$4,E151:BN151)</f>
        <v>0</v>
      </c>
      <c r="BP151" s="286">
        <f>+VLOOKUP(A151,'Tổng,SUMMARY'!C:K,8,0)</f>
        <v>9990</v>
      </c>
      <c r="BQ151" s="293">
        <f t="shared" si="33"/>
        <v>-5370</v>
      </c>
    </row>
    <row r="152" spans="1:69" ht="18.75" hidden="1" customHeight="1">
      <c r="A152" s="320" t="s">
        <v>269</v>
      </c>
      <c r="B152" s="271" t="s">
        <v>268</v>
      </c>
      <c r="C152" s="315"/>
      <c r="D152" s="304">
        <f>SUMIF($E$4:BN$4,$F$4,E152:BN152)</f>
        <v>0</v>
      </c>
      <c r="E152" s="316"/>
      <c r="F152" s="317"/>
      <c r="G152" s="316"/>
      <c r="H152" s="317"/>
      <c r="I152" s="316"/>
      <c r="J152" s="317"/>
      <c r="K152" s="316"/>
      <c r="L152" s="317"/>
      <c r="M152" s="316"/>
      <c r="N152" s="317"/>
      <c r="O152" s="316"/>
      <c r="P152" s="317"/>
      <c r="Q152" s="316"/>
      <c r="R152" s="317"/>
      <c r="S152" s="316"/>
      <c r="T152" s="317"/>
      <c r="U152" s="316"/>
      <c r="V152" s="317"/>
      <c r="W152" s="316"/>
      <c r="X152" s="317"/>
      <c r="Y152" s="316"/>
      <c r="Z152" s="317"/>
      <c r="AA152" s="316"/>
      <c r="AB152" s="317"/>
      <c r="AC152" s="316"/>
      <c r="AD152" s="317"/>
      <c r="AE152" s="316"/>
      <c r="AF152" s="317"/>
      <c r="AG152" s="316"/>
      <c r="AH152" s="317"/>
      <c r="AI152" s="316"/>
      <c r="AJ152" s="317"/>
      <c r="AK152" s="316"/>
      <c r="AL152" s="317"/>
      <c r="AM152" s="316"/>
      <c r="AN152" s="317"/>
      <c r="AO152" s="316"/>
      <c r="AP152" s="317"/>
      <c r="AQ152" s="316"/>
      <c r="AR152" s="317"/>
      <c r="AS152" s="316"/>
      <c r="AT152" s="317"/>
      <c r="AU152" s="316"/>
      <c r="AV152" s="317"/>
      <c r="AW152" s="316"/>
      <c r="AX152" s="317"/>
      <c r="AY152" s="316"/>
      <c r="AZ152" s="317"/>
      <c r="BA152" s="316"/>
      <c r="BB152" s="317"/>
      <c r="BC152" s="316"/>
      <c r="BD152" s="317"/>
      <c r="BE152" s="316"/>
      <c r="BF152" s="317"/>
      <c r="BG152" s="316"/>
      <c r="BH152" s="317"/>
      <c r="BI152" s="316"/>
      <c r="BJ152" s="317"/>
      <c r="BK152" s="316"/>
      <c r="BL152" s="317"/>
      <c r="BM152" s="316"/>
      <c r="BN152" s="318"/>
      <c r="BO152" s="289">
        <f ca="1">SUMIF(E$4:$BN151,$E$4,E152:BN152)</f>
        <v>0</v>
      </c>
      <c r="BP152" s="286">
        <f>+VLOOKUP(A152,'Tổng,SUMMARY'!C:K,8,0)</f>
        <v>0</v>
      </c>
      <c r="BQ152" s="293">
        <f t="shared" si="33"/>
        <v>0</v>
      </c>
    </row>
    <row r="153" spans="1:69" ht="18.75" hidden="1" customHeight="1">
      <c r="A153" s="320" t="s">
        <v>270</v>
      </c>
      <c r="B153" s="271" t="s">
        <v>271</v>
      </c>
      <c r="C153" s="315"/>
      <c r="D153" s="304">
        <f>SUMIF($E$4:BN$4,$F$4,E153:BN153)</f>
        <v>0</v>
      </c>
      <c r="E153" s="316"/>
      <c r="F153" s="317"/>
      <c r="G153" s="316"/>
      <c r="H153" s="317"/>
      <c r="I153" s="316"/>
      <c r="J153" s="317"/>
      <c r="K153" s="316"/>
      <c r="L153" s="317"/>
      <c r="M153" s="316"/>
      <c r="N153" s="317"/>
      <c r="O153" s="316"/>
      <c r="P153" s="317"/>
      <c r="Q153" s="316"/>
      <c r="R153" s="317"/>
      <c r="S153" s="316"/>
      <c r="T153" s="317"/>
      <c r="U153" s="316"/>
      <c r="V153" s="317"/>
      <c r="W153" s="316"/>
      <c r="X153" s="317"/>
      <c r="Y153" s="316"/>
      <c r="Z153" s="317"/>
      <c r="AA153" s="316"/>
      <c r="AB153" s="317"/>
      <c r="AC153" s="316"/>
      <c r="AD153" s="317"/>
      <c r="AE153" s="316"/>
      <c r="AF153" s="317"/>
      <c r="AG153" s="316"/>
      <c r="AH153" s="317"/>
      <c r="AI153" s="316"/>
      <c r="AJ153" s="317"/>
      <c r="AK153" s="316"/>
      <c r="AL153" s="317"/>
      <c r="AM153" s="316"/>
      <c r="AN153" s="317"/>
      <c r="AO153" s="316"/>
      <c r="AP153" s="317"/>
      <c r="AQ153" s="316"/>
      <c r="AR153" s="317"/>
      <c r="AS153" s="316"/>
      <c r="AT153" s="317"/>
      <c r="AU153" s="316"/>
      <c r="AV153" s="317"/>
      <c r="AW153" s="316"/>
      <c r="AX153" s="317"/>
      <c r="AY153" s="316"/>
      <c r="AZ153" s="317"/>
      <c r="BA153" s="316"/>
      <c r="BB153" s="317"/>
      <c r="BC153" s="316"/>
      <c r="BD153" s="317"/>
      <c r="BE153" s="316"/>
      <c r="BF153" s="317"/>
      <c r="BG153" s="316"/>
      <c r="BH153" s="317"/>
      <c r="BI153" s="316"/>
      <c r="BJ153" s="317"/>
      <c r="BK153" s="316"/>
      <c r="BL153" s="317"/>
      <c r="BM153" s="316"/>
      <c r="BN153" s="318"/>
      <c r="BO153" s="289">
        <f ca="1">SUMIF(E$4:$BN152,$E$4,E153:BN153)</f>
        <v>0</v>
      </c>
      <c r="BP153" s="286">
        <f>+VLOOKUP(A153,'Tổng,SUMMARY'!C:K,8,0)</f>
        <v>630</v>
      </c>
      <c r="BQ153" s="293">
        <f t="shared" si="33"/>
        <v>-630</v>
      </c>
    </row>
    <row r="154" spans="1:69" ht="18.75" hidden="1" customHeight="1">
      <c r="A154" s="320" t="s">
        <v>272</v>
      </c>
      <c r="B154" s="271" t="s">
        <v>273</v>
      </c>
      <c r="C154" s="315"/>
      <c r="D154" s="304">
        <f>SUMIF($E$4:BN$4,$F$4,E154:BN154)</f>
        <v>0</v>
      </c>
      <c r="E154" s="316"/>
      <c r="F154" s="317"/>
      <c r="G154" s="316"/>
      <c r="H154" s="317"/>
      <c r="I154" s="316"/>
      <c r="J154" s="317"/>
      <c r="K154" s="316"/>
      <c r="L154" s="317"/>
      <c r="M154" s="316"/>
      <c r="N154" s="317"/>
      <c r="O154" s="316"/>
      <c r="P154" s="317"/>
      <c r="Q154" s="316"/>
      <c r="R154" s="317"/>
      <c r="S154" s="316"/>
      <c r="T154" s="317"/>
      <c r="U154" s="316"/>
      <c r="V154" s="317"/>
      <c r="W154" s="316"/>
      <c r="X154" s="317"/>
      <c r="Y154" s="316"/>
      <c r="Z154" s="317"/>
      <c r="AA154" s="316"/>
      <c r="AB154" s="317"/>
      <c r="AC154" s="316"/>
      <c r="AD154" s="317"/>
      <c r="AE154" s="316"/>
      <c r="AF154" s="317"/>
      <c r="AG154" s="316"/>
      <c r="AH154" s="317"/>
      <c r="AI154" s="316"/>
      <c r="AJ154" s="317"/>
      <c r="AK154" s="316"/>
      <c r="AL154" s="317"/>
      <c r="AM154" s="316"/>
      <c r="AN154" s="317"/>
      <c r="AO154" s="316"/>
      <c r="AP154" s="317"/>
      <c r="AQ154" s="316"/>
      <c r="AR154" s="317"/>
      <c r="AS154" s="316"/>
      <c r="AT154" s="317"/>
      <c r="AU154" s="316"/>
      <c r="AV154" s="317"/>
      <c r="AW154" s="316"/>
      <c r="AX154" s="317"/>
      <c r="AY154" s="316"/>
      <c r="AZ154" s="317"/>
      <c r="BA154" s="316"/>
      <c r="BB154" s="317"/>
      <c r="BC154" s="316"/>
      <c r="BD154" s="317"/>
      <c r="BE154" s="316"/>
      <c r="BF154" s="317"/>
      <c r="BG154" s="316"/>
      <c r="BH154" s="317"/>
      <c r="BI154" s="316"/>
      <c r="BJ154" s="317"/>
      <c r="BK154" s="316"/>
      <c r="BL154" s="317"/>
      <c r="BM154" s="316"/>
      <c r="BN154" s="318"/>
      <c r="BO154" s="289">
        <f ca="1">SUMIF(E$4:$BN153,$E$4,E154:BN154)</f>
        <v>0</v>
      </c>
      <c r="BP154" s="286">
        <f>+VLOOKUP(A154,'Tổng,SUMMARY'!C:K,8,0)</f>
        <v>800</v>
      </c>
      <c r="BQ154" s="293">
        <f t="shared" si="33"/>
        <v>-800</v>
      </c>
    </row>
    <row r="155" spans="1:69" ht="18.75" hidden="1" customHeight="1">
      <c r="A155" s="320" t="s">
        <v>274</v>
      </c>
      <c r="B155" s="271" t="s">
        <v>275</v>
      </c>
      <c r="C155" s="315"/>
      <c r="D155" s="304">
        <f>SUMIF($E$4:BN$4,$F$4,E155:BN155)</f>
        <v>0</v>
      </c>
      <c r="E155" s="316"/>
      <c r="F155" s="317"/>
      <c r="G155" s="316"/>
      <c r="H155" s="317"/>
      <c r="I155" s="316"/>
      <c r="J155" s="317"/>
      <c r="K155" s="316"/>
      <c r="L155" s="317"/>
      <c r="M155" s="316"/>
      <c r="N155" s="317"/>
      <c r="O155" s="316"/>
      <c r="P155" s="317"/>
      <c r="Q155" s="316"/>
      <c r="R155" s="317"/>
      <c r="S155" s="316"/>
      <c r="T155" s="317"/>
      <c r="U155" s="316"/>
      <c r="V155" s="317"/>
      <c r="W155" s="316"/>
      <c r="X155" s="317"/>
      <c r="Y155" s="316"/>
      <c r="Z155" s="317"/>
      <c r="AA155" s="316"/>
      <c r="AB155" s="317"/>
      <c r="AC155" s="316"/>
      <c r="AD155" s="317"/>
      <c r="AE155" s="316"/>
      <c r="AF155" s="317"/>
      <c r="AG155" s="316"/>
      <c r="AH155" s="317"/>
      <c r="AI155" s="316"/>
      <c r="AJ155" s="317"/>
      <c r="AK155" s="316"/>
      <c r="AL155" s="317"/>
      <c r="AM155" s="316"/>
      <c r="AN155" s="317"/>
      <c r="AO155" s="316"/>
      <c r="AP155" s="317"/>
      <c r="AQ155" s="316"/>
      <c r="AR155" s="317"/>
      <c r="AS155" s="316"/>
      <c r="AT155" s="317"/>
      <c r="AU155" s="316"/>
      <c r="AV155" s="317"/>
      <c r="AW155" s="316"/>
      <c r="AX155" s="317"/>
      <c r="AY155" s="316"/>
      <c r="AZ155" s="317"/>
      <c r="BA155" s="316"/>
      <c r="BB155" s="317"/>
      <c r="BC155" s="316"/>
      <c r="BD155" s="317"/>
      <c r="BE155" s="316"/>
      <c r="BF155" s="317"/>
      <c r="BG155" s="316"/>
      <c r="BH155" s="317"/>
      <c r="BI155" s="316"/>
      <c r="BJ155" s="317"/>
      <c r="BK155" s="316"/>
      <c r="BL155" s="317"/>
      <c r="BM155" s="316"/>
      <c r="BN155" s="318"/>
      <c r="BO155" s="289">
        <f ca="1">SUMIF(E$4:$BN154,$E$4,E155:BN155)</f>
        <v>0</v>
      </c>
      <c r="BP155" s="286">
        <f>+VLOOKUP(A155,'Tổng,SUMMARY'!C:K,8,0)</f>
        <v>0</v>
      </c>
      <c r="BQ155" s="293">
        <f t="shared" si="33"/>
        <v>0</v>
      </c>
    </row>
    <row r="156" spans="1:69" ht="18.75" hidden="1" customHeight="1">
      <c r="A156" s="320" t="s">
        <v>276</v>
      </c>
      <c r="B156" s="271" t="s">
        <v>275</v>
      </c>
      <c r="C156" s="315"/>
      <c r="D156" s="304">
        <f>SUMIF($E$4:BN$4,$F$4,E156:BN156)</f>
        <v>0</v>
      </c>
      <c r="E156" s="316"/>
      <c r="F156" s="317"/>
      <c r="G156" s="316"/>
      <c r="H156" s="317"/>
      <c r="I156" s="316"/>
      <c r="J156" s="317"/>
      <c r="K156" s="316"/>
      <c r="L156" s="317"/>
      <c r="M156" s="316"/>
      <c r="N156" s="317"/>
      <c r="O156" s="316"/>
      <c r="P156" s="317"/>
      <c r="Q156" s="316"/>
      <c r="R156" s="317"/>
      <c r="S156" s="316"/>
      <c r="T156" s="317"/>
      <c r="U156" s="316"/>
      <c r="V156" s="317"/>
      <c r="W156" s="316"/>
      <c r="X156" s="317"/>
      <c r="Y156" s="316"/>
      <c r="Z156" s="317"/>
      <c r="AA156" s="316"/>
      <c r="AB156" s="317"/>
      <c r="AC156" s="316"/>
      <c r="AD156" s="317"/>
      <c r="AE156" s="316"/>
      <c r="AF156" s="317"/>
      <c r="AG156" s="316"/>
      <c r="AH156" s="317"/>
      <c r="AI156" s="316"/>
      <c r="AJ156" s="317"/>
      <c r="AK156" s="316"/>
      <c r="AL156" s="317"/>
      <c r="AM156" s="316"/>
      <c r="AN156" s="317"/>
      <c r="AO156" s="316"/>
      <c r="AP156" s="317"/>
      <c r="AQ156" s="316"/>
      <c r="AR156" s="317"/>
      <c r="AS156" s="316"/>
      <c r="AT156" s="317"/>
      <c r="AU156" s="316"/>
      <c r="AV156" s="317"/>
      <c r="AW156" s="316"/>
      <c r="AX156" s="317"/>
      <c r="AY156" s="316"/>
      <c r="AZ156" s="317"/>
      <c r="BA156" s="316"/>
      <c r="BB156" s="317"/>
      <c r="BC156" s="316"/>
      <c r="BD156" s="317"/>
      <c r="BE156" s="316"/>
      <c r="BF156" s="317"/>
      <c r="BG156" s="316"/>
      <c r="BH156" s="317"/>
      <c r="BI156" s="316"/>
      <c r="BJ156" s="317"/>
      <c r="BK156" s="316"/>
      <c r="BL156" s="317"/>
      <c r="BM156" s="316"/>
      <c r="BN156" s="318"/>
      <c r="BQ156" s="293"/>
    </row>
    <row r="157" spans="1:69" ht="18.75" hidden="1" customHeight="1">
      <c r="A157" s="320" t="s">
        <v>277</v>
      </c>
      <c r="B157" s="271" t="s">
        <v>278</v>
      </c>
      <c r="C157" s="315"/>
      <c r="D157" s="304">
        <f>SUMIF($E$4:BN$4,$F$4,E157:BN157)</f>
        <v>0</v>
      </c>
      <c r="E157" s="316"/>
      <c r="F157" s="317"/>
      <c r="G157" s="316"/>
      <c r="H157" s="317"/>
      <c r="I157" s="316"/>
      <c r="J157" s="317"/>
      <c r="K157" s="316"/>
      <c r="L157" s="317"/>
      <c r="M157" s="316"/>
      <c r="N157" s="317"/>
      <c r="O157" s="316"/>
      <c r="P157" s="317"/>
      <c r="Q157" s="316"/>
      <c r="R157" s="317"/>
      <c r="S157" s="316"/>
      <c r="T157" s="317"/>
      <c r="U157" s="316"/>
      <c r="V157" s="317"/>
      <c r="W157" s="316"/>
      <c r="X157" s="317"/>
      <c r="Y157" s="316"/>
      <c r="Z157" s="317"/>
      <c r="AA157" s="316"/>
      <c r="AB157" s="317"/>
      <c r="AC157" s="316"/>
      <c r="AD157" s="317"/>
      <c r="AE157" s="316"/>
      <c r="AF157" s="317"/>
      <c r="AG157" s="316"/>
      <c r="AH157" s="317"/>
      <c r="AI157" s="316"/>
      <c r="AJ157" s="317"/>
      <c r="AK157" s="316"/>
      <c r="AL157" s="317"/>
      <c r="AM157" s="316"/>
      <c r="AN157" s="317"/>
      <c r="AO157" s="316"/>
      <c r="AP157" s="317"/>
      <c r="AQ157" s="316"/>
      <c r="AR157" s="317"/>
      <c r="AS157" s="316"/>
      <c r="AT157" s="317"/>
      <c r="AU157" s="316"/>
      <c r="AV157" s="317"/>
      <c r="AW157" s="316"/>
      <c r="AX157" s="317"/>
      <c r="AY157" s="316"/>
      <c r="AZ157" s="317"/>
      <c r="BA157" s="316"/>
      <c r="BB157" s="317"/>
      <c r="BC157" s="316"/>
      <c r="BD157" s="317"/>
      <c r="BE157" s="316"/>
      <c r="BF157" s="317"/>
      <c r="BG157" s="316"/>
      <c r="BH157" s="317"/>
      <c r="BI157" s="316"/>
      <c r="BJ157" s="317"/>
      <c r="BK157" s="316"/>
      <c r="BL157" s="317"/>
      <c r="BM157" s="316"/>
      <c r="BN157" s="318"/>
      <c r="BO157" s="289">
        <f ca="1">SUMIF(E$4:$BN155,$E$4,E157:BN157)</f>
        <v>0</v>
      </c>
      <c r="BP157" s="286">
        <f>+VLOOKUP(A157,'Tổng,SUMMARY'!C:K,8,0)</f>
        <v>1350</v>
      </c>
      <c r="BQ157" s="293">
        <f t="shared" si="33"/>
        <v>-1350</v>
      </c>
    </row>
    <row r="158" spans="1:69" ht="18.75" hidden="1" customHeight="1">
      <c r="A158" s="320" t="s">
        <v>279</v>
      </c>
      <c r="B158" s="271" t="s">
        <v>280</v>
      </c>
      <c r="C158" s="315"/>
      <c r="D158" s="304">
        <f>SUMIF($E$4:BN$4,$F$4,E158:BN158)</f>
        <v>0</v>
      </c>
      <c r="E158" s="316"/>
      <c r="F158" s="317"/>
      <c r="G158" s="316"/>
      <c r="H158" s="317"/>
      <c r="I158" s="316"/>
      <c r="J158" s="317"/>
      <c r="K158" s="316"/>
      <c r="L158" s="317"/>
      <c r="M158" s="316"/>
      <c r="N158" s="317"/>
      <c r="O158" s="316"/>
      <c r="P158" s="317"/>
      <c r="Q158" s="316"/>
      <c r="R158" s="317"/>
      <c r="S158" s="316"/>
      <c r="T158" s="317"/>
      <c r="U158" s="316"/>
      <c r="V158" s="317"/>
      <c r="W158" s="316"/>
      <c r="X158" s="317"/>
      <c r="Y158" s="316"/>
      <c r="Z158" s="317"/>
      <c r="AA158" s="316"/>
      <c r="AB158" s="317"/>
      <c r="AC158" s="316"/>
      <c r="AD158" s="317"/>
      <c r="AE158" s="316"/>
      <c r="AF158" s="317"/>
      <c r="AG158" s="316"/>
      <c r="AH158" s="317"/>
      <c r="AI158" s="316"/>
      <c r="AJ158" s="317"/>
      <c r="AK158" s="316"/>
      <c r="AL158" s="317"/>
      <c r="AM158" s="316"/>
      <c r="AN158" s="317"/>
      <c r="AO158" s="316"/>
      <c r="AP158" s="317"/>
      <c r="AQ158" s="316"/>
      <c r="AR158" s="317"/>
      <c r="AS158" s="316"/>
      <c r="AT158" s="317"/>
      <c r="AU158" s="316"/>
      <c r="AV158" s="317"/>
      <c r="AW158" s="316"/>
      <c r="AX158" s="317"/>
      <c r="AY158" s="316"/>
      <c r="AZ158" s="317"/>
      <c r="BA158" s="316"/>
      <c r="BB158" s="317"/>
      <c r="BC158" s="316"/>
      <c r="BD158" s="317"/>
      <c r="BE158" s="316"/>
      <c r="BF158" s="317"/>
      <c r="BG158" s="316"/>
      <c r="BH158" s="317"/>
      <c r="BI158" s="316"/>
      <c r="BJ158" s="317"/>
      <c r="BK158" s="316"/>
      <c r="BL158" s="317"/>
      <c r="BM158" s="316"/>
      <c r="BN158" s="318"/>
      <c r="BO158" s="289">
        <f ca="1">SUMIF(E$4:$BN157,$E$4,E158:BN158)</f>
        <v>0</v>
      </c>
      <c r="BP158" s="286">
        <f>+VLOOKUP(A158,'Tổng,SUMMARY'!C:K,8,0)</f>
        <v>2400</v>
      </c>
      <c r="BQ158" s="293">
        <f t="shared" si="33"/>
        <v>-2400</v>
      </c>
    </row>
    <row r="159" spans="1:69" ht="18.75" hidden="1" customHeight="1">
      <c r="A159" s="320" t="s">
        <v>281</v>
      </c>
      <c r="B159" s="271" t="s">
        <v>280</v>
      </c>
      <c r="C159" s="315"/>
      <c r="D159" s="304">
        <f>SUMIF($E$4:BN$4,$F$4,E159:BN159)</f>
        <v>0</v>
      </c>
      <c r="E159" s="316"/>
      <c r="F159" s="317"/>
      <c r="G159" s="316"/>
      <c r="H159" s="317"/>
      <c r="I159" s="316"/>
      <c r="J159" s="317"/>
      <c r="K159" s="316"/>
      <c r="L159" s="317"/>
      <c r="M159" s="316"/>
      <c r="N159" s="317"/>
      <c r="O159" s="316"/>
      <c r="P159" s="317"/>
      <c r="Q159" s="316"/>
      <c r="R159" s="317"/>
      <c r="S159" s="316"/>
      <c r="T159" s="317"/>
      <c r="U159" s="316"/>
      <c r="V159" s="317"/>
      <c r="W159" s="316"/>
      <c r="X159" s="317"/>
      <c r="Y159" s="316"/>
      <c r="Z159" s="317"/>
      <c r="AA159" s="316"/>
      <c r="AB159" s="317"/>
      <c r="AC159" s="316"/>
      <c r="AD159" s="317"/>
      <c r="AE159" s="316"/>
      <c r="AF159" s="317"/>
      <c r="AG159" s="316"/>
      <c r="AH159" s="317"/>
      <c r="AI159" s="316"/>
      <c r="AJ159" s="317"/>
      <c r="AK159" s="316"/>
      <c r="AL159" s="317"/>
      <c r="AM159" s="316"/>
      <c r="AN159" s="317"/>
      <c r="AO159" s="316"/>
      <c r="AP159" s="317"/>
      <c r="AQ159" s="316"/>
      <c r="AR159" s="317"/>
      <c r="AS159" s="316"/>
      <c r="AT159" s="317"/>
      <c r="AU159" s="316"/>
      <c r="AV159" s="317"/>
      <c r="AW159" s="316"/>
      <c r="AX159" s="317"/>
      <c r="AY159" s="316"/>
      <c r="AZ159" s="317"/>
      <c r="BA159" s="316"/>
      <c r="BB159" s="317"/>
      <c r="BC159" s="316"/>
      <c r="BD159" s="317"/>
      <c r="BE159" s="316"/>
      <c r="BF159" s="317"/>
      <c r="BG159" s="316"/>
      <c r="BH159" s="317"/>
      <c r="BI159" s="316"/>
      <c r="BJ159" s="317"/>
      <c r="BK159" s="316"/>
      <c r="BL159" s="317"/>
      <c r="BM159" s="316"/>
      <c r="BN159" s="318"/>
      <c r="BQ159" s="293"/>
    </row>
    <row r="160" spans="1:69" ht="18.75" hidden="1" customHeight="1">
      <c r="A160" s="320" t="s">
        <v>282</v>
      </c>
      <c r="B160" s="271" t="s">
        <v>280</v>
      </c>
      <c r="C160" s="315"/>
      <c r="D160" s="304">
        <f>SUMIF($E$4:BN$4,$F$4,E160:BN160)</f>
        <v>0</v>
      </c>
      <c r="E160" s="316"/>
      <c r="F160" s="317"/>
      <c r="G160" s="316"/>
      <c r="H160" s="317"/>
      <c r="I160" s="316"/>
      <c r="J160" s="317"/>
      <c r="K160" s="316"/>
      <c r="L160" s="317"/>
      <c r="M160" s="316"/>
      <c r="N160" s="317"/>
      <c r="O160" s="316"/>
      <c r="P160" s="317"/>
      <c r="Q160" s="316"/>
      <c r="R160" s="317"/>
      <c r="S160" s="316"/>
      <c r="T160" s="317"/>
      <c r="U160" s="316"/>
      <c r="V160" s="317"/>
      <c r="W160" s="316"/>
      <c r="X160" s="317"/>
      <c r="Y160" s="316"/>
      <c r="Z160" s="317"/>
      <c r="AA160" s="316"/>
      <c r="AB160" s="317"/>
      <c r="AC160" s="316"/>
      <c r="AD160" s="317"/>
      <c r="AE160" s="316"/>
      <c r="AF160" s="317"/>
      <c r="AG160" s="316"/>
      <c r="AH160" s="317"/>
      <c r="AI160" s="316"/>
      <c r="AJ160" s="317"/>
      <c r="AK160" s="316"/>
      <c r="AL160" s="317"/>
      <c r="AM160" s="316"/>
      <c r="AN160" s="317"/>
      <c r="AO160" s="316"/>
      <c r="AP160" s="317"/>
      <c r="AQ160" s="316"/>
      <c r="AR160" s="317"/>
      <c r="AS160" s="316"/>
      <c r="AT160" s="317"/>
      <c r="AU160" s="316"/>
      <c r="AV160" s="317"/>
      <c r="AW160" s="316"/>
      <c r="AX160" s="317"/>
      <c r="AY160" s="316"/>
      <c r="AZ160" s="317"/>
      <c r="BA160" s="316"/>
      <c r="BB160" s="317"/>
      <c r="BC160" s="316"/>
      <c r="BD160" s="317"/>
      <c r="BE160" s="316"/>
      <c r="BF160" s="317"/>
      <c r="BG160" s="316"/>
      <c r="BH160" s="317"/>
      <c r="BI160" s="316"/>
      <c r="BJ160" s="317"/>
      <c r="BK160" s="316"/>
      <c r="BL160" s="317"/>
      <c r="BM160" s="316"/>
      <c r="BN160" s="318"/>
      <c r="BQ160" s="293"/>
    </row>
    <row r="161" spans="1:69" ht="18.75" hidden="1" customHeight="1">
      <c r="A161" s="320" t="s">
        <v>283</v>
      </c>
      <c r="B161" s="271" t="s">
        <v>284</v>
      </c>
      <c r="C161" s="315"/>
      <c r="D161" s="304">
        <f>SUMIF($E$4:BN$4,$F$4,E161:BN161)</f>
        <v>0</v>
      </c>
      <c r="E161" s="316"/>
      <c r="F161" s="317"/>
      <c r="G161" s="316"/>
      <c r="H161" s="317"/>
      <c r="I161" s="316"/>
      <c r="J161" s="317"/>
      <c r="K161" s="316"/>
      <c r="L161" s="317"/>
      <c r="M161" s="316"/>
      <c r="N161" s="317"/>
      <c r="O161" s="316"/>
      <c r="P161" s="317"/>
      <c r="Q161" s="316"/>
      <c r="R161" s="317"/>
      <c r="S161" s="316"/>
      <c r="T161" s="317"/>
      <c r="U161" s="316"/>
      <c r="V161" s="317"/>
      <c r="W161" s="316"/>
      <c r="X161" s="317"/>
      <c r="Y161" s="316"/>
      <c r="Z161" s="317"/>
      <c r="AA161" s="316"/>
      <c r="AB161" s="317"/>
      <c r="AC161" s="316"/>
      <c r="AD161" s="317"/>
      <c r="AE161" s="316"/>
      <c r="AF161" s="317"/>
      <c r="AG161" s="316"/>
      <c r="AH161" s="317"/>
      <c r="AI161" s="316"/>
      <c r="AJ161" s="317"/>
      <c r="AK161" s="316"/>
      <c r="AL161" s="317"/>
      <c r="AM161" s="316"/>
      <c r="AN161" s="317"/>
      <c r="AO161" s="316"/>
      <c r="AP161" s="317"/>
      <c r="AQ161" s="316"/>
      <c r="AR161" s="317"/>
      <c r="AS161" s="316"/>
      <c r="AT161" s="317"/>
      <c r="AU161" s="316"/>
      <c r="AV161" s="317"/>
      <c r="AW161" s="316"/>
      <c r="AX161" s="317"/>
      <c r="AY161" s="316"/>
      <c r="AZ161" s="317"/>
      <c r="BA161" s="316"/>
      <c r="BB161" s="317"/>
      <c r="BC161" s="316"/>
      <c r="BD161" s="317"/>
      <c r="BE161" s="316"/>
      <c r="BF161" s="317"/>
      <c r="BG161" s="316"/>
      <c r="BH161" s="317"/>
      <c r="BI161" s="316"/>
      <c r="BJ161" s="317"/>
      <c r="BK161" s="316"/>
      <c r="BL161" s="317"/>
      <c r="BM161" s="316"/>
      <c r="BN161" s="318"/>
      <c r="BO161" s="289">
        <f ca="1">SUMIF(E$4:$BN158,$E$4,E161:BN161)</f>
        <v>0</v>
      </c>
      <c r="BP161" s="286">
        <f>+VLOOKUP(A161,'Tổng,SUMMARY'!C:K,8,0)</f>
        <v>4950</v>
      </c>
      <c r="BQ161" s="293">
        <f t="shared" si="33"/>
        <v>-4950</v>
      </c>
    </row>
    <row r="162" spans="1:69" ht="19.5" hidden="1" customHeight="1">
      <c r="A162" s="320" t="s">
        <v>285</v>
      </c>
      <c r="B162" s="271" t="s">
        <v>286</v>
      </c>
      <c r="C162" s="315"/>
      <c r="D162" s="304">
        <f>SUMIF($E$4:BN$4,$F$4,E162:BN162)</f>
        <v>0</v>
      </c>
      <c r="E162" s="316"/>
      <c r="F162" s="317"/>
      <c r="G162" s="316"/>
      <c r="H162" s="317"/>
      <c r="I162" s="316"/>
      <c r="J162" s="317"/>
      <c r="K162" s="316"/>
      <c r="L162" s="317"/>
      <c r="M162" s="316"/>
      <c r="N162" s="317"/>
      <c r="O162" s="316"/>
      <c r="P162" s="317"/>
      <c r="Q162" s="316"/>
      <c r="R162" s="317"/>
      <c r="S162" s="316"/>
      <c r="T162" s="317"/>
      <c r="U162" s="316"/>
      <c r="V162" s="317"/>
      <c r="W162" s="316"/>
      <c r="X162" s="317"/>
      <c r="Y162" s="316"/>
      <c r="Z162" s="317"/>
      <c r="AA162" s="316"/>
      <c r="AB162" s="317"/>
      <c r="AC162" s="316"/>
      <c r="AD162" s="317"/>
      <c r="AE162" s="316"/>
      <c r="AF162" s="317"/>
      <c r="AG162" s="316"/>
      <c r="AH162" s="317"/>
      <c r="AI162" s="316"/>
      <c r="AJ162" s="317"/>
      <c r="AK162" s="316"/>
      <c r="AL162" s="317"/>
      <c r="AM162" s="316"/>
      <c r="AN162" s="317"/>
      <c r="AO162" s="316"/>
      <c r="AP162" s="317"/>
      <c r="AQ162" s="316"/>
      <c r="AR162" s="317"/>
      <c r="AS162" s="316"/>
      <c r="AT162" s="317"/>
      <c r="AU162" s="316"/>
      <c r="AV162" s="317"/>
      <c r="AW162" s="316"/>
      <c r="AX162" s="317"/>
      <c r="AY162" s="316"/>
      <c r="AZ162" s="317"/>
      <c r="BA162" s="316"/>
      <c r="BB162" s="317"/>
      <c r="BC162" s="316"/>
      <c r="BD162" s="317"/>
      <c r="BE162" s="316"/>
      <c r="BF162" s="317"/>
      <c r="BG162" s="316"/>
      <c r="BH162" s="317"/>
      <c r="BI162" s="316"/>
      <c r="BJ162" s="317"/>
      <c r="BK162" s="316"/>
      <c r="BL162" s="317"/>
      <c r="BM162" s="316"/>
      <c r="BN162" s="318"/>
      <c r="BO162" s="289">
        <f ca="1">SUMIF(E$4:$BN161,$E$4,E162:BN162)</f>
        <v>0</v>
      </c>
      <c r="BP162" s="286">
        <f>+VLOOKUP(A162,'Tổng,SUMMARY'!C:K,8,0)</f>
        <v>2200</v>
      </c>
      <c r="BQ162" s="293">
        <f t="shared" si="33"/>
        <v>-2200</v>
      </c>
    </row>
    <row r="163" spans="1:69" ht="18.75" hidden="1" customHeight="1">
      <c r="A163" s="320" t="s">
        <v>287</v>
      </c>
      <c r="B163" s="271" t="s">
        <v>288</v>
      </c>
      <c r="C163" s="315"/>
      <c r="D163" s="304">
        <f>SUMIF($E$4:BN$4,$F$4,E163:BN163)</f>
        <v>0</v>
      </c>
      <c r="E163" s="316"/>
      <c r="F163" s="317"/>
      <c r="G163" s="316"/>
      <c r="H163" s="317"/>
      <c r="I163" s="316"/>
      <c r="J163" s="317"/>
      <c r="K163" s="316"/>
      <c r="L163" s="317"/>
      <c r="M163" s="316"/>
      <c r="N163" s="317"/>
      <c r="O163" s="316"/>
      <c r="P163" s="317"/>
      <c r="Q163" s="316"/>
      <c r="R163" s="317"/>
      <c r="S163" s="316"/>
      <c r="T163" s="317"/>
      <c r="U163" s="316"/>
      <c r="V163" s="317"/>
      <c r="W163" s="316"/>
      <c r="X163" s="317"/>
      <c r="Y163" s="316"/>
      <c r="Z163" s="317"/>
      <c r="AA163" s="316"/>
      <c r="AB163" s="317"/>
      <c r="AC163" s="316"/>
      <c r="AD163" s="317"/>
      <c r="AE163" s="316"/>
      <c r="AF163" s="317"/>
      <c r="AG163" s="316"/>
      <c r="AH163" s="317"/>
      <c r="AI163" s="316"/>
      <c r="AJ163" s="317"/>
      <c r="AK163" s="316"/>
      <c r="AL163" s="317"/>
      <c r="AM163" s="316"/>
      <c r="AN163" s="317"/>
      <c r="AO163" s="316"/>
      <c r="AP163" s="317"/>
      <c r="AQ163" s="316"/>
      <c r="AR163" s="317"/>
      <c r="AS163" s="316"/>
      <c r="AT163" s="317"/>
      <c r="AU163" s="316"/>
      <c r="AV163" s="317"/>
      <c r="AW163" s="316"/>
      <c r="AX163" s="317"/>
      <c r="AY163" s="316"/>
      <c r="AZ163" s="317"/>
      <c r="BA163" s="316"/>
      <c r="BB163" s="317"/>
      <c r="BC163" s="316"/>
      <c r="BD163" s="317"/>
      <c r="BE163" s="316"/>
      <c r="BF163" s="317"/>
      <c r="BG163" s="316"/>
      <c r="BH163" s="317"/>
      <c r="BI163" s="316"/>
      <c r="BJ163" s="317"/>
      <c r="BK163" s="316"/>
      <c r="BL163" s="317"/>
      <c r="BM163" s="316"/>
      <c r="BN163" s="318"/>
      <c r="BO163" s="289">
        <f ca="1">SUMIF(E$4:$BN162,$E$4,E163:BN163)</f>
        <v>0</v>
      </c>
      <c r="BP163" s="286">
        <f>+VLOOKUP(A163,'Tổng,SUMMARY'!C:K,8,0)</f>
        <v>4400</v>
      </c>
      <c r="BQ163" s="293">
        <f t="shared" si="33"/>
        <v>-4400</v>
      </c>
    </row>
    <row r="164" spans="1:69" ht="18.75" hidden="1" customHeight="1">
      <c r="A164" s="320" t="s">
        <v>289</v>
      </c>
      <c r="B164" s="271" t="s">
        <v>288</v>
      </c>
      <c r="C164" s="315"/>
      <c r="D164" s="304">
        <f>SUMIF($E$4:BN$4,$F$4,E164:BN164)</f>
        <v>0</v>
      </c>
      <c r="E164" s="316"/>
      <c r="F164" s="317"/>
      <c r="G164" s="316"/>
      <c r="H164" s="317"/>
      <c r="I164" s="316"/>
      <c r="J164" s="317"/>
      <c r="K164" s="316"/>
      <c r="L164" s="317"/>
      <c r="M164" s="316"/>
      <c r="N164" s="317"/>
      <c r="O164" s="316"/>
      <c r="P164" s="317"/>
      <c r="Q164" s="316"/>
      <c r="R164" s="317"/>
      <c r="S164" s="316"/>
      <c r="T164" s="317"/>
      <c r="U164" s="316"/>
      <c r="V164" s="317"/>
      <c r="W164" s="316"/>
      <c r="X164" s="317"/>
      <c r="Y164" s="316"/>
      <c r="Z164" s="317"/>
      <c r="AA164" s="316"/>
      <c r="AB164" s="317"/>
      <c r="AC164" s="316"/>
      <c r="AD164" s="317"/>
      <c r="AE164" s="316"/>
      <c r="AF164" s="317"/>
      <c r="AG164" s="316"/>
      <c r="AH164" s="317"/>
      <c r="AI164" s="316"/>
      <c r="AJ164" s="317"/>
      <c r="AK164" s="316"/>
      <c r="AL164" s="317"/>
      <c r="AM164" s="316"/>
      <c r="AN164" s="317"/>
      <c r="AO164" s="316"/>
      <c r="AP164" s="317"/>
      <c r="AQ164" s="316"/>
      <c r="AR164" s="317"/>
      <c r="AS164" s="316"/>
      <c r="AT164" s="317"/>
      <c r="AU164" s="316"/>
      <c r="AV164" s="317"/>
      <c r="AW164" s="316"/>
      <c r="AX164" s="317"/>
      <c r="AY164" s="316"/>
      <c r="AZ164" s="317"/>
      <c r="BA164" s="316"/>
      <c r="BB164" s="317"/>
      <c r="BC164" s="316"/>
      <c r="BD164" s="317"/>
      <c r="BE164" s="316"/>
      <c r="BF164" s="317"/>
      <c r="BG164" s="316"/>
      <c r="BH164" s="317"/>
      <c r="BI164" s="316"/>
      <c r="BJ164" s="317"/>
      <c r="BK164" s="316"/>
      <c r="BL164" s="317"/>
      <c r="BM164" s="316"/>
      <c r="BN164" s="318"/>
      <c r="BQ164" s="293"/>
    </row>
    <row r="165" spans="1:69" ht="18.75" hidden="1" customHeight="1">
      <c r="A165" s="320" t="s">
        <v>290</v>
      </c>
      <c r="B165" s="271" t="s">
        <v>291</v>
      </c>
      <c r="C165" s="315"/>
      <c r="D165" s="304">
        <f>SUMIF($E$4:BN$4,$F$4,E165:BN165)</f>
        <v>0</v>
      </c>
      <c r="E165" s="316"/>
      <c r="F165" s="317"/>
      <c r="G165" s="316"/>
      <c r="H165" s="317"/>
      <c r="I165" s="316"/>
      <c r="J165" s="317"/>
      <c r="K165" s="316"/>
      <c r="L165" s="317"/>
      <c r="M165" s="316"/>
      <c r="N165" s="317"/>
      <c r="O165" s="316"/>
      <c r="P165" s="317"/>
      <c r="Q165" s="316"/>
      <c r="R165" s="317"/>
      <c r="S165" s="316"/>
      <c r="T165" s="317"/>
      <c r="U165" s="316"/>
      <c r="V165" s="317"/>
      <c r="W165" s="316"/>
      <c r="X165" s="317"/>
      <c r="Y165" s="316"/>
      <c r="Z165" s="317"/>
      <c r="AA165" s="316"/>
      <c r="AB165" s="317"/>
      <c r="AC165" s="316"/>
      <c r="AD165" s="317"/>
      <c r="AE165" s="316"/>
      <c r="AF165" s="317"/>
      <c r="AG165" s="316"/>
      <c r="AH165" s="317"/>
      <c r="AI165" s="316"/>
      <c r="AJ165" s="317"/>
      <c r="AK165" s="316"/>
      <c r="AL165" s="317"/>
      <c r="AM165" s="316"/>
      <c r="AN165" s="317"/>
      <c r="AO165" s="316"/>
      <c r="AP165" s="317"/>
      <c r="AQ165" s="316"/>
      <c r="AR165" s="317"/>
      <c r="AS165" s="316"/>
      <c r="AT165" s="317"/>
      <c r="AU165" s="316"/>
      <c r="AV165" s="317"/>
      <c r="AW165" s="316"/>
      <c r="AX165" s="317"/>
      <c r="AY165" s="316"/>
      <c r="AZ165" s="317"/>
      <c r="BA165" s="316"/>
      <c r="BB165" s="317"/>
      <c r="BC165" s="316"/>
      <c r="BD165" s="317"/>
      <c r="BE165" s="316"/>
      <c r="BF165" s="317"/>
      <c r="BG165" s="316"/>
      <c r="BH165" s="317"/>
      <c r="BI165" s="316"/>
      <c r="BJ165" s="317"/>
      <c r="BK165" s="316"/>
      <c r="BL165" s="317"/>
      <c r="BM165" s="316"/>
      <c r="BN165" s="318"/>
      <c r="BO165" s="289">
        <f ca="1">SUMIF(E$4:$BN163,$E$4,E165:BN165)</f>
        <v>0</v>
      </c>
      <c r="BP165" s="286" t="e">
        <f>+VLOOKUP(A165,'Tổng,SUMMARY'!C:K,8,0)</f>
        <v>#N/A</v>
      </c>
      <c r="BQ165" s="293" t="e">
        <f t="shared" si="33"/>
        <v>#N/A</v>
      </c>
    </row>
    <row r="166" spans="1:69" ht="18.75" hidden="1" customHeight="1">
      <c r="A166" s="320" t="s">
        <v>292</v>
      </c>
      <c r="B166" s="271" t="s">
        <v>293</v>
      </c>
      <c r="C166" s="315"/>
      <c r="D166" s="304">
        <f>SUMIF($E$4:BN$4,$F$4,E166:BN166)</f>
        <v>0</v>
      </c>
      <c r="E166" s="316"/>
      <c r="F166" s="317"/>
      <c r="G166" s="316"/>
      <c r="H166" s="317"/>
      <c r="I166" s="316"/>
      <c r="J166" s="317"/>
      <c r="K166" s="316"/>
      <c r="L166" s="317"/>
      <c r="M166" s="316"/>
      <c r="N166" s="317"/>
      <c r="O166" s="316"/>
      <c r="P166" s="317"/>
      <c r="Q166" s="316"/>
      <c r="R166" s="317"/>
      <c r="S166" s="316"/>
      <c r="T166" s="317"/>
      <c r="U166" s="316"/>
      <c r="V166" s="317"/>
      <c r="W166" s="316"/>
      <c r="X166" s="317"/>
      <c r="Y166" s="316"/>
      <c r="Z166" s="317"/>
      <c r="AA166" s="316"/>
      <c r="AB166" s="317"/>
      <c r="AC166" s="316"/>
      <c r="AD166" s="317"/>
      <c r="AE166" s="316"/>
      <c r="AF166" s="317"/>
      <c r="AG166" s="316"/>
      <c r="AH166" s="317"/>
      <c r="AI166" s="316"/>
      <c r="AJ166" s="317"/>
      <c r="AK166" s="316"/>
      <c r="AL166" s="317"/>
      <c r="AM166" s="316"/>
      <c r="AN166" s="317"/>
      <c r="AO166" s="316"/>
      <c r="AP166" s="317"/>
      <c r="AQ166" s="316"/>
      <c r="AR166" s="317"/>
      <c r="AS166" s="316"/>
      <c r="AT166" s="317"/>
      <c r="AU166" s="316"/>
      <c r="AV166" s="317"/>
      <c r="AW166" s="316"/>
      <c r="AX166" s="317"/>
      <c r="AY166" s="316"/>
      <c r="AZ166" s="317"/>
      <c r="BA166" s="316"/>
      <c r="BB166" s="317"/>
      <c r="BC166" s="316"/>
      <c r="BD166" s="317"/>
      <c r="BE166" s="316"/>
      <c r="BF166" s="317"/>
      <c r="BG166" s="316"/>
      <c r="BH166" s="317"/>
      <c r="BI166" s="316"/>
      <c r="BJ166" s="317"/>
      <c r="BK166" s="316"/>
      <c r="BL166" s="317"/>
      <c r="BM166" s="316"/>
      <c r="BN166" s="318"/>
      <c r="BO166" s="289">
        <f ca="1">SUMIF(E$4:$BN165,$E$4,E166:BN166)</f>
        <v>0</v>
      </c>
      <c r="BP166" s="286">
        <f>+VLOOKUP(A166,'Tổng,SUMMARY'!C:K,8,0)</f>
        <v>1000</v>
      </c>
      <c r="BQ166" s="293">
        <f t="shared" si="33"/>
        <v>-1000</v>
      </c>
    </row>
    <row r="167" spans="1:69" ht="18.75" hidden="1" customHeight="1">
      <c r="A167" s="320" t="s">
        <v>294</v>
      </c>
      <c r="B167" s="271" t="s">
        <v>295</v>
      </c>
      <c r="C167" s="315"/>
      <c r="D167" s="304">
        <f>SUMIF($E$4:BN$4,$F$4,E167:BN167)</f>
        <v>0</v>
      </c>
      <c r="E167" s="316"/>
      <c r="F167" s="317"/>
      <c r="G167" s="316"/>
      <c r="H167" s="317"/>
      <c r="I167" s="316"/>
      <c r="J167" s="317"/>
      <c r="K167" s="316"/>
      <c r="L167" s="317"/>
      <c r="M167" s="316"/>
      <c r="N167" s="317"/>
      <c r="O167" s="316"/>
      <c r="P167" s="317"/>
      <c r="Q167" s="316"/>
      <c r="R167" s="317"/>
      <c r="S167" s="316"/>
      <c r="T167" s="317"/>
      <c r="U167" s="316"/>
      <c r="V167" s="317"/>
      <c r="W167" s="316"/>
      <c r="X167" s="317"/>
      <c r="Y167" s="316"/>
      <c r="Z167" s="317"/>
      <c r="AA167" s="316"/>
      <c r="AB167" s="317"/>
      <c r="AC167" s="316"/>
      <c r="AD167" s="317"/>
      <c r="AE167" s="316"/>
      <c r="AF167" s="317"/>
      <c r="AG167" s="316"/>
      <c r="AH167" s="317"/>
      <c r="AI167" s="316"/>
      <c r="AJ167" s="317"/>
      <c r="AK167" s="316"/>
      <c r="AL167" s="317"/>
      <c r="AM167" s="316"/>
      <c r="AN167" s="317"/>
      <c r="AO167" s="316"/>
      <c r="AP167" s="317"/>
      <c r="AQ167" s="316"/>
      <c r="AR167" s="317"/>
      <c r="AS167" s="316"/>
      <c r="AT167" s="317"/>
      <c r="AU167" s="316"/>
      <c r="AV167" s="317"/>
      <c r="AW167" s="316"/>
      <c r="AX167" s="317"/>
      <c r="AY167" s="316"/>
      <c r="AZ167" s="317"/>
      <c r="BA167" s="316"/>
      <c r="BB167" s="317"/>
      <c r="BC167" s="316"/>
      <c r="BD167" s="317"/>
      <c r="BE167" s="316"/>
      <c r="BF167" s="317"/>
      <c r="BG167" s="316"/>
      <c r="BH167" s="317"/>
      <c r="BI167" s="316"/>
      <c r="BJ167" s="317"/>
      <c r="BK167" s="316"/>
      <c r="BL167" s="317"/>
      <c r="BM167" s="316"/>
      <c r="BN167" s="318"/>
      <c r="BO167" s="289">
        <f ca="1">SUMIF(E$4:$BN166,$E$4,E167:BN167)</f>
        <v>0</v>
      </c>
      <c r="BP167" s="286">
        <f>+VLOOKUP(A167,'Tổng,SUMMARY'!C:K,8,0)</f>
        <v>3700</v>
      </c>
      <c r="BQ167" s="293">
        <f t="shared" si="33"/>
        <v>-3700</v>
      </c>
    </row>
    <row r="168" spans="1:69" ht="18.75" hidden="1" customHeight="1">
      <c r="A168" s="320" t="s">
        <v>296</v>
      </c>
      <c r="B168" s="271" t="s">
        <v>297</v>
      </c>
      <c r="C168" s="315"/>
      <c r="D168" s="304">
        <f>SUMIF($E$4:BN$4,$F$4,E168:BN168)</f>
        <v>0</v>
      </c>
      <c r="E168" s="316"/>
      <c r="F168" s="317"/>
      <c r="G168" s="316"/>
      <c r="H168" s="317"/>
      <c r="I168" s="316"/>
      <c r="J168" s="317"/>
      <c r="K168" s="316"/>
      <c r="L168" s="317"/>
      <c r="M168" s="316"/>
      <c r="N168" s="317"/>
      <c r="O168" s="316"/>
      <c r="P168" s="317"/>
      <c r="Q168" s="316"/>
      <c r="R168" s="317"/>
      <c r="S168" s="316"/>
      <c r="T168" s="317"/>
      <c r="U168" s="316"/>
      <c r="V168" s="317"/>
      <c r="W168" s="316"/>
      <c r="X168" s="317"/>
      <c r="Y168" s="316"/>
      <c r="Z168" s="317"/>
      <c r="AA168" s="316"/>
      <c r="AB168" s="317"/>
      <c r="AC168" s="316"/>
      <c r="AD168" s="317"/>
      <c r="AE168" s="316"/>
      <c r="AF168" s="317"/>
      <c r="AG168" s="316"/>
      <c r="AH168" s="317"/>
      <c r="AI168" s="316"/>
      <c r="AJ168" s="317"/>
      <c r="AK168" s="316"/>
      <c r="AL168" s="317"/>
      <c r="AM168" s="316"/>
      <c r="AN168" s="317"/>
      <c r="AO168" s="316"/>
      <c r="AP168" s="317"/>
      <c r="AQ168" s="316"/>
      <c r="AR168" s="317"/>
      <c r="AS168" s="316"/>
      <c r="AT168" s="317"/>
      <c r="AU168" s="316"/>
      <c r="AV168" s="317"/>
      <c r="AW168" s="316"/>
      <c r="AX168" s="317"/>
      <c r="AY168" s="316"/>
      <c r="AZ168" s="317"/>
      <c r="BA168" s="316"/>
      <c r="BB168" s="317"/>
      <c r="BC168" s="316"/>
      <c r="BD168" s="317"/>
      <c r="BE168" s="316"/>
      <c r="BF168" s="317"/>
      <c r="BG168" s="316"/>
      <c r="BH168" s="317"/>
      <c r="BI168" s="316"/>
      <c r="BJ168" s="317"/>
      <c r="BK168" s="316"/>
      <c r="BL168" s="317"/>
      <c r="BM168" s="316"/>
      <c r="BN168" s="318"/>
      <c r="BO168" s="289">
        <f ca="1">SUMIF(E$4:$BN167,$E$4,E168:BN168)</f>
        <v>0</v>
      </c>
      <c r="BP168" s="286">
        <f>+VLOOKUP(A168,'Tổng,SUMMARY'!C:K,8,0)</f>
        <v>0</v>
      </c>
      <c r="BQ168" s="293">
        <f t="shared" si="33"/>
        <v>0</v>
      </c>
    </row>
    <row r="169" spans="1:69" ht="18.75" hidden="1" customHeight="1">
      <c r="A169" s="320" t="s">
        <v>298</v>
      </c>
      <c r="B169" s="271" t="s">
        <v>299</v>
      </c>
      <c r="C169" s="315"/>
      <c r="D169" s="304">
        <f>SUMIF($E$4:BN$4,$F$4,E169:BN169)</f>
        <v>0</v>
      </c>
      <c r="E169" s="316"/>
      <c r="F169" s="317"/>
      <c r="G169" s="316"/>
      <c r="H169" s="317"/>
      <c r="I169" s="316"/>
      <c r="J169" s="317"/>
      <c r="K169" s="316"/>
      <c r="L169" s="317"/>
      <c r="M169" s="316"/>
      <c r="N169" s="317"/>
      <c r="O169" s="316"/>
      <c r="P169" s="317"/>
      <c r="Q169" s="316"/>
      <c r="R169" s="317"/>
      <c r="S169" s="316"/>
      <c r="T169" s="317"/>
      <c r="U169" s="316"/>
      <c r="V169" s="317"/>
      <c r="W169" s="316"/>
      <c r="X169" s="317"/>
      <c r="Y169" s="316"/>
      <c r="Z169" s="317"/>
      <c r="AA169" s="316"/>
      <c r="AB169" s="317"/>
      <c r="AC169" s="316"/>
      <c r="AD169" s="317"/>
      <c r="AE169" s="316"/>
      <c r="AF169" s="317"/>
      <c r="AG169" s="316"/>
      <c r="AH169" s="317"/>
      <c r="AI169" s="316"/>
      <c r="AJ169" s="317"/>
      <c r="AK169" s="316"/>
      <c r="AL169" s="317"/>
      <c r="AM169" s="316"/>
      <c r="AN169" s="317"/>
      <c r="AO169" s="316"/>
      <c r="AP169" s="317"/>
      <c r="AQ169" s="316"/>
      <c r="AR169" s="317"/>
      <c r="AS169" s="316"/>
      <c r="AT169" s="317"/>
      <c r="AU169" s="316"/>
      <c r="AV169" s="317"/>
      <c r="AW169" s="316"/>
      <c r="AX169" s="317"/>
      <c r="AY169" s="316"/>
      <c r="AZ169" s="317"/>
      <c r="BA169" s="316"/>
      <c r="BB169" s="317"/>
      <c r="BC169" s="316"/>
      <c r="BD169" s="317"/>
      <c r="BE169" s="316"/>
      <c r="BF169" s="317"/>
      <c r="BG169" s="316"/>
      <c r="BH169" s="317"/>
      <c r="BI169" s="316"/>
      <c r="BJ169" s="317"/>
      <c r="BK169" s="316"/>
      <c r="BL169" s="317"/>
      <c r="BM169" s="316"/>
      <c r="BN169" s="318"/>
      <c r="BO169" s="289">
        <f ca="1">SUMIF(E$4:$BN168,$E$4,E169:BN169)</f>
        <v>0</v>
      </c>
      <c r="BP169" s="286">
        <f>+VLOOKUP(A169,'Tổng,SUMMARY'!C:K,8,0)</f>
        <v>1900</v>
      </c>
      <c r="BQ169" s="293">
        <f t="shared" si="33"/>
        <v>-1900</v>
      </c>
    </row>
    <row r="170" spans="1:69" ht="18.75" hidden="1" customHeight="1">
      <c r="A170" s="320" t="s">
        <v>300</v>
      </c>
      <c r="B170" s="271" t="s">
        <v>301</v>
      </c>
      <c r="C170" s="315"/>
      <c r="D170" s="304">
        <f>SUMIF($E$4:BN$4,$F$4,E170:BN170)</f>
        <v>0</v>
      </c>
      <c r="E170" s="316"/>
      <c r="F170" s="317"/>
      <c r="G170" s="316"/>
      <c r="H170" s="317"/>
      <c r="I170" s="316"/>
      <c r="J170" s="317"/>
      <c r="K170" s="316"/>
      <c r="L170" s="317"/>
      <c r="M170" s="316"/>
      <c r="N170" s="317"/>
      <c r="O170" s="316"/>
      <c r="P170" s="317"/>
      <c r="Q170" s="316"/>
      <c r="R170" s="317"/>
      <c r="S170" s="316"/>
      <c r="T170" s="317"/>
      <c r="U170" s="316"/>
      <c r="V170" s="317"/>
      <c r="W170" s="316"/>
      <c r="X170" s="317"/>
      <c r="Y170" s="316"/>
      <c r="Z170" s="317"/>
      <c r="AA170" s="316"/>
      <c r="AB170" s="317"/>
      <c r="AC170" s="316"/>
      <c r="AD170" s="317"/>
      <c r="AE170" s="316"/>
      <c r="AF170" s="317"/>
      <c r="AG170" s="316"/>
      <c r="AH170" s="317"/>
      <c r="AI170" s="316"/>
      <c r="AJ170" s="317"/>
      <c r="AK170" s="316"/>
      <c r="AL170" s="317"/>
      <c r="AM170" s="316"/>
      <c r="AN170" s="317"/>
      <c r="AO170" s="316"/>
      <c r="AP170" s="317"/>
      <c r="AQ170" s="316"/>
      <c r="AR170" s="317"/>
      <c r="AS170" s="316"/>
      <c r="AT170" s="317"/>
      <c r="AU170" s="316"/>
      <c r="AV170" s="317"/>
      <c r="AW170" s="316"/>
      <c r="AX170" s="317"/>
      <c r="AY170" s="316"/>
      <c r="AZ170" s="317"/>
      <c r="BA170" s="316"/>
      <c r="BB170" s="317"/>
      <c r="BC170" s="316"/>
      <c r="BD170" s="317"/>
      <c r="BE170" s="316"/>
      <c r="BF170" s="317"/>
      <c r="BG170" s="316"/>
      <c r="BH170" s="317"/>
      <c r="BI170" s="316"/>
      <c r="BJ170" s="317"/>
      <c r="BK170" s="316"/>
      <c r="BL170" s="317"/>
      <c r="BM170" s="316"/>
      <c r="BN170" s="318"/>
      <c r="BO170" s="289">
        <f ca="1">SUMIF(E$4:$BN169,$E$4,E170:BN170)</f>
        <v>0</v>
      </c>
      <c r="BP170" s="286">
        <f>+VLOOKUP(A170,'Tổng,SUMMARY'!C:K,8,0)</f>
        <v>4000</v>
      </c>
      <c r="BQ170" s="293">
        <f t="shared" si="33"/>
        <v>-4000</v>
      </c>
    </row>
    <row r="171" spans="1:69" ht="18.75" hidden="1" customHeight="1">
      <c r="A171" s="320" t="s">
        <v>302</v>
      </c>
      <c r="B171" s="271" t="s">
        <v>301</v>
      </c>
      <c r="C171" s="315"/>
      <c r="D171" s="304">
        <f>SUMIF($E$4:BN$4,$F$4,E171:BN171)</f>
        <v>0</v>
      </c>
      <c r="E171" s="316"/>
      <c r="F171" s="317"/>
      <c r="G171" s="316"/>
      <c r="H171" s="317"/>
      <c r="I171" s="316"/>
      <c r="J171" s="317"/>
      <c r="K171" s="316"/>
      <c r="L171" s="317"/>
      <c r="M171" s="316"/>
      <c r="N171" s="317"/>
      <c r="O171" s="316"/>
      <c r="P171" s="317"/>
      <c r="Q171" s="316"/>
      <c r="R171" s="317"/>
      <c r="S171" s="316"/>
      <c r="T171" s="317"/>
      <c r="U171" s="316"/>
      <c r="V171" s="317"/>
      <c r="W171" s="316"/>
      <c r="X171" s="317"/>
      <c r="Y171" s="316"/>
      <c r="Z171" s="317"/>
      <c r="AA171" s="316"/>
      <c r="AB171" s="317"/>
      <c r="AC171" s="316"/>
      <c r="AD171" s="317"/>
      <c r="AE171" s="316"/>
      <c r="AF171" s="317"/>
      <c r="AG171" s="316"/>
      <c r="AH171" s="317"/>
      <c r="AI171" s="316"/>
      <c r="AJ171" s="317"/>
      <c r="AK171" s="316"/>
      <c r="AL171" s="317"/>
      <c r="AM171" s="316"/>
      <c r="AN171" s="317"/>
      <c r="AO171" s="316"/>
      <c r="AP171" s="317"/>
      <c r="AQ171" s="316"/>
      <c r="AR171" s="317"/>
      <c r="AS171" s="316"/>
      <c r="AT171" s="317"/>
      <c r="AU171" s="316"/>
      <c r="AV171" s="317"/>
      <c r="AW171" s="316"/>
      <c r="AX171" s="317"/>
      <c r="AY171" s="316"/>
      <c r="AZ171" s="317"/>
      <c r="BA171" s="316"/>
      <c r="BB171" s="317"/>
      <c r="BC171" s="316"/>
      <c r="BD171" s="317"/>
      <c r="BE171" s="316"/>
      <c r="BF171" s="317"/>
      <c r="BG171" s="316"/>
      <c r="BH171" s="317"/>
      <c r="BI171" s="316"/>
      <c r="BJ171" s="317"/>
      <c r="BK171" s="316"/>
      <c r="BL171" s="317"/>
      <c r="BM171" s="316"/>
      <c r="BN171" s="318"/>
      <c r="BO171" s="289">
        <f ca="1">SUMIF(E$4:$BN170,$E$4,E171:BN171)</f>
        <v>0</v>
      </c>
      <c r="BP171" s="286">
        <f>+VLOOKUP(A171,'Tổng,SUMMARY'!C:K,8,0)</f>
        <v>750</v>
      </c>
      <c r="BQ171" s="293">
        <f t="shared" si="33"/>
        <v>-750</v>
      </c>
    </row>
    <row r="172" spans="1:69" ht="18.75" hidden="1" customHeight="1">
      <c r="A172" s="320" t="s">
        <v>303</v>
      </c>
      <c r="B172" s="271" t="s">
        <v>304</v>
      </c>
      <c r="C172" s="315"/>
      <c r="D172" s="304">
        <f>SUMIF($E$4:BN$4,$F$4,E172:BN172)</f>
        <v>0</v>
      </c>
      <c r="E172" s="316"/>
      <c r="F172" s="317"/>
      <c r="G172" s="316"/>
      <c r="H172" s="317"/>
      <c r="I172" s="316"/>
      <c r="J172" s="317"/>
      <c r="K172" s="316"/>
      <c r="L172" s="317"/>
      <c r="M172" s="316"/>
      <c r="N172" s="317"/>
      <c r="O172" s="316"/>
      <c r="P172" s="317"/>
      <c r="Q172" s="316"/>
      <c r="R172" s="317"/>
      <c r="S172" s="316"/>
      <c r="T172" s="317"/>
      <c r="U172" s="316"/>
      <c r="V172" s="317"/>
      <c r="W172" s="316"/>
      <c r="X172" s="317"/>
      <c r="Y172" s="316"/>
      <c r="Z172" s="317"/>
      <c r="AA172" s="316"/>
      <c r="AB172" s="317"/>
      <c r="AC172" s="316"/>
      <c r="AD172" s="317"/>
      <c r="AE172" s="316"/>
      <c r="AF172" s="317"/>
      <c r="AG172" s="316"/>
      <c r="AH172" s="317"/>
      <c r="AI172" s="316"/>
      <c r="AJ172" s="317"/>
      <c r="AK172" s="316"/>
      <c r="AL172" s="317"/>
      <c r="AM172" s="316"/>
      <c r="AN172" s="317"/>
      <c r="AO172" s="316"/>
      <c r="AP172" s="317"/>
      <c r="AQ172" s="316"/>
      <c r="AR172" s="317"/>
      <c r="AS172" s="316"/>
      <c r="AT172" s="317"/>
      <c r="AU172" s="316"/>
      <c r="AV172" s="317"/>
      <c r="AW172" s="316"/>
      <c r="AX172" s="317"/>
      <c r="AY172" s="316"/>
      <c r="AZ172" s="317"/>
      <c r="BA172" s="316"/>
      <c r="BB172" s="317"/>
      <c r="BC172" s="316"/>
      <c r="BD172" s="317"/>
      <c r="BE172" s="316"/>
      <c r="BF172" s="317"/>
      <c r="BG172" s="316"/>
      <c r="BH172" s="317"/>
      <c r="BI172" s="316"/>
      <c r="BJ172" s="317"/>
      <c r="BK172" s="316"/>
      <c r="BL172" s="317"/>
      <c r="BM172" s="316"/>
      <c r="BN172" s="318"/>
      <c r="BO172" s="289">
        <f ca="1">SUMIF(E$4:$BN171,$E$4,E172:BN172)</f>
        <v>0</v>
      </c>
      <c r="BP172" s="286">
        <f>+VLOOKUP(A172,'Tổng,SUMMARY'!C:K,8,0)</f>
        <v>2600</v>
      </c>
      <c r="BQ172" s="293">
        <f t="shared" si="33"/>
        <v>-2600</v>
      </c>
    </row>
    <row r="173" spans="1:69" ht="18" hidden="1" customHeight="1">
      <c r="A173" s="320" t="s">
        <v>305</v>
      </c>
      <c r="B173" s="271" t="s">
        <v>306</v>
      </c>
      <c r="C173" s="315"/>
      <c r="D173" s="304">
        <f>SUMIF($E$4:BN$4,$F$4,E173:BN173)</f>
        <v>0</v>
      </c>
      <c r="E173" s="316"/>
      <c r="F173" s="317"/>
      <c r="G173" s="316"/>
      <c r="H173" s="317"/>
      <c r="I173" s="316"/>
      <c r="J173" s="317"/>
      <c r="K173" s="316"/>
      <c r="L173" s="317"/>
      <c r="M173" s="316"/>
      <c r="N173" s="317"/>
      <c r="O173" s="316"/>
      <c r="P173" s="317"/>
      <c r="Q173" s="316"/>
      <c r="R173" s="317"/>
      <c r="S173" s="316"/>
      <c r="T173" s="317"/>
      <c r="U173" s="316"/>
      <c r="V173" s="317"/>
      <c r="W173" s="316"/>
      <c r="X173" s="317"/>
      <c r="Y173" s="316"/>
      <c r="Z173" s="317"/>
      <c r="AA173" s="316"/>
      <c r="AB173" s="317"/>
      <c r="AC173" s="316"/>
      <c r="AD173" s="317"/>
      <c r="AE173" s="316"/>
      <c r="AF173" s="317"/>
      <c r="AG173" s="316"/>
      <c r="AH173" s="317"/>
      <c r="AI173" s="316"/>
      <c r="AJ173" s="317"/>
      <c r="AK173" s="316"/>
      <c r="AL173" s="317"/>
      <c r="AM173" s="316"/>
      <c r="AN173" s="317"/>
      <c r="AO173" s="316"/>
      <c r="AP173" s="317"/>
      <c r="AQ173" s="316"/>
      <c r="AR173" s="317"/>
      <c r="AS173" s="316"/>
      <c r="AT173" s="317"/>
      <c r="AU173" s="316"/>
      <c r="AV173" s="317"/>
      <c r="AW173" s="316"/>
      <c r="AX173" s="317"/>
      <c r="AY173" s="316"/>
      <c r="AZ173" s="317"/>
      <c r="BA173" s="316"/>
      <c r="BB173" s="317"/>
      <c r="BC173" s="316"/>
      <c r="BD173" s="317"/>
      <c r="BE173" s="316"/>
      <c r="BF173" s="317"/>
      <c r="BG173" s="316"/>
      <c r="BH173" s="317"/>
      <c r="BI173" s="316"/>
      <c r="BJ173" s="317"/>
      <c r="BK173" s="316"/>
      <c r="BL173" s="317"/>
      <c r="BM173" s="316"/>
      <c r="BN173" s="318"/>
      <c r="BO173" s="289">
        <f ca="1">SUMIF(E$4:$BN172,$E$4,E173:BN173)</f>
        <v>0</v>
      </c>
      <c r="BP173" s="286">
        <f>+VLOOKUP(A173,'Tổng,SUMMARY'!C:K,8,0)</f>
        <v>700</v>
      </c>
      <c r="BQ173" s="293">
        <f t="shared" si="33"/>
        <v>-700</v>
      </c>
    </row>
    <row r="174" spans="1:69" ht="18.75" hidden="1" customHeight="1">
      <c r="A174" s="320" t="s">
        <v>307</v>
      </c>
      <c r="B174" s="271" t="s">
        <v>219</v>
      </c>
      <c r="C174" s="315"/>
      <c r="D174" s="304">
        <f>SUMIF($E$4:BN$4,$F$4,E174:BN174)</f>
        <v>0</v>
      </c>
      <c r="E174" s="316"/>
      <c r="F174" s="317"/>
      <c r="G174" s="316"/>
      <c r="H174" s="317"/>
      <c r="I174" s="316"/>
      <c r="J174" s="317"/>
      <c r="K174" s="316"/>
      <c r="L174" s="317"/>
      <c r="M174" s="316"/>
      <c r="N174" s="317"/>
      <c r="O174" s="316"/>
      <c r="P174" s="317"/>
      <c r="Q174" s="316"/>
      <c r="R174" s="317"/>
      <c r="S174" s="316"/>
      <c r="T174" s="317"/>
      <c r="U174" s="316"/>
      <c r="V174" s="317"/>
      <c r="W174" s="316"/>
      <c r="X174" s="317"/>
      <c r="Y174" s="316"/>
      <c r="Z174" s="317"/>
      <c r="AA174" s="316"/>
      <c r="AB174" s="317"/>
      <c r="AC174" s="316"/>
      <c r="AD174" s="317"/>
      <c r="AE174" s="316"/>
      <c r="AF174" s="317"/>
      <c r="AG174" s="316"/>
      <c r="AH174" s="317"/>
      <c r="AI174" s="316"/>
      <c r="AJ174" s="317"/>
      <c r="AK174" s="316"/>
      <c r="AL174" s="317"/>
      <c r="AM174" s="316"/>
      <c r="AN174" s="317"/>
      <c r="AO174" s="316"/>
      <c r="AP174" s="317"/>
      <c r="AQ174" s="316"/>
      <c r="AR174" s="317"/>
      <c r="AS174" s="316"/>
      <c r="AT174" s="317"/>
      <c r="AU174" s="316"/>
      <c r="AV174" s="317"/>
      <c r="AW174" s="316"/>
      <c r="AX174" s="317"/>
      <c r="AY174" s="316"/>
      <c r="AZ174" s="317"/>
      <c r="BA174" s="316"/>
      <c r="BB174" s="317"/>
      <c r="BC174" s="316"/>
      <c r="BD174" s="317"/>
      <c r="BE174" s="316"/>
      <c r="BF174" s="317"/>
      <c r="BG174" s="316"/>
      <c r="BH174" s="317"/>
      <c r="BI174" s="316"/>
      <c r="BJ174" s="317"/>
      <c r="BK174" s="316"/>
      <c r="BL174" s="317"/>
      <c r="BM174" s="316"/>
      <c r="BN174" s="318"/>
      <c r="BO174" s="289">
        <f ca="1">SUMIF(E$4:$BN173,$E$4,E174:BN174)</f>
        <v>0</v>
      </c>
      <c r="BP174" s="286">
        <f>+VLOOKUP(A174,'Tổng,SUMMARY'!C:K,8,0)</f>
        <v>300</v>
      </c>
      <c r="BQ174" s="293">
        <f t="shared" si="33"/>
        <v>-300</v>
      </c>
    </row>
    <row r="175" spans="1:69" ht="18.75" hidden="1" customHeight="1">
      <c r="A175" s="320" t="s">
        <v>308</v>
      </c>
      <c r="B175" s="271" t="s">
        <v>309</v>
      </c>
      <c r="C175" s="315"/>
      <c r="D175" s="304">
        <f>SUMIF($E$4:BN$4,$F$4,E175:BN175)</f>
        <v>0</v>
      </c>
      <c r="E175" s="316"/>
      <c r="F175" s="317"/>
      <c r="G175" s="316"/>
      <c r="H175" s="317"/>
      <c r="I175" s="316"/>
      <c r="J175" s="317"/>
      <c r="K175" s="316"/>
      <c r="L175" s="317"/>
      <c r="M175" s="316"/>
      <c r="N175" s="317"/>
      <c r="O175" s="316"/>
      <c r="P175" s="317"/>
      <c r="Q175" s="316"/>
      <c r="R175" s="317"/>
      <c r="S175" s="316"/>
      <c r="T175" s="317"/>
      <c r="U175" s="316"/>
      <c r="V175" s="317"/>
      <c r="W175" s="316"/>
      <c r="X175" s="317"/>
      <c r="Y175" s="316"/>
      <c r="Z175" s="317"/>
      <c r="AA175" s="316"/>
      <c r="AB175" s="317"/>
      <c r="AC175" s="316"/>
      <c r="AD175" s="317"/>
      <c r="AE175" s="316"/>
      <c r="AF175" s="317"/>
      <c r="AG175" s="316"/>
      <c r="AH175" s="317"/>
      <c r="AI175" s="316"/>
      <c r="AJ175" s="317"/>
      <c r="AK175" s="316"/>
      <c r="AL175" s="317"/>
      <c r="AM175" s="316"/>
      <c r="AN175" s="317"/>
      <c r="AO175" s="316"/>
      <c r="AP175" s="317"/>
      <c r="AQ175" s="316"/>
      <c r="AR175" s="317"/>
      <c r="AS175" s="316"/>
      <c r="AT175" s="317"/>
      <c r="AU175" s="316"/>
      <c r="AV175" s="317"/>
      <c r="AW175" s="316"/>
      <c r="AX175" s="317"/>
      <c r="AY175" s="316"/>
      <c r="AZ175" s="317"/>
      <c r="BA175" s="316"/>
      <c r="BB175" s="317"/>
      <c r="BC175" s="316"/>
      <c r="BD175" s="317"/>
      <c r="BE175" s="316"/>
      <c r="BF175" s="317"/>
      <c r="BG175" s="316"/>
      <c r="BH175" s="317"/>
      <c r="BI175" s="316"/>
      <c r="BJ175" s="317"/>
      <c r="BK175" s="316"/>
      <c r="BL175" s="317"/>
      <c r="BM175" s="316"/>
      <c r="BN175" s="318"/>
      <c r="BO175" s="289">
        <f ca="1">SUMIF(E$4:$BN174,$E$4,E175:BN175)</f>
        <v>0</v>
      </c>
      <c r="BP175" s="286">
        <f>+VLOOKUP(A175,'Tổng,SUMMARY'!C:K,8,0)</f>
        <v>2370</v>
      </c>
      <c r="BQ175" s="293">
        <f t="shared" si="33"/>
        <v>-2370</v>
      </c>
    </row>
    <row r="176" spans="1:69" ht="18.75" hidden="1" customHeight="1">
      <c r="A176" s="320" t="s">
        <v>310</v>
      </c>
      <c r="B176" s="271" t="s">
        <v>309</v>
      </c>
      <c r="C176" s="315"/>
      <c r="D176" s="304">
        <f>SUMIF($E$4:BN$4,$F$4,E176:BN176)</f>
        <v>0</v>
      </c>
      <c r="E176" s="316"/>
      <c r="F176" s="317"/>
      <c r="G176" s="316"/>
      <c r="H176" s="317"/>
      <c r="I176" s="316"/>
      <c r="J176" s="317"/>
      <c r="K176" s="316"/>
      <c r="L176" s="317"/>
      <c r="M176" s="316"/>
      <c r="N176" s="317"/>
      <c r="O176" s="316"/>
      <c r="P176" s="317"/>
      <c r="Q176" s="316"/>
      <c r="R176" s="317"/>
      <c r="S176" s="316"/>
      <c r="T176" s="317"/>
      <c r="U176" s="316"/>
      <c r="V176" s="317"/>
      <c r="W176" s="316"/>
      <c r="X176" s="317"/>
      <c r="Y176" s="316"/>
      <c r="Z176" s="317"/>
      <c r="AA176" s="316"/>
      <c r="AB176" s="317"/>
      <c r="AC176" s="316"/>
      <c r="AD176" s="317"/>
      <c r="AE176" s="316"/>
      <c r="AF176" s="317"/>
      <c r="AG176" s="316"/>
      <c r="AH176" s="317"/>
      <c r="AI176" s="316"/>
      <c r="AJ176" s="317"/>
      <c r="AK176" s="316"/>
      <c r="AL176" s="317"/>
      <c r="AM176" s="316"/>
      <c r="AN176" s="317"/>
      <c r="AO176" s="316"/>
      <c r="AP176" s="317"/>
      <c r="AQ176" s="316"/>
      <c r="AR176" s="317"/>
      <c r="AS176" s="316"/>
      <c r="AT176" s="317"/>
      <c r="AU176" s="316"/>
      <c r="AV176" s="317"/>
      <c r="AW176" s="316"/>
      <c r="AX176" s="317"/>
      <c r="AY176" s="316"/>
      <c r="AZ176" s="317"/>
      <c r="BA176" s="316"/>
      <c r="BB176" s="317"/>
      <c r="BC176" s="316"/>
      <c r="BD176" s="317"/>
      <c r="BE176" s="316"/>
      <c r="BF176" s="317"/>
      <c r="BG176" s="316"/>
      <c r="BH176" s="317"/>
      <c r="BI176" s="316"/>
      <c r="BJ176" s="317"/>
      <c r="BK176" s="316"/>
      <c r="BL176" s="317"/>
      <c r="BM176" s="316"/>
      <c r="BN176" s="318"/>
      <c r="BQ176" s="293"/>
    </row>
    <row r="177" spans="1:69" ht="18.75" hidden="1" customHeight="1">
      <c r="A177" s="320" t="s">
        <v>311</v>
      </c>
      <c r="B177" s="271" t="s">
        <v>312</v>
      </c>
      <c r="C177" s="315"/>
      <c r="D177" s="304">
        <f>SUMIF($E$4:BN$4,$F$4,E177:BN177)</f>
        <v>0</v>
      </c>
      <c r="E177" s="316"/>
      <c r="F177" s="317"/>
      <c r="G177" s="316"/>
      <c r="H177" s="317"/>
      <c r="I177" s="316"/>
      <c r="J177" s="317"/>
      <c r="K177" s="316"/>
      <c r="L177" s="317"/>
      <c r="M177" s="316"/>
      <c r="N177" s="317"/>
      <c r="O177" s="316"/>
      <c r="P177" s="317"/>
      <c r="Q177" s="316"/>
      <c r="R177" s="317"/>
      <c r="S177" s="316"/>
      <c r="T177" s="317"/>
      <c r="U177" s="316"/>
      <c r="V177" s="317"/>
      <c r="W177" s="316"/>
      <c r="X177" s="317"/>
      <c r="Y177" s="316"/>
      <c r="Z177" s="317"/>
      <c r="AA177" s="316"/>
      <c r="AB177" s="317"/>
      <c r="AC177" s="316"/>
      <c r="AD177" s="317"/>
      <c r="AE177" s="316"/>
      <c r="AF177" s="317"/>
      <c r="AG177" s="316"/>
      <c r="AH177" s="317"/>
      <c r="AI177" s="316"/>
      <c r="AJ177" s="317"/>
      <c r="AK177" s="316"/>
      <c r="AL177" s="317"/>
      <c r="AM177" s="316"/>
      <c r="AN177" s="317"/>
      <c r="AO177" s="316"/>
      <c r="AP177" s="317"/>
      <c r="AQ177" s="316"/>
      <c r="AR177" s="317"/>
      <c r="AS177" s="316"/>
      <c r="AT177" s="317"/>
      <c r="AU177" s="316"/>
      <c r="AV177" s="317"/>
      <c r="AW177" s="316"/>
      <c r="AX177" s="317"/>
      <c r="AY177" s="316"/>
      <c r="AZ177" s="317"/>
      <c r="BA177" s="316"/>
      <c r="BB177" s="317"/>
      <c r="BC177" s="316"/>
      <c r="BD177" s="317"/>
      <c r="BE177" s="316"/>
      <c r="BF177" s="317"/>
      <c r="BG177" s="316"/>
      <c r="BH177" s="317"/>
      <c r="BI177" s="316"/>
      <c r="BJ177" s="317"/>
      <c r="BK177" s="316"/>
      <c r="BL177" s="317"/>
      <c r="BM177" s="316"/>
      <c r="BN177" s="318"/>
      <c r="BO177" s="289">
        <f ca="1">SUMIF(E$4:$BN175,$E$4,E177:BN177)</f>
        <v>0</v>
      </c>
      <c r="BP177" s="286">
        <f>+VLOOKUP(A177,'Tổng,SUMMARY'!C:K,8,0)</f>
        <v>300</v>
      </c>
      <c r="BQ177" s="293">
        <f t="shared" si="33"/>
        <v>-300</v>
      </c>
    </row>
    <row r="178" spans="1:69" ht="18.75" hidden="1" customHeight="1">
      <c r="A178" s="320" t="s">
        <v>313</v>
      </c>
      <c r="B178" s="271" t="s">
        <v>312</v>
      </c>
      <c r="C178" s="315"/>
      <c r="D178" s="304">
        <f>SUMIF($E$4:BN$4,$F$4,E178:BN178)</f>
        <v>0</v>
      </c>
      <c r="E178" s="316"/>
      <c r="F178" s="317"/>
      <c r="G178" s="316"/>
      <c r="H178" s="317"/>
      <c r="I178" s="316"/>
      <c r="J178" s="317"/>
      <c r="K178" s="316"/>
      <c r="L178" s="317"/>
      <c r="M178" s="316"/>
      <c r="N178" s="317"/>
      <c r="O178" s="316"/>
      <c r="P178" s="317"/>
      <c r="Q178" s="316"/>
      <c r="R178" s="317"/>
      <c r="S178" s="316"/>
      <c r="T178" s="317"/>
      <c r="U178" s="316"/>
      <c r="V178" s="317"/>
      <c r="W178" s="316"/>
      <c r="X178" s="317"/>
      <c r="Y178" s="316"/>
      <c r="Z178" s="317"/>
      <c r="AA178" s="316"/>
      <c r="AB178" s="317"/>
      <c r="AC178" s="316"/>
      <c r="AD178" s="317"/>
      <c r="AE178" s="316"/>
      <c r="AF178" s="317"/>
      <c r="AG178" s="316"/>
      <c r="AH178" s="317"/>
      <c r="AI178" s="316"/>
      <c r="AJ178" s="317"/>
      <c r="AK178" s="316"/>
      <c r="AL178" s="317"/>
      <c r="AM178" s="316"/>
      <c r="AN178" s="317"/>
      <c r="AO178" s="316"/>
      <c r="AP178" s="317"/>
      <c r="AQ178" s="316"/>
      <c r="AR178" s="317"/>
      <c r="AS178" s="316"/>
      <c r="AT178" s="317"/>
      <c r="AU178" s="316"/>
      <c r="AV178" s="317"/>
      <c r="AW178" s="316"/>
      <c r="AX178" s="317"/>
      <c r="AY178" s="316"/>
      <c r="AZ178" s="317"/>
      <c r="BA178" s="316"/>
      <c r="BB178" s="317"/>
      <c r="BC178" s="316"/>
      <c r="BD178" s="317"/>
      <c r="BE178" s="316"/>
      <c r="BF178" s="317"/>
      <c r="BG178" s="316"/>
      <c r="BH178" s="317"/>
      <c r="BI178" s="316"/>
      <c r="BJ178" s="317"/>
      <c r="BK178" s="316"/>
      <c r="BL178" s="317"/>
      <c r="BM178" s="316"/>
      <c r="BN178" s="318"/>
      <c r="BQ178" s="293"/>
    </row>
    <row r="179" spans="1:69" ht="18.75" hidden="1" customHeight="1">
      <c r="A179" s="320" t="s">
        <v>314</v>
      </c>
      <c r="B179" s="271" t="s">
        <v>315</v>
      </c>
      <c r="C179" s="315"/>
      <c r="D179" s="304">
        <f>SUMIF($E$4:BN$4,$F$4,E179:BN179)</f>
        <v>0</v>
      </c>
      <c r="E179" s="316"/>
      <c r="F179" s="317"/>
      <c r="G179" s="316"/>
      <c r="H179" s="317"/>
      <c r="I179" s="316"/>
      <c r="J179" s="317"/>
      <c r="K179" s="316"/>
      <c r="L179" s="317"/>
      <c r="M179" s="316"/>
      <c r="N179" s="317"/>
      <c r="O179" s="316"/>
      <c r="P179" s="317"/>
      <c r="Q179" s="316"/>
      <c r="R179" s="317"/>
      <c r="S179" s="316"/>
      <c r="T179" s="317"/>
      <c r="U179" s="316"/>
      <c r="V179" s="317"/>
      <c r="W179" s="316"/>
      <c r="X179" s="317"/>
      <c r="Y179" s="316"/>
      <c r="Z179" s="317"/>
      <c r="AA179" s="316"/>
      <c r="AB179" s="317"/>
      <c r="AC179" s="316"/>
      <c r="AD179" s="317"/>
      <c r="AE179" s="316"/>
      <c r="AF179" s="317"/>
      <c r="AG179" s="316"/>
      <c r="AH179" s="317"/>
      <c r="AI179" s="316"/>
      <c r="AJ179" s="317"/>
      <c r="AK179" s="316"/>
      <c r="AL179" s="317"/>
      <c r="AM179" s="316"/>
      <c r="AN179" s="317"/>
      <c r="AO179" s="316"/>
      <c r="AP179" s="317"/>
      <c r="AQ179" s="316"/>
      <c r="AR179" s="317"/>
      <c r="AS179" s="316"/>
      <c r="AT179" s="317"/>
      <c r="AU179" s="316"/>
      <c r="AV179" s="317"/>
      <c r="AW179" s="316"/>
      <c r="AX179" s="317"/>
      <c r="AY179" s="316"/>
      <c r="AZ179" s="317"/>
      <c r="BA179" s="316"/>
      <c r="BB179" s="317"/>
      <c r="BC179" s="316"/>
      <c r="BD179" s="317"/>
      <c r="BE179" s="316"/>
      <c r="BF179" s="317"/>
      <c r="BG179" s="316"/>
      <c r="BH179" s="317"/>
      <c r="BI179" s="316"/>
      <c r="BJ179" s="317"/>
      <c r="BK179" s="316"/>
      <c r="BL179" s="317"/>
      <c r="BM179" s="316"/>
      <c r="BN179" s="318"/>
      <c r="BO179" s="289">
        <f ca="1">SUMIF(E$4:$BN177,$E$4,E179:BN179)</f>
        <v>0</v>
      </c>
      <c r="BP179" s="286">
        <f>+VLOOKUP(A179,'Tổng,SUMMARY'!C:K,8,0)</f>
        <v>250</v>
      </c>
      <c r="BQ179" s="293">
        <f t="shared" si="33"/>
        <v>-250</v>
      </c>
    </row>
    <row r="180" spans="1:69" ht="18.75" hidden="1" customHeight="1">
      <c r="A180" s="320" t="s">
        <v>316</v>
      </c>
      <c r="B180" s="271" t="s">
        <v>317</v>
      </c>
      <c r="C180" s="315"/>
      <c r="D180" s="304">
        <f>SUMIF($E$4:BN$4,$F$4,E180:BN180)</f>
        <v>0</v>
      </c>
      <c r="E180" s="316"/>
      <c r="F180" s="317"/>
      <c r="G180" s="316"/>
      <c r="H180" s="317"/>
      <c r="I180" s="316"/>
      <c r="J180" s="317"/>
      <c r="K180" s="316"/>
      <c r="L180" s="317"/>
      <c r="M180" s="316"/>
      <c r="N180" s="317"/>
      <c r="O180" s="316"/>
      <c r="P180" s="317"/>
      <c r="Q180" s="316"/>
      <c r="R180" s="317"/>
      <c r="S180" s="316"/>
      <c r="T180" s="317"/>
      <c r="U180" s="316"/>
      <c r="V180" s="317"/>
      <c r="W180" s="316"/>
      <c r="X180" s="317"/>
      <c r="Y180" s="316"/>
      <c r="Z180" s="317"/>
      <c r="AA180" s="316"/>
      <c r="AB180" s="317"/>
      <c r="AC180" s="316"/>
      <c r="AD180" s="317"/>
      <c r="AE180" s="316"/>
      <c r="AF180" s="317"/>
      <c r="AG180" s="316"/>
      <c r="AH180" s="317"/>
      <c r="AI180" s="316"/>
      <c r="AJ180" s="317"/>
      <c r="AK180" s="316"/>
      <c r="AL180" s="317"/>
      <c r="AM180" s="316"/>
      <c r="AN180" s="317"/>
      <c r="AO180" s="316"/>
      <c r="AP180" s="317"/>
      <c r="AQ180" s="316"/>
      <c r="AR180" s="317"/>
      <c r="AS180" s="316"/>
      <c r="AT180" s="317"/>
      <c r="AU180" s="316"/>
      <c r="AV180" s="317"/>
      <c r="AW180" s="316"/>
      <c r="AX180" s="317"/>
      <c r="AY180" s="316"/>
      <c r="AZ180" s="317"/>
      <c r="BA180" s="316"/>
      <c r="BB180" s="317"/>
      <c r="BC180" s="316"/>
      <c r="BD180" s="317"/>
      <c r="BE180" s="316"/>
      <c r="BF180" s="317"/>
      <c r="BG180" s="316"/>
      <c r="BH180" s="317"/>
      <c r="BI180" s="316"/>
      <c r="BJ180" s="317"/>
      <c r="BK180" s="316"/>
      <c r="BL180" s="317"/>
      <c r="BM180" s="316"/>
      <c r="BN180" s="318"/>
      <c r="BO180" s="289">
        <f ca="1">SUMIF(E$4:$BN179,$E$4,E180:BN180)</f>
        <v>0</v>
      </c>
      <c r="BP180" s="286">
        <f>+VLOOKUP(A180,'Tổng,SUMMARY'!C:K,8,0)</f>
        <v>1650</v>
      </c>
      <c r="BQ180" s="293">
        <f t="shared" si="33"/>
        <v>-1650</v>
      </c>
    </row>
    <row r="181" spans="1:69" ht="18.75" hidden="1" customHeight="1">
      <c r="A181" s="320" t="s">
        <v>318</v>
      </c>
      <c r="B181" s="271" t="s">
        <v>317</v>
      </c>
      <c r="C181" s="315"/>
      <c r="D181" s="304">
        <f>SUMIF($E$4:BN$4,$F$4,E181:BN181)</f>
        <v>0</v>
      </c>
      <c r="E181" s="316"/>
      <c r="F181" s="317"/>
      <c r="G181" s="316"/>
      <c r="H181" s="317"/>
      <c r="I181" s="316"/>
      <c r="J181" s="317"/>
      <c r="K181" s="316"/>
      <c r="L181" s="317"/>
      <c r="M181" s="316"/>
      <c r="N181" s="317"/>
      <c r="O181" s="316"/>
      <c r="P181" s="317"/>
      <c r="Q181" s="316"/>
      <c r="R181" s="317"/>
      <c r="S181" s="316"/>
      <c r="T181" s="317"/>
      <c r="U181" s="316"/>
      <c r="V181" s="317"/>
      <c r="W181" s="316"/>
      <c r="X181" s="317"/>
      <c r="Y181" s="316"/>
      <c r="Z181" s="317"/>
      <c r="AA181" s="316"/>
      <c r="AB181" s="317"/>
      <c r="AC181" s="316"/>
      <c r="AD181" s="317"/>
      <c r="AE181" s="316"/>
      <c r="AF181" s="317"/>
      <c r="AG181" s="316"/>
      <c r="AH181" s="317"/>
      <c r="AI181" s="316"/>
      <c r="AJ181" s="317"/>
      <c r="AK181" s="316"/>
      <c r="AL181" s="317"/>
      <c r="AM181" s="316"/>
      <c r="AN181" s="317"/>
      <c r="AO181" s="316"/>
      <c r="AP181" s="317"/>
      <c r="AQ181" s="316"/>
      <c r="AR181" s="317"/>
      <c r="AS181" s="316"/>
      <c r="AT181" s="317"/>
      <c r="AU181" s="316"/>
      <c r="AV181" s="317"/>
      <c r="AW181" s="316"/>
      <c r="AX181" s="317"/>
      <c r="AY181" s="316"/>
      <c r="AZ181" s="317"/>
      <c r="BA181" s="316"/>
      <c r="BB181" s="317"/>
      <c r="BC181" s="316"/>
      <c r="BD181" s="317"/>
      <c r="BE181" s="316"/>
      <c r="BF181" s="317"/>
      <c r="BG181" s="316"/>
      <c r="BH181" s="317"/>
      <c r="BI181" s="316"/>
      <c r="BJ181" s="317"/>
      <c r="BK181" s="316"/>
      <c r="BL181" s="317"/>
      <c r="BM181" s="316"/>
      <c r="BN181" s="318"/>
      <c r="BO181" s="289">
        <f ca="1">SUMIF(E$4:$BN180,$E$4,E181:BN181)</f>
        <v>0</v>
      </c>
      <c r="BP181" s="286">
        <f>+VLOOKUP(A181,'Tổng,SUMMARY'!C:K,8,0)</f>
        <v>4550</v>
      </c>
      <c r="BQ181" s="293">
        <f t="shared" si="33"/>
        <v>-4550</v>
      </c>
    </row>
    <row r="182" spans="1:69" ht="18.75" customHeight="1">
      <c r="A182" s="320" t="s">
        <v>319</v>
      </c>
      <c r="B182" s="271" t="s">
        <v>317</v>
      </c>
      <c r="C182" s="315"/>
      <c r="D182" s="304">
        <f>SUMIF($E$4:BN$4,$F$4,E182:BN182)</f>
        <v>1450</v>
      </c>
      <c r="E182" s="316"/>
      <c r="F182" s="317"/>
      <c r="G182" s="316"/>
      <c r="H182" s="317"/>
      <c r="I182" s="316"/>
      <c r="J182" s="317"/>
      <c r="K182" s="316"/>
      <c r="L182" s="317">
        <f>400+1050</f>
        <v>1450</v>
      </c>
      <c r="M182" s="316"/>
      <c r="N182" s="317"/>
      <c r="O182" s="316"/>
      <c r="P182" s="317"/>
      <c r="Q182" s="316"/>
      <c r="R182" s="317"/>
      <c r="S182" s="316"/>
      <c r="T182" s="317"/>
      <c r="U182" s="316"/>
      <c r="V182" s="317"/>
      <c r="W182" s="316"/>
      <c r="X182" s="317"/>
      <c r="Y182" s="316"/>
      <c r="Z182" s="317"/>
      <c r="AA182" s="316"/>
      <c r="AB182" s="317"/>
      <c r="AC182" s="316"/>
      <c r="AD182" s="317"/>
      <c r="AE182" s="316"/>
      <c r="AF182" s="317"/>
      <c r="AG182" s="316"/>
      <c r="AH182" s="317"/>
      <c r="AI182" s="316"/>
      <c r="AJ182" s="317"/>
      <c r="AK182" s="316"/>
      <c r="AL182" s="317"/>
      <c r="AM182" s="316"/>
      <c r="AN182" s="317"/>
      <c r="AO182" s="316"/>
      <c r="AP182" s="317"/>
      <c r="AQ182" s="316"/>
      <c r="AR182" s="317"/>
      <c r="AS182" s="316"/>
      <c r="AT182" s="317"/>
      <c r="AU182" s="316"/>
      <c r="AV182" s="317"/>
      <c r="AW182" s="316"/>
      <c r="AX182" s="317"/>
      <c r="AY182" s="316"/>
      <c r="AZ182" s="317"/>
      <c r="BA182" s="316"/>
      <c r="BB182" s="317"/>
      <c r="BC182" s="316"/>
      <c r="BD182" s="317"/>
      <c r="BE182" s="316"/>
      <c r="BF182" s="317"/>
      <c r="BG182" s="316"/>
      <c r="BH182" s="317"/>
      <c r="BI182" s="316"/>
      <c r="BJ182" s="317"/>
      <c r="BK182" s="316"/>
      <c r="BL182" s="317"/>
      <c r="BM182" s="316"/>
      <c r="BN182" s="318"/>
      <c r="BO182" s="289">
        <f ca="1">SUMIF(E$4:$BN181,$E$4,E182:BN182)</f>
        <v>0</v>
      </c>
      <c r="BP182" s="286">
        <f>+VLOOKUP(A182,'Tổng,SUMMARY'!C:K,8,0)</f>
        <v>1300</v>
      </c>
      <c r="BQ182" s="293">
        <f t="shared" si="33"/>
        <v>150</v>
      </c>
    </row>
    <row r="183" spans="1:69" ht="18.75" hidden="1" customHeight="1">
      <c r="A183" s="320" t="s">
        <v>320</v>
      </c>
      <c r="B183" s="271" t="s">
        <v>321</v>
      </c>
      <c r="C183" s="315"/>
      <c r="D183" s="304">
        <f>SUMIF($E$4:BN$4,$F$4,E183:BN183)</f>
        <v>0</v>
      </c>
      <c r="E183" s="316"/>
      <c r="F183" s="317"/>
      <c r="G183" s="316"/>
      <c r="H183" s="317"/>
      <c r="I183" s="316"/>
      <c r="J183" s="317"/>
      <c r="K183" s="316"/>
      <c r="L183" s="317"/>
      <c r="M183" s="316"/>
      <c r="N183" s="317"/>
      <c r="O183" s="316"/>
      <c r="P183" s="317"/>
      <c r="Q183" s="316"/>
      <c r="R183" s="317"/>
      <c r="S183" s="316"/>
      <c r="T183" s="317"/>
      <c r="U183" s="316"/>
      <c r="V183" s="317"/>
      <c r="W183" s="316"/>
      <c r="X183" s="317"/>
      <c r="Y183" s="316"/>
      <c r="Z183" s="317"/>
      <c r="AA183" s="316"/>
      <c r="AB183" s="317"/>
      <c r="AC183" s="316"/>
      <c r="AD183" s="317"/>
      <c r="AE183" s="316"/>
      <c r="AF183" s="317"/>
      <c r="AG183" s="316"/>
      <c r="AH183" s="317"/>
      <c r="AI183" s="316"/>
      <c r="AJ183" s="317"/>
      <c r="AK183" s="316"/>
      <c r="AL183" s="317"/>
      <c r="AM183" s="316"/>
      <c r="AN183" s="317"/>
      <c r="AO183" s="316"/>
      <c r="AP183" s="317"/>
      <c r="AQ183" s="316"/>
      <c r="AR183" s="317"/>
      <c r="AS183" s="316"/>
      <c r="AT183" s="317"/>
      <c r="AU183" s="316"/>
      <c r="AV183" s="317"/>
      <c r="AW183" s="316"/>
      <c r="AX183" s="317"/>
      <c r="AY183" s="316"/>
      <c r="AZ183" s="317"/>
      <c r="BA183" s="316"/>
      <c r="BB183" s="317"/>
      <c r="BC183" s="316"/>
      <c r="BD183" s="317"/>
      <c r="BE183" s="316"/>
      <c r="BF183" s="317"/>
      <c r="BG183" s="316"/>
      <c r="BH183" s="317"/>
      <c r="BI183" s="316"/>
      <c r="BJ183" s="317"/>
      <c r="BK183" s="316"/>
      <c r="BL183" s="317"/>
      <c r="BM183" s="316"/>
      <c r="BN183" s="318"/>
      <c r="BO183" s="289">
        <f ca="1">SUMIF(E$4:$BN182,$E$4,E183:BN183)</f>
        <v>0</v>
      </c>
      <c r="BP183" s="286">
        <f>+VLOOKUP(A183,'Tổng,SUMMARY'!C:K,8,0)</f>
        <v>2550</v>
      </c>
      <c r="BQ183" s="293">
        <f t="shared" si="33"/>
        <v>-2550</v>
      </c>
    </row>
    <row r="184" spans="1:69" ht="18.75" hidden="1" customHeight="1">
      <c r="A184" s="320" t="s">
        <v>322</v>
      </c>
      <c r="B184" s="271" t="s">
        <v>323</v>
      </c>
      <c r="C184" s="315"/>
      <c r="D184" s="304">
        <f>SUMIF($E$4:BN$4,$F$4,E184:BN184)</f>
        <v>0</v>
      </c>
      <c r="E184" s="316"/>
      <c r="F184" s="317"/>
      <c r="G184" s="316"/>
      <c r="H184" s="317"/>
      <c r="I184" s="316"/>
      <c r="J184" s="317"/>
      <c r="K184" s="316"/>
      <c r="L184" s="317"/>
      <c r="M184" s="316"/>
      <c r="N184" s="317"/>
      <c r="O184" s="316"/>
      <c r="P184" s="317"/>
      <c r="Q184" s="316"/>
      <c r="R184" s="317"/>
      <c r="S184" s="316"/>
      <c r="T184" s="317"/>
      <c r="U184" s="316"/>
      <c r="V184" s="317"/>
      <c r="W184" s="316"/>
      <c r="X184" s="317"/>
      <c r="Y184" s="316"/>
      <c r="Z184" s="317"/>
      <c r="AA184" s="316"/>
      <c r="AB184" s="317"/>
      <c r="AC184" s="316"/>
      <c r="AD184" s="317"/>
      <c r="AE184" s="316"/>
      <c r="AF184" s="317"/>
      <c r="AG184" s="316"/>
      <c r="AH184" s="317"/>
      <c r="AI184" s="316"/>
      <c r="AJ184" s="317"/>
      <c r="AK184" s="316"/>
      <c r="AL184" s="317"/>
      <c r="AM184" s="316"/>
      <c r="AN184" s="317"/>
      <c r="AO184" s="316"/>
      <c r="AP184" s="317"/>
      <c r="AQ184" s="316"/>
      <c r="AR184" s="317"/>
      <c r="AS184" s="316"/>
      <c r="AT184" s="317"/>
      <c r="AU184" s="316"/>
      <c r="AV184" s="317"/>
      <c r="AW184" s="316"/>
      <c r="AX184" s="317"/>
      <c r="AY184" s="316"/>
      <c r="AZ184" s="317"/>
      <c r="BA184" s="316"/>
      <c r="BB184" s="317"/>
      <c r="BC184" s="316"/>
      <c r="BD184" s="317"/>
      <c r="BE184" s="316"/>
      <c r="BF184" s="317"/>
      <c r="BG184" s="316"/>
      <c r="BH184" s="317"/>
      <c r="BI184" s="316"/>
      <c r="BJ184" s="317"/>
      <c r="BK184" s="316"/>
      <c r="BL184" s="317"/>
      <c r="BM184" s="316"/>
      <c r="BN184" s="318"/>
      <c r="BQ184" s="293"/>
    </row>
    <row r="185" spans="1:69" ht="18.75" hidden="1" customHeight="1">
      <c r="A185" s="320" t="s">
        <v>324</v>
      </c>
      <c r="B185" s="271" t="s">
        <v>325</v>
      </c>
      <c r="C185" s="315"/>
      <c r="D185" s="304">
        <f>SUMIF($E$4:BN$4,$F$4,E185:BN185)</f>
        <v>0</v>
      </c>
      <c r="E185" s="316"/>
      <c r="F185" s="317"/>
      <c r="G185" s="316"/>
      <c r="H185" s="317"/>
      <c r="I185" s="316"/>
      <c r="J185" s="317"/>
      <c r="K185" s="316"/>
      <c r="L185" s="317"/>
      <c r="M185" s="316"/>
      <c r="N185" s="317"/>
      <c r="O185" s="316"/>
      <c r="P185" s="317"/>
      <c r="Q185" s="316"/>
      <c r="R185" s="317"/>
      <c r="S185" s="316"/>
      <c r="T185" s="317"/>
      <c r="U185" s="316"/>
      <c r="V185" s="317"/>
      <c r="W185" s="316"/>
      <c r="X185" s="317"/>
      <c r="Y185" s="316"/>
      <c r="Z185" s="317"/>
      <c r="AA185" s="316"/>
      <c r="AB185" s="317"/>
      <c r="AC185" s="316"/>
      <c r="AD185" s="317"/>
      <c r="AE185" s="316"/>
      <c r="AF185" s="317"/>
      <c r="AG185" s="316"/>
      <c r="AH185" s="317"/>
      <c r="AI185" s="316"/>
      <c r="AJ185" s="317"/>
      <c r="AK185" s="316"/>
      <c r="AL185" s="317"/>
      <c r="AM185" s="316"/>
      <c r="AN185" s="317"/>
      <c r="AO185" s="316"/>
      <c r="AP185" s="317"/>
      <c r="AQ185" s="316"/>
      <c r="AR185" s="317"/>
      <c r="AS185" s="316"/>
      <c r="AT185" s="317"/>
      <c r="AU185" s="316"/>
      <c r="AV185" s="317"/>
      <c r="AW185" s="316"/>
      <c r="AX185" s="317"/>
      <c r="AY185" s="316"/>
      <c r="AZ185" s="317"/>
      <c r="BA185" s="316"/>
      <c r="BB185" s="317"/>
      <c r="BC185" s="316"/>
      <c r="BD185" s="317"/>
      <c r="BE185" s="316"/>
      <c r="BF185" s="317"/>
      <c r="BG185" s="316"/>
      <c r="BH185" s="317"/>
      <c r="BI185" s="316"/>
      <c r="BJ185" s="317"/>
      <c r="BK185" s="316"/>
      <c r="BL185" s="317"/>
      <c r="BM185" s="316"/>
      <c r="BN185" s="318"/>
      <c r="BO185" s="289">
        <f ca="1">SUMIF(E$4:$BN183,$E$4,E185:BN185)</f>
        <v>0</v>
      </c>
      <c r="BP185" s="286">
        <f>+VLOOKUP(A185,'Tổng,SUMMARY'!C:K,8,0)</f>
        <v>3450</v>
      </c>
      <c r="BQ185" s="293">
        <f t="shared" si="33"/>
        <v>-3450</v>
      </c>
    </row>
    <row r="186" spans="1:69" ht="18.75" hidden="1" customHeight="1">
      <c r="A186" s="320" t="s">
        <v>326</v>
      </c>
      <c r="B186" s="271" t="s">
        <v>325</v>
      </c>
      <c r="C186" s="315"/>
      <c r="D186" s="304">
        <f>SUMIF($E$4:BN$4,$F$4,E186:BN186)</f>
        <v>0</v>
      </c>
      <c r="E186" s="316"/>
      <c r="F186" s="317"/>
      <c r="G186" s="316"/>
      <c r="H186" s="317"/>
      <c r="I186" s="316"/>
      <c r="J186" s="317"/>
      <c r="K186" s="316"/>
      <c r="L186" s="317"/>
      <c r="M186" s="316"/>
      <c r="N186" s="317"/>
      <c r="O186" s="316"/>
      <c r="P186" s="317"/>
      <c r="Q186" s="316"/>
      <c r="R186" s="317"/>
      <c r="S186" s="316"/>
      <c r="T186" s="317"/>
      <c r="U186" s="316"/>
      <c r="V186" s="317"/>
      <c r="W186" s="316"/>
      <c r="X186" s="317"/>
      <c r="Y186" s="316"/>
      <c r="Z186" s="317"/>
      <c r="AA186" s="316"/>
      <c r="AB186" s="317"/>
      <c r="AC186" s="316"/>
      <c r="AD186" s="317"/>
      <c r="AE186" s="316"/>
      <c r="AF186" s="317"/>
      <c r="AG186" s="316"/>
      <c r="AH186" s="317"/>
      <c r="AI186" s="316"/>
      <c r="AJ186" s="317"/>
      <c r="AK186" s="316"/>
      <c r="AL186" s="317"/>
      <c r="AM186" s="316"/>
      <c r="AN186" s="317"/>
      <c r="AO186" s="316"/>
      <c r="AP186" s="317"/>
      <c r="AQ186" s="316"/>
      <c r="AR186" s="317"/>
      <c r="AS186" s="316"/>
      <c r="AT186" s="317"/>
      <c r="AU186" s="316"/>
      <c r="AV186" s="317"/>
      <c r="AW186" s="316"/>
      <c r="AX186" s="317"/>
      <c r="AY186" s="316"/>
      <c r="AZ186" s="317"/>
      <c r="BA186" s="316"/>
      <c r="BB186" s="317"/>
      <c r="BC186" s="316"/>
      <c r="BD186" s="317"/>
      <c r="BE186" s="316"/>
      <c r="BF186" s="317"/>
      <c r="BG186" s="316"/>
      <c r="BH186" s="317"/>
      <c r="BI186" s="316"/>
      <c r="BJ186" s="317"/>
      <c r="BK186" s="316"/>
      <c r="BL186" s="317"/>
      <c r="BM186" s="316"/>
      <c r="BN186" s="318"/>
      <c r="BQ186" s="293"/>
    </row>
    <row r="187" spans="1:69" ht="18.75" hidden="1" customHeight="1">
      <c r="A187" s="320" t="s">
        <v>327</v>
      </c>
      <c r="B187" s="271" t="s">
        <v>328</v>
      </c>
      <c r="C187" s="315"/>
      <c r="D187" s="304">
        <f>SUMIF($E$4:BN$4,$F$4,E187:BN187)</f>
        <v>0</v>
      </c>
      <c r="E187" s="316"/>
      <c r="F187" s="317"/>
      <c r="G187" s="316"/>
      <c r="H187" s="317"/>
      <c r="I187" s="316"/>
      <c r="J187" s="317"/>
      <c r="K187" s="316"/>
      <c r="L187" s="317"/>
      <c r="M187" s="316"/>
      <c r="N187" s="317"/>
      <c r="O187" s="316"/>
      <c r="P187" s="317"/>
      <c r="Q187" s="316"/>
      <c r="R187" s="317"/>
      <c r="S187" s="316"/>
      <c r="T187" s="317"/>
      <c r="U187" s="316"/>
      <c r="V187" s="317"/>
      <c r="W187" s="316"/>
      <c r="X187" s="317"/>
      <c r="Y187" s="316"/>
      <c r="Z187" s="317"/>
      <c r="AA187" s="316"/>
      <c r="AB187" s="317"/>
      <c r="AC187" s="316"/>
      <c r="AD187" s="317"/>
      <c r="AE187" s="316"/>
      <c r="AF187" s="317"/>
      <c r="AG187" s="316"/>
      <c r="AH187" s="317"/>
      <c r="AI187" s="316"/>
      <c r="AJ187" s="317"/>
      <c r="AK187" s="316"/>
      <c r="AL187" s="317"/>
      <c r="AM187" s="316"/>
      <c r="AN187" s="317"/>
      <c r="AO187" s="316"/>
      <c r="AP187" s="317"/>
      <c r="AQ187" s="316"/>
      <c r="AR187" s="317"/>
      <c r="AS187" s="316"/>
      <c r="AT187" s="317"/>
      <c r="AU187" s="316"/>
      <c r="AV187" s="317"/>
      <c r="AW187" s="316"/>
      <c r="AX187" s="317"/>
      <c r="AY187" s="316"/>
      <c r="AZ187" s="317"/>
      <c r="BA187" s="316"/>
      <c r="BB187" s="317"/>
      <c r="BC187" s="316"/>
      <c r="BD187" s="317"/>
      <c r="BE187" s="316"/>
      <c r="BF187" s="317"/>
      <c r="BG187" s="316"/>
      <c r="BH187" s="317"/>
      <c r="BI187" s="316"/>
      <c r="BJ187" s="317"/>
      <c r="BK187" s="316"/>
      <c r="BL187" s="317"/>
      <c r="BM187" s="316"/>
      <c r="BN187" s="318"/>
      <c r="BO187" s="289">
        <f ca="1">SUMIF(E$4:$BN185,$E$4,E187:BN187)</f>
        <v>0</v>
      </c>
      <c r="BP187" s="286">
        <f>+VLOOKUP(A187,'Tổng,SUMMARY'!C:K,8,0)</f>
        <v>2550</v>
      </c>
      <c r="BQ187" s="293">
        <f t="shared" si="33"/>
        <v>-2550</v>
      </c>
    </row>
    <row r="188" spans="1:69" ht="18.75" hidden="1" customHeight="1">
      <c r="A188" s="320" t="s">
        <v>329</v>
      </c>
      <c r="B188" s="271" t="s">
        <v>328</v>
      </c>
      <c r="C188" s="315"/>
      <c r="D188" s="304">
        <f>SUMIF($E$4:BN$4,$F$4,E188:BN188)</f>
        <v>0</v>
      </c>
      <c r="E188" s="316"/>
      <c r="F188" s="317"/>
      <c r="G188" s="316"/>
      <c r="H188" s="317"/>
      <c r="I188" s="316"/>
      <c r="J188" s="317"/>
      <c r="K188" s="316"/>
      <c r="L188" s="317"/>
      <c r="M188" s="316"/>
      <c r="N188" s="317"/>
      <c r="O188" s="316"/>
      <c r="P188" s="317"/>
      <c r="Q188" s="316"/>
      <c r="R188" s="317"/>
      <c r="S188" s="316"/>
      <c r="T188" s="317"/>
      <c r="U188" s="316"/>
      <c r="V188" s="317"/>
      <c r="W188" s="316"/>
      <c r="X188" s="317"/>
      <c r="Y188" s="316"/>
      <c r="Z188" s="317"/>
      <c r="AA188" s="316"/>
      <c r="AB188" s="317"/>
      <c r="AC188" s="316"/>
      <c r="AD188" s="317"/>
      <c r="AE188" s="316"/>
      <c r="AF188" s="317"/>
      <c r="AG188" s="316"/>
      <c r="AH188" s="317"/>
      <c r="AI188" s="316"/>
      <c r="AJ188" s="317"/>
      <c r="AK188" s="316"/>
      <c r="AL188" s="317"/>
      <c r="AM188" s="316"/>
      <c r="AN188" s="317"/>
      <c r="AO188" s="316"/>
      <c r="AP188" s="317"/>
      <c r="AQ188" s="316"/>
      <c r="AR188" s="317"/>
      <c r="AS188" s="316"/>
      <c r="AT188" s="317"/>
      <c r="AU188" s="316"/>
      <c r="AV188" s="317"/>
      <c r="AW188" s="316"/>
      <c r="AX188" s="317"/>
      <c r="AY188" s="316"/>
      <c r="AZ188" s="317"/>
      <c r="BA188" s="316"/>
      <c r="BB188" s="317"/>
      <c r="BC188" s="316"/>
      <c r="BD188" s="317"/>
      <c r="BE188" s="316"/>
      <c r="BF188" s="317"/>
      <c r="BG188" s="316"/>
      <c r="BH188" s="317"/>
      <c r="BI188" s="316"/>
      <c r="BJ188" s="317"/>
      <c r="BK188" s="316"/>
      <c r="BL188" s="317"/>
      <c r="BM188" s="316"/>
      <c r="BN188" s="317"/>
      <c r="BP188" s="286">
        <f>+VLOOKUP(A188,'Tổng,SUMMARY'!C:K,8,0)</f>
        <v>350</v>
      </c>
      <c r="BQ188" s="293">
        <f t="shared" si="33"/>
        <v>-350</v>
      </c>
    </row>
    <row r="189" spans="1:69" ht="18.75" hidden="1" customHeight="1">
      <c r="A189" s="320" t="s">
        <v>330</v>
      </c>
      <c r="B189" s="271" t="s">
        <v>331</v>
      </c>
      <c r="C189" s="315"/>
      <c r="D189" s="304">
        <f>SUMIF($E$4:BN$4,$F$4,E189:BN189)</f>
        <v>0</v>
      </c>
      <c r="E189" s="316"/>
      <c r="F189" s="317"/>
      <c r="G189" s="316"/>
      <c r="H189" s="317"/>
      <c r="I189" s="316"/>
      <c r="J189" s="317"/>
      <c r="K189" s="316"/>
      <c r="L189" s="317"/>
      <c r="M189" s="316"/>
      <c r="N189" s="317"/>
      <c r="O189" s="316"/>
      <c r="P189" s="317"/>
      <c r="Q189" s="316"/>
      <c r="R189" s="317"/>
      <c r="S189" s="316"/>
      <c r="T189" s="317"/>
      <c r="U189" s="316"/>
      <c r="V189" s="317"/>
      <c r="W189" s="316"/>
      <c r="X189" s="317"/>
      <c r="Y189" s="316"/>
      <c r="Z189" s="317"/>
      <c r="AA189" s="316"/>
      <c r="AB189" s="317"/>
      <c r="AC189" s="316"/>
      <c r="AD189" s="317"/>
      <c r="AE189" s="316"/>
      <c r="AF189" s="317"/>
      <c r="AG189" s="316"/>
      <c r="AH189" s="317"/>
      <c r="AI189" s="316"/>
      <c r="AJ189" s="317"/>
      <c r="AK189" s="316"/>
      <c r="AL189" s="317"/>
      <c r="AM189" s="316"/>
      <c r="AN189" s="317"/>
      <c r="AO189" s="316"/>
      <c r="AP189" s="317"/>
      <c r="AQ189" s="316"/>
      <c r="AR189" s="317"/>
      <c r="AS189" s="316"/>
      <c r="AT189" s="317"/>
      <c r="AU189" s="316"/>
      <c r="AV189" s="317"/>
      <c r="AW189" s="316"/>
      <c r="AX189" s="317"/>
      <c r="AY189" s="316"/>
      <c r="AZ189" s="317"/>
      <c r="BA189" s="316"/>
      <c r="BB189" s="317"/>
      <c r="BC189" s="316"/>
      <c r="BD189" s="317"/>
      <c r="BE189" s="316"/>
      <c r="BF189" s="317"/>
      <c r="BG189" s="316"/>
      <c r="BH189" s="317"/>
      <c r="BI189" s="316"/>
      <c r="BJ189" s="317"/>
      <c r="BK189" s="316"/>
      <c r="BL189" s="317"/>
      <c r="BM189" s="316"/>
      <c r="BN189" s="318"/>
      <c r="BO189" s="289">
        <f ca="1">SUMIF(E$4:$BN187,$E$4,E189:BN189)</f>
        <v>0</v>
      </c>
      <c r="BP189" s="286">
        <f>+VLOOKUP(A189,'Tổng,SUMMARY'!C:K,8,0)</f>
        <v>4050</v>
      </c>
      <c r="BQ189" s="293">
        <f t="shared" si="33"/>
        <v>-4050</v>
      </c>
    </row>
    <row r="190" spans="1:69" ht="18.75" hidden="1" customHeight="1">
      <c r="A190" s="320" t="s">
        <v>332</v>
      </c>
      <c r="B190" s="271" t="s">
        <v>333</v>
      </c>
      <c r="C190" s="315"/>
      <c r="D190" s="304">
        <f>SUMIF($E$4:BN$4,$F$4,E190:BN190)</f>
        <v>0</v>
      </c>
      <c r="E190" s="316"/>
      <c r="F190" s="317"/>
      <c r="G190" s="316"/>
      <c r="H190" s="317"/>
      <c r="I190" s="316"/>
      <c r="J190" s="317"/>
      <c r="K190" s="316"/>
      <c r="L190" s="317"/>
      <c r="M190" s="316"/>
      <c r="N190" s="317"/>
      <c r="O190" s="316"/>
      <c r="P190" s="317"/>
      <c r="Q190" s="316"/>
      <c r="R190" s="317"/>
      <c r="S190" s="316"/>
      <c r="T190" s="317"/>
      <c r="U190" s="316"/>
      <c r="V190" s="317"/>
      <c r="W190" s="316"/>
      <c r="X190" s="317"/>
      <c r="Y190" s="316"/>
      <c r="Z190" s="317"/>
      <c r="AA190" s="316"/>
      <c r="AB190" s="317"/>
      <c r="AC190" s="316"/>
      <c r="AD190" s="317"/>
      <c r="AE190" s="316"/>
      <c r="AF190" s="317"/>
      <c r="AG190" s="316"/>
      <c r="AH190" s="317"/>
      <c r="AI190" s="316"/>
      <c r="AJ190" s="317"/>
      <c r="AK190" s="316"/>
      <c r="AL190" s="317"/>
      <c r="AM190" s="316"/>
      <c r="AN190" s="317"/>
      <c r="AO190" s="316"/>
      <c r="AP190" s="317"/>
      <c r="AQ190" s="316"/>
      <c r="AR190" s="317"/>
      <c r="AS190" s="316"/>
      <c r="AT190" s="317"/>
      <c r="AU190" s="316"/>
      <c r="AV190" s="317"/>
      <c r="AW190" s="316"/>
      <c r="AX190" s="317"/>
      <c r="AY190" s="316"/>
      <c r="AZ190" s="317"/>
      <c r="BA190" s="316"/>
      <c r="BB190" s="317"/>
      <c r="BC190" s="316"/>
      <c r="BD190" s="317"/>
      <c r="BE190" s="316"/>
      <c r="BF190" s="317"/>
      <c r="BG190" s="316"/>
      <c r="BH190" s="317"/>
      <c r="BI190" s="316"/>
      <c r="BJ190" s="317"/>
      <c r="BK190" s="316"/>
      <c r="BL190" s="317"/>
      <c r="BM190" s="316"/>
      <c r="BN190" s="318"/>
      <c r="BO190" s="289">
        <f ca="1">SUMIF(E$4:$BN189,$E$4,E190:BN190)</f>
        <v>0</v>
      </c>
      <c r="BP190" s="286">
        <f>+VLOOKUP(A190,'Tổng,SUMMARY'!C:K,8,0)</f>
        <v>1900</v>
      </c>
      <c r="BQ190" s="293">
        <f t="shared" si="33"/>
        <v>-1900</v>
      </c>
    </row>
    <row r="191" spans="1:69" ht="18.75" hidden="1" customHeight="1">
      <c r="A191" s="320" t="s">
        <v>334</v>
      </c>
      <c r="B191" s="271" t="s">
        <v>335</v>
      </c>
      <c r="C191" s="315"/>
      <c r="D191" s="304">
        <f>SUMIF($E$4:BN$4,$F$4,E191:BN191)</f>
        <v>0</v>
      </c>
      <c r="E191" s="316"/>
      <c r="F191" s="317"/>
      <c r="G191" s="316"/>
      <c r="H191" s="317"/>
      <c r="I191" s="316"/>
      <c r="J191" s="317"/>
      <c r="K191" s="316"/>
      <c r="L191" s="317"/>
      <c r="M191" s="316"/>
      <c r="N191" s="317"/>
      <c r="O191" s="316"/>
      <c r="P191" s="317"/>
      <c r="Q191" s="316"/>
      <c r="R191" s="317"/>
      <c r="S191" s="316"/>
      <c r="T191" s="317"/>
      <c r="U191" s="316"/>
      <c r="V191" s="317"/>
      <c r="W191" s="316"/>
      <c r="X191" s="317"/>
      <c r="Y191" s="316"/>
      <c r="Z191" s="317"/>
      <c r="AA191" s="316"/>
      <c r="AB191" s="317"/>
      <c r="AC191" s="316"/>
      <c r="AD191" s="317"/>
      <c r="AE191" s="316"/>
      <c r="AF191" s="317"/>
      <c r="AG191" s="316"/>
      <c r="AH191" s="317"/>
      <c r="AI191" s="316"/>
      <c r="AJ191" s="317"/>
      <c r="AK191" s="316"/>
      <c r="AL191" s="317"/>
      <c r="AM191" s="316"/>
      <c r="AN191" s="317"/>
      <c r="AO191" s="316"/>
      <c r="AP191" s="317"/>
      <c r="AQ191" s="316"/>
      <c r="AR191" s="317"/>
      <c r="AS191" s="316"/>
      <c r="AT191" s="317"/>
      <c r="AU191" s="316"/>
      <c r="AV191" s="317"/>
      <c r="AW191" s="316"/>
      <c r="AX191" s="317"/>
      <c r="AY191" s="316"/>
      <c r="AZ191" s="317"/>
      <c r="BA191" s="316"/>
      <c r="BB191" s="317"/>
      <c r="BC191" s="316"/>
      <c r="BD191" s="317"/>
      <c r="BE191" s="316"/>
      <c r="BF191" s="317"/>
      <c r="BG191" s="316"/>
      <c r="BH191" s="317"/>
      <c r="BI191" s="316"/>
      <c r="BJ191" s="317"/>
      <c r="BK191" s="316"/>
      <c r="BL191" s="317"/>
      <c r="BM191" s="316"/>
      <c r="BN191" s="318"/>
      <c r="BO191" s="289">
        <f ca="1">SUMIF(E$4:$BN190,$E$4,E191:BN191)</f>
        <v>0</v>
      </c>
      <c r="BP191" s="286">
        <f>+VLOOKUP(A191,'Tổng,SUMMARY'!C:K,8,0)</f>
        <v>4700</v>
      </c>
      <c r="BQ191" s="293">
        <f t="shared" si="33"/>
        <v>-4700</v>
      </c>
    </row>
    <row r="192" spans="1:69" ht="18.75" hidden="1" customHeight="1">
      <c r="A192" s="320" t="s">
        <v>336</v>
      </c>
      <c r="B192" s="271" t="s">
        <v>337</v>
      </c>
      <c r="C192" s="315"/>
      <c r="D192" s="304">
        <f>SUMIF($E$4:BN$4,$F$4,E192:BN192)</f>
        <v>0</v>
      </c>
      <c r="E192" s="316"/>
      <c r="F192" s="317"/>
      <c r="G192" s="316"/>
      <c r="H192" s="317"/>
      <c r="I192" s="316"/>
      <c r="J192" s="317"/>
      <c r="K192" s="316"/>
      <c r="L192" s="317"/>
      <c r="M192" s="316"/>
      <c r="N192" s="317"/>
      <c r="O192" s="316"/>
      <c r="P192" s="317"/>
      <c r="Q192" s="316"/>
      <c r="R192" s="317"/>
      <c r="S192" s="316"/>
      <c r="T192" s="317"/>
      <c r="U192" s="316"/>
      <c r="V192" s="317"/>
      <c r="W192" s="316"/>
      <c r="X192" s="317"/>
      <c r="Y192" s="316"/>
      <c r="Z192" s="317"/>
      <c r="AA192" s="316"/>
      <c r="AB192" s="317"/>
      <c r="AC192" s="316"/>
      <c r="AD192" s="317"/>
      <c r="AE192" s="316"/>
      <c r="AF192" s="317"/>
      <c r="AG192" s="316"/>
      <c r="AH192" s="317"/>
      <c r="AI192" s="316"/>
      <c r="AJ192" s="317"/>
      <c r="AK192" s="316"/>
      <c r="AL192" s="317"/>
      <c r="AM192" s="316"/>
      <c r="AN192" s="317"/>
      <c r="AO192" s="316"/>
      <c r="AP192" s="317"/>
      <c r="AQ192" s="316"/>
      <c r="AR192" s="317"/>
      <c r="AS192" s="316"/>
      <c r="AT192" s="317"/>
      <c r="AU192" s="316"/>
      <c r="AV192" s="317"/>
      <c r="AW192" s="316"/>
      <c r="AX192" s="317"/>
      <c r="AY192" s="316"/>
      <c r="AZ192" s="317"/>
      <c r="BA192" s="316"/>
      <c r="BB192" s="317"/>
      <c r="BC192" s="316"/>
      <c r="BD192" s="317"/>
      <c r="BE192" s="316"/>
      <c r="BF192" s="317"/>
      <c r="BG192" s="316"/>
      <c r="BH192" s="317"/>
      <c r="BI192" s="316"/>
      <c r="BJ192" s="317"/>
      <c r="BK192" s="316"/>
      <c r="BL192" s="317"/>
      <c r="BM192" s="316"/>
      <c r="BN192" s="318"/>
      <c r="BO192" s="289">
        <f ca="1">SUMIF(E$4:$BN191,$E$4,E192:BN192)</f>
        <v>0</v>
      </c>
      <c r="BP192" s="286">
        <f>+VLOOKUP(A192,'Tổng,SUMMARY'!C:K,8,0)</f>
        <v>425</v>
      </c>
      <c r="BQ192" s="293">
        <f t="shared" si="33"/>
        <v>-425</v>
      </c>
    </row>
    <row r="193" spans="1:69" ht="18.75" hidden="1" customHeight="1">
      <c r="A193" s="320" t="s">
        <v>338</v>
      </c>
      <c r="B193" s="271" t="s">
        <v>339</v>
      </c>
      <c r="C193" s="315"/>
      <c r="D193" s="304">
        <f>SUMIF($E$4:BN$4,$F$4,E193:BN193)</f>
        <v>0</v>
      </c>
      <c r="E193" s="316"/>
      <c r="F193" s="317"/>
      <c r="G193" s="316"/>
      <c r="H193" s="317"/>
      <c r="I193" s="316"/>
      <c r="J193" s="317"/>
      <c r="K193" s="316"/>
      <c r="L193" s="317"/>
      <c r="M193" s="316"/>
      <c r="N193" s="317"/>
      <c r="O193" s="316"/>
      <c r="P193" s="317"/>
      <c r="Q193" s="316"/>
      <c r="R193" s="317"/>
      <c r="S193" s="316"/>
      <c r="T193" s="317"/>
      <c r="U193" s="316"/>
      <c r="V193" s="317"/>
      <c r="W193" s="316"/>
      <c r="X193" s="317"/>
      <c r="Y193" s="316"/>
      <c r="Z193" s="317"/>
      <c r="AA193" s="316"/>
      <c r="AB193" s="317"/>
      <c r="AC193" s="316"/>
      <c r="AD193" s="317"/>
      <c r="AE193" s="316"/>
      <c r="AF193" s="317"/>
      <c r="AG193" s="316"/>
      <c r="AH193" s="317"/>
      <c r="AI193" s="316"/>
      <c r="AJ193" s="317"/>
      <c r="AK193" s="316"/>
      <c r="AL193" s="317"/>
      <c r="AM193" s="316"/>
      <c r="AN193" s="317"/>
      <c r="AO193" s="316"/>
      <c r="AP193" s="317"/>
      <c r="AQ193" s="316"/>
      <c r="AR193" s="317"/>
      <c r="AS193" s="316"/>
      <c r="AT193" s="317"/>
      <c r="AU193" s="316"/>
      <c r="AV193" s="317"/>
      <c r="AW193" s="316"/>
      <c r="AX193" s="317"/>
      <c r="AY193" s="316"/>
      <c r="AZ193" s="317"/>
      <c r="BA193" s="316"/>
      <c r="BB193" s="317"/>
      <c r="BC193" s="316"/>
      <c r="BD193" s="317"/>
      <c r="BE193" s="316"/>
      <c r="BF193" s="317"/>
      <c r="BG193" s="316"/>
      <c r="BH193" s="317"/>
      <c r="BI193" s="316"/>
      <c r="BJ193" s="317"/>
      <c r="BK193" s="316"/>
      <c r="BL193" s="317"/>
      <c r="BM193" s="316"/>
      <c r="BN193" s="318"/>
      <c r="BP193" s="286">
        <f>+VLOOKUP(A193,'Tổng,SUMMARY'!C:K,8,0)</f>
        <v>400</v>
      </c>
      <c r="BQ193" s="293">
        <f t="shared" si="33"/>
        <v>-400</v>
      </c>
    </row>
    <row r="194" spans="1:69" ht="18.75" hidden="1" customHeight="1">
      <c r="A194" s="320" t="s">
        <v>340</v>
      </c>
      <c r="B194" s="271" t="s">
        <v>341</v>
      </c>
      <c r="C194" s="315"/>
      <c r="D194" s="304">
        <f>SUMIF($E$4:BN$4,$F$4,E194:BN194)</f>
        <v>0</v>
      </c>
      <c r="E194" s="316"/>
      <c r="F194" s="317"/>
      <c r="G194" s="316"/>
      <c r="H194" s="317"/>
      <c r="I194" s="316"/>
      <c r="J194" s="317"/>
      <c r="K194" s="316"/>
      <c r="L194" s="317"/>
      <c r="M194" s="316"/>
      <c r="N194" s="317"/>
      <c r="O194" s="316"/>
      <c r="P194" s="317"/>
      <c r="Q194" s="316"/>
      <c r="R194" s="317"/>
      <c r="S194" s="316"/>
      <c r="T194" s="317"/>
      <c r="U194" s="316"/>
      <c r="V194" s="317"/>
      <c r="W194" s="316"/>
      <c r="X194" s="317"/>
      <c r="Y194" s="316"/>
      <c r="Z194" s="317"/>
      <c r="AA194" s="316"/>
      <c r="AB194" s="317"/>
      <c r="AC194" s="316"/>
      <c r="AD194" s="317"/>
      <c r="AE194" s="316"/>
      <c r="AF194" s="317"/>
      <c r="AG194" s="316"/>
      <c r="AH194" s="317"/>
      <c r="AI194" s="316"/>
      <c r="AJ194" s="317"/>
      <c r="AK194" s="316"/>
      <c r="AL194" s="317"/>
      <c r="AM194" s="316"/>
      <c r="AN194" s="317"/>
      <c r="AO194" s="316"/>
      <c r="AP194" s="317"/>
      <c r="AQ194" s="316"/>
      <c r="AR194" s="317"/>
      <c r="AS194" s="316"/>
      <c r="AT194" s="317"/>
      <c r="AU194" s="316"/>
      <c r="AV194" s="317"/>
      <c r="AW194" s="316"/>
      <c r="AX194" s="317"/>
      <c r="AY194" s="316"/>
      <c r="AZ194" s="317"/>
      <c r="BA194" s="316"/>
      <c r="BB194" s="317"/>
      <c r="BC194" s="316"/>
      <c r="BD194" s="317"/>
      <c r="BE194" s="316"/>
      <c r="BF194" s="317"/>
      <c r="BG194" s="316"/>
      <c r="BH194" s="317"/>
      <c r="BI194" s="316"/>
      <c r="BJ194" s="317"/>
      <c r="BK194" s="316"/>
      <c r="BL194" s="317"/>
      <c r="BM194" s="316"/>
      <c r="BN194" s="318"/>
      <c r="BP194" s="286">
        <f>+VLOOKUP(A194,'Tổng,SUMMARY'!C:K,8,0)</f>
        <v>2250</v>
      </c>
      <c r="BQ194" s="293">
        <f t="shared" si="33"/>
        <v>-2250</v>
      </c>
    </row>
    <row r="195" spans="1:69" ht="18.75" hidden="1" customHeight="1">
      <c r="A195" s="320" t="s">
        <v>342</v>
      </c>
      <c r="B195" s="271" t="s">
        <v>343</v>
      </c>
      <c r="C195" s="315"/>
      <c r="D195" s="304">
        <f>SUMIF($E$4:BN$4,$F$4,E195:BN195)</f>
        <v>0</v>
      </c>
      <c r="E195" s="316"/>
      <c r="F195" s="317"/>
      <c r="G195" s="316"/>
      <c r="H195" s="317"/>
      <c r="I195" s="316"/>
      <c r="J195" s="317"/>
      <c r="K195" s="316"/>
      <c r="L195" s="317"/>
      <c r="M195" s="316"/>
      <c r="N195" s="317"/>
      <c r="O195" s="316"/>
      <c r="P195" s="317"/>
      <c r="Q195" s="316"/>
      <c r="R195" s="317"/>
      <c r="S195" s="316"/>
      <c r="T195" s="317"/>
      <c r="U195" s="316"/>
      <c r="V195" s="317"/>
      <c r="W195" s="316"/>
      <c r="X195" s="317"/>
      <c r="Y195" s="316"/>
      <c r="Z195" s="317"/>
      <c r="AA195" s="316"/>
      <c r="AB195" s="317"/>
      <c r="AC195" s="316"/>
      <c r="AD195" s="317"/>
      <c r="AE195" s="316"/>
      <c r="AF195" s="317"/>
      <c r="AG195" s="316"/>
      <c r="AH195" s="317"/>
      <c r="AI195" s="316"/>
      <c r="AJ195" s="317"/>
      <c r="AK195" s="316"/>
      <c r="AL195" s="317"/>
      <c r="AM195" s="316"/>
      <c r="AN195" s="317"/>
      <c r="AO195" s="316"/>
      <c r="AP195" s="317"/>
      <c r="AQ195" s="316"/>
      <c r="AR195" s="317"/>
      <c r="AS195" s="316"/>
      <c r="AT195" s="317"/>
      <c r="AU195" s="316"/>
      <c r="AV195" s="317"/>
      <c r="AW195" s="316"/>
      <c r="AX195" s="317"/>
      <c r="AY195" s="316"/>
      <c r="AZ195" s="317"/>
      <c r="BA195" s="316"/>
      <c r="BB195" s="317"/>
      <c r="BC195" s="316"/>
      <c r="BD195" s="317"/>
      <c r="BE195" s="316"/>
      <c r="BF195" s="317"/>
      <c r="BG195" s="316"/>
      <c r="BH195" s="317"/>
      <c r="BI195" s="316"/>
      <c r="BJ195" s="317"/>
      <c r="BK195" s="316"/>
      <c r="BL195" s="317"/>
      <c r="BM195" s="316"/>
      <c r="BN195" s="318"/>
      <c r="BP195" s="286">
        <f>+VLOOKUP(A195,'Tổng,SUMMARY'!C:K,8,0)</f>
        <v>650</v>
      </c>
      <c r="BQ195" s="293">
        <f t="shared" si="33"/>
        <v>-650</v>
      </c>
    </row>
    <row r="196" spans="1:69" ht="18.75" hidden="1" customHeight="1">
      <c r="A196" s="320" t="s">
        <v>344</v>
      </c>
      <c r="B196" s="271" t="s">
        <v>345</v>
      </c>
      <c r="C196" s="315"/>
      <c r="D196" s="304">
        <f>SUMIF($E$4:BN$4,$F$4,E196:BN196)</f>
        <v>0</v>
      </c>
      <c r="E196" s="316"/>
      <c r="F196" s="317"/>
      <c r="G196" s="316"/>
      <c r="H196" s="317"/>
      <c r="I196" s="316"/>
      <c r="J196" s="317"/>
      <c r="K196" s="316"/>
      <c r="L196" s="317"/>
      <c r="M196" s="316"/>
      <c r="N196" s="317"/>
      <c r="O196" s="316"/>
      <c r="P196" s="317"/>
      <c r="Q196" s="316"/>
      <c r="R196" s="317"/>
      <c r="S196" s="316"/>
      <c r="T196" s="317"/>
      <c r="U196" s="316"/>
      <c r="V196" s="317"/>
      <c r="W196" s="316"/>
      <c r="X196" s="317"/>
      <c r="Y196" s="316"/>
      <c r="Z196" s="317"/>
      <c r="AA196" s="316"/>
      <c r="AB196" s="317"/>
      <c r="AC196" s="316"/>
      <c r="AD196" s="317"/>
      <c r="AE196" s="316"/>
      <c r="AF196" s="317"/>
      <c r="AG196" s="316"/>
      <c r="AH196" s="317"/>
      <c r="AI196" s="316"/>
      <c r="AJ196" s="317"/>
      <c r="AK196" s="316"/>
      <c r="AL196" s="317"/>
      <c r="AM196" s="316"/>
      <c r="AN196" s="317"/>
      <c r="AO196" s="316"/>
      <c r="AP196" s="317"/>
      <c r="AQ196" s="316"/>
      <c r="AR196" s="317"/>
      <c r="AS196" s="316"/>
      <c r="AT196" s="317"/>
      <c r="AU196" s="316"/>
      <c r="AV196" s="317"/>
      <c r="AW196" s="316"/>
      <c r="AX196" s="317"/>
      <c r="AY196" s="316"/>
      <c r="AZ196" s="317"/>
      <c r="BA196" s="316"/>
      <c r="BB196" s="317"/>
      <c r="BC196" s="316"/>
      <c r="BD196" s="317"/>
      <c r="BE196" s="316"/>
      <c r="BF196" s="317"/>
      <c r="BG196" s="316"/>
      <c r="BH196" s="317"/>
      <c r="BI196" s="316"/>
      <c r="BJ196" s="317"/>
      <c r="BK196" s="316"/>
      <c r="BL196" s="317"/>
      <c r="BM196" s="316"/>
      <c r="BN196" s="318"/>
      <c r="BP196" s="286">
        <f>+VLOOKUP(A196,'Tổng,SUMMARY'!C:K,8,0)</f>
        <v>1600</v>
      </c>
      <c r="BQ196" s="293">
        <f t="shared" si="33"/>
        <v>-1600</v>
      </c>
    </row>
    <row r="197" spans="1:69" ht="18.75" customHeight="1">
      <c r="A197" s="320" t="s">
        <v>346</v>
      </c>
      <c r="B197" s="271" t="s">
        <v>347</v>
      </c>
      <c r="C197" s="315"/>
      <c r="D197" s="304">
        <f>SUMIF($E$4:BN$4,$F$4,E197:BN197)</f>
        <v>4000</v>
      </c>
      <c r="E197" s="316"/>
      <c r="F197" s="317"/>
      <c r="G197" s="316"/>
      <c r="H197" s="317"/>
      <c r="I197" s="316"/>
      <c r="J197" s="317">
        <f>2000+2000</f>
        <v>4000</v>
      </c>
      <c r="K197" s="316"/>
      <c r="L197" s="317"/>
      <c r="M197" s="316"/>
      <c r="N197" s="317"/>
      <c r="O197" s="316"/>
      <c r="P197" s="317"/>
      <c r="Q197" s="316"/>
      <c r="R197" s="317"/>
      <c r="S197" s="316"/>
      <c r="T197" s="317"/>
      <c r="U197" s="316"/>
      <c r="V197" s="317"/>
      <c r="W197" s="316"/>
      <c r="X197" s="317"/>
      <c r="Y197" s="316"/>
      <c r="Z197" s="317"/>
      <c r="AA197" s="316"/>
      <c r="AB197" s="317"/>
      <c r="AC197" s="316"/>
      <c r="AD197" s="317"/>
      <c r="AE197" s="316"/>
      <c r="AF197" s="317"/>
      <c r="AG197" s="316"/>
      <c r="AH197" s="317"/>
      <c r="AI197" s="316"/>
      <c r="AJ197" s="317"/>
      <c r="AK197" s="316"/>
      <c r="AL197" s="317"/>
      <c r="AM197" s="316"/>
      <c r="AN197" s="317"/>
      <c r="AO197" s="316"/>
      <c r="AP197" s="317"/>
      <c r="AQ197" s="316"/>
      <c r="AR197" s="317"/>
      <c r="AS197" s="316"/>
      <c r="AT197" s="317"/>
      <c r="AU197" s="316"/>
      <c r="AV197" s="317"/>
      <c r="AW197" s="316"/>
      <c r="AX197" s="317"/>
      <c r="AY197" s="316"/>
      <c r="AZ197" s="317"/>
      <c r="BA197" s="316"/>
      <c r="BB197" s="317"/>
      <c r="BC197" s="316"/>
      <c r="BD197" s="317"/>
      <c r="BE197" s="316"/>
      <c r="BF197" s="317"/>
      <c r="BG197" s="316"/>
      <c r="BH197" s="317"/>
      <c r="BI197" s="316"/>
      <c r="BJ197" s="317"/>
      <c r="BK197" s="316"/>
      <c r="BL197" s="317"/>
      <c r="BM197" s="316"/>
      <c r="BN197" s="318"/>
      <c r="BP197" s="286">
        <f>+VLOOKUP(A197,'Tổng,SUMMARY'!C:K,8,0)</f>
        <v>3650</v>
      </c>
      <c r="BQ197" s="293">
        <f t="shared" si="33"/>
        <v>350</v>
      </c>
    </row>
    <row r="198" spans="1:69" ht="18.75" hidden="1" customHeight="1">
      <c r="A198" s="320" t="s">
        <v>348</v>
      </c>
      <c r="B198" s="271" t="s">
        <v>349</v>
      </c>
      <c r="C198" s="315"/>
      <c r="D198" s="304">
        <f>SUMIF($E$4:BN$4,$F$4,E198:BN198)</f>
        <v>0</v>
      </c>
      <c r="E198" s="316"/>
      <c r="F198" s="317"/>
      <c r="G198" s="316"/>
      <c r="H198" s="317"/>
      <c r="I198" s="316"/>
      <c r="J198" s="317"/>
      <c r="K198" s="316"/>
      <c r="L198" s="317"/>
      <c r="M198" s="316"/>
      <c r="N198" s="317"/>
      <c r="O198" s="316"/>
      <c r="P198" s="317"/>
      <c r="Q198" s="316"/>
      <c r="R198" s="317"/>
      <c r="S198" s="316"/>
      <c r="T198" s="317"/>
      <c r="U198" s="316"/>
      <c r="V198" s="317"/>
      <c r="W198" s="316"/>
      <c r="X198" s="317"/>
      <c r="Y198" s="316"/>
      <c r="Z198" s="317"/>
      <c r="AA198" s="316"/>
      <c r="AB198" s="317"/>
      <c r="AC198" s="316"/>
      <c r="AD198" s="317"/>
      <c r="AE198" s="316"/>
      <c r="AF198" s="317"/>
      <c r="AG198" s="316"/>
      <c r="AH198" s="317"/>
      <c r="AI198" s="316"/>
      <c r="AJ198" s="317"/>
      <c r="AK198" s="316"/>
      <c r="AL198" s="317"/>
      <c r="AM198" s="316"/>
      <c r="AN198" s="317"/>
      <c r="AO198" s="316"/>
      <c r="AP198" s="317"/>
      <c r="AQ198" s="316"/>
      <c r="AR198" s="317"/>
      <c r="AS198" s="316"/>
      <c r="AT198" s="317"/>
      <c r="AU198" s="316"/>
      <c r="AV198" s="317"/>
      <c r="AW198" s="316"/>
      <c r="AX198" s="317"/>
      <c r="AY198" s="316"/>
      <c r="AZ198" s="317"/>
      <c r="BA198" s="316"/>
      <c r="BB198" s="317"/>
      <c r="BC198" s="316"/>
      <c r="BD198" s="317"/>
      <c r="BE198" s="316"/>
      <c r="BF198" s="317"/>
      <c r="BG198" s="316"/>
      <c r="BH198" s="317"/>
      <c r="BI198" s="316"/>
      <c r="BJ198" s="317"/>
      <c r="BK198" s="316"/>
      <c r="BL198" s="317"/>
      <c r="BM198" s="316"/>
      <c r="BN198" s="318"/>
      <c r="BP198" s="286">
        <f>+VLOOKUP(A198,'Tổng,SUMMARY'!C:K,8,0)</f>
        <v>1400</v>
      </c>
      <c r="BQ198" s="293">
        <f t="shared" si="33"/>
        <v>-1400</v>
      </c>
    </row>
    <row r="199" spans="1:69" ht="18.75" hidden="1" customHeight="1">
      <c r="A199" s="320" t="s">
        <v>350</v>
      </c>
      <c r="B199" s="271" t="s">
        <v>351</v>
      </c>
      <c r="C199" s="315"/>
      <c r="D199" s="304">
        <f>SUMIF($E$4:BN$4,$F$4,E199:BN199)</f>
        <v>0</v>
      </c>
      <c r="E199" s="316"/>
      <c r="F199" s="317"/>
      <c r="G199" s="316"/>
      <c r="H199" s="317"/>
      <c r="I199" s="316"/>
      <c r="J199" s="317"/>
      <c r="K199" s="316"/>
      <c r="L199" s="317"/>
      <c r="M199" s="316"/>
      <c r="N199" s="317"/>
      <c r="O199" s="316"/>
      <c r="P199" s="317"/>
      <c r="Q199" s="316"/>
      <c r="R199" s="317"/>
      <c r="S199" s="316"/>
      <c r="T199" s="317"/>
      <c r="U199" s="316"/>
      <c r="V199" s="317"/>
      <c r="W199" s="316"/>
      <c r="X199" s="317"/>
      <c r="Y199" s="316"/>
      <c r="Z199" s="317"/>
      <c r="AA199" s="316"/>
      <c r="AB199" s="317"/>
      <c r="AC199" s="316"/>
      <c r="AD199" s="317"/>
      <c r="AE199" s="316"/>
      <c r="AF199" s="317"/>
      <c r="AG199" s="316"/>
      <c r="AH199" s="317"/>
      <c r="AI199" s="316"/>
      <c r="AJ199" s="317"/>
      <c r="AK199" s="316"/>
      <c r="AL199" s="317"/>
      <c r="AM199" s="316"/>
      <c r="AN199" s="317"/>
      <c r="AO199" s="316"/>
      <c r="AP199" s="317"/>
      <c r="AQ199" s="316"/>
      <c r="AR199" s="317"/>
      <c r="AS199" s="316"/>
      <c r="AT199" s="317"/>
      <c r="AU199" s="316"/>
      <c r="AV199" s="317"/>
      <c r="AW199" s="316"/>
      <c r="AX199" s="317"/>
      <c r="AY199" s="316"/>
      <c r="AZ199" s="317"/>
      <c r="BA199" s="316"/>
      <c r="BB199" s="317"/>
      <c r="BC199" s="316"/>
      <c r="BD199" s="317"/>
      <c r="BE199" s="316"/>
      <c r="BF199" s="317"/>
      <c r="BG199" s="316"/>
      <c r="BH199" s="317"/>
      <c r="BI199" s="316"/>
      <c r="BJ199" s="317"/>
      <c r="BK199" s="316"/>
      <c r="BL199" s="317"/>
      <c r="BM199" s="316"/>
      <c r="BN199" s="318"/>
      <c r="BP199" s="286">
        <f>+VLOOKUP(A199,'Tổng,SUMMARY'!C:K,8,0)</f>
        <v>5600</v>
      </c>
      <c r="BQ199" s="293">
        <f t="shared" si="33"/>
        <v>-5600</v>
      </c>
    </row>
    <row r="200" spans="1:69" ht="18.75" hidden="1" customHeight="1">
      <c r="A200" s="320" t="s">
        <v>352</v>
      </c>
      <c r="B200" s="271" t="s">
        <v>353</v>
      </c>
      <c r="C200" s="315"/>
      <c r="D200" s="304">
        <f>SUMIF($E$4:BN$4,$F$4,E200:BN200)</f>
        <v>0</v>
      </c>
      <c r="E200" s="316"/>
      <c r="F200" s="317"/>
      <c r="G200" s="316"/>
      <c r="H200" s="317"/>
      <c r="I200" s="316"/>
      <c r="J200" s="317"/>
      <c r="K200" s="316"/>
      <c r="L200" s="317"/>
      <c r="M200" s="316"/>
      <c r="N200" s="317"/>
      <c r="O200" s="316"/>
      <c r="P200" s="317"/>
      <c r="Q200" s="316"/>
      <c r="R200" s="317"/>
      <c r="S200" s="316"/>
      <c r="T200" s="317"/>
      <c r="U200" s="316"/>
      <c r="V200" s="317"/>
      <c r="W200" s="316"/>
      <c r="X200" s="317"/>
      <c r="Y200" s="316"/>
      <c r="Z200" s="317"/>
      <c r="AA200" s="316"/>
      <c r="AB200" s="317"/>
      <c r="AC200" s="316"/>
      <c r="AD200" s="317"/>
      <c r="AE200" s="316"/>
      <c r="AF200" s="317"/>
      <c r="AG200" s="316"/>
      <c r="AH200" s="317"/>
      <c r="AI200" s="316"/>
      <c r="AJ200" s="317"/>
      <c r="AK200" s="316"/>
      <c r="AL200" s="317"/>
      <c r="AM200" s="316"/>
      <c r="AN200" s="317"/>
      <c r="AO200" s="316"/>
      <c r="AP200" s="317"/>
      <c r="AQ200" s="316"/>
      <c r="AR200" s="317"/>
      <c r="AS200" s="316"/>
      <c r="AT200" s="317"/>
      <c r="AU200" s="316"/>
      <c r="AV200" s="317"/>
      <c r="AW200" s="316"/>
      <c r="AX200" s="317"/>
      <c r="AY200" s="316"/>
      <c r="AZ200" s="317"/>
      <c r="BA200" s="316"/>
      <c r="BB200" s="317"/>
      <c r="BC200" s="316"/>
      <c r="BD200" s="317"/>
      <c r="BE200" s="316"/>
      <c r="BF200" s="317"/>
      <c r="BG200" s="316"/>
      <c r="BH200" s="317"/>
      <c r="BI200" s="316"/>
      <c r="BJ200" s="317"/>
      <c r="BK200" s="316"/>
      <c r="BL200" s="317"/>
      <c r="BM200" s="316"/>
      <c r="BN200" s="318"/>
      <c r="BP200" s="286">
        <f>+VLOOKUP(A200,'Tổng,SUMMARY'!C:K,8,0)</f>
        <v>4900</v>
      </c>
      <c r="BQ200" s="293">
        <f t="shared" si="33"/>
        <v>-4900</v>
      </c>
    </row>
    <row r="201" spans="1:69" ht="18.75" hidden="1" customHeight="1">
      <c r="A201" s="320" t="s">
        <v>354</v>
      </c>
      <c r="B201" s="271" t="s">
        <v>355</v>
      </c>
      <c r="C201" s="315"/>
      <c r="D201" s="304">
        <f>SUMIF($E$4:BN$4,$F$4,E201:BN201)</f>
        <v>0</v>
      </c>
      <c r="E201" s="316"/>
      <c r="F201" s="317"/>
      <c r="G201" s="316"/>
      <c r="H201" s="317"/>
      <c r="I201" s="316"/>
      <c r="J201" s="317"/>
      <c r="K201" s="316"/>
      <c r="L201" s="317"/>
      <c r="M201" s="316"/>
      <c r="N201" s="317"/>
      <c r="O201" s="316"/>
      <c r="P201" s="317"/>
      <c r="Q201" s="316"/>
      <c r="R201" s="317"/>
      <c r="S201" s="316"/>
      <c r="T201" s="317"/>
      <c r="U201" s="316"/>
      <c r="V201" s="317"/>
      <c r="W201" s="316"/>
      <c r="X201" s="317"/>
      <c r="Y201" s="316"/>
      <c r="Z201" s="317"/>
      <c r="AA201" s="316"/>
      <c r="AB201" s="317"/>
      <c r="AC201" s="316"/>
      <c r="AD201" s="317"/>
      <c r="AE201" s="316"/>
      <c r="AF201" s="317"/>
      <c r="AG201" s="316"/>
      <c r="AH201" s="317"/>
      <c r="AI201" s="316"/>
      <c r="AJ201" s="317"/>
      <c r="AK201" s="316"/>
      <c r="AL201" s="317"/>
      <c r="AM201" s="316"/>
      <c r="AN201" s="317"/>
      <c r="AO201" s="316"/>
      <c r="AP201" s="317"/>
      <c r="AQ201" s="316"/>
      <c r="AR201" s="317"/>
      <c r="AS201" s="316"/>
      <c r="AT201" s="317"/>
      <c r="AU201" s="316"/>
      <c r="AV201" s="317"/>
      <c r="AW201" s="316"/>
      <c r="AX201" s="317"/>
      <c r="AY201" s="316"/>
      <c r="AZ201" s="317"/>
      <c r="BA201" s="316"/>
      <c r="BB201" s="317"/>
      <c r="BC201" s="316"/>
      <c r="BD201" s="317"/>
      <c r="BE201" s="316"/>
      <c r="BF201" s="317"/>
      <c r="BG201" s="316"/>
      <c r="BH201" s="317"/>
      <c r="BI201" s="316"/>
      <c r="BJ201" s="317"/>
      <c r="BK201" s="316"/>
      <c r="BL201" s="317"/>
      <c r="BM201" s="316"/>
      <c r="BN201" s="318"/>
      <c r="BP201" s="286">
        <f>+VLOOKUP(A201,'Tổng,SUMMARY'!C:K,8,0)</f>
        <v>600</v>
      </c>
      <c r="BQ201" s="293">
        <f t="shared" si="33"/>
        <v>-600</v>
      </c>
    </row>
    <row r="202" spans="1:69" ht="18" hidden="1" customHeight="1">
      <c r="A202" s="320" t="s">
        <v>356</v>
      </c>
      <c r="B202" s="271" t="s">
        <v>357</v>
      </c>
      <c r="C202" s="315"/>
      <c r="D202" s="304">
        <f>SUMIF($E$4:BN$4,$F$4,E202:BN202)</f>
        <v>0</v>
      </c>
      <c r="E202" s="316"/>
      <c r="F202" s="317"/>
      <c r="G202" s="316"/>
      <c r="H202" s="317"/>
      <c r="I202" s="316"/>
      <c r="J202" s="317"/>
      <c r="K202" s="316"/>
      <c r="L202" s="317"/>
      <c r="M202" s="316"/>
      <c r="N202" s="317"/>
      <c r="O202" s="316"/>
      <c r="P202" s="317"/>
      <c r="Q202" s="316"/>
      <c r="R202" s="317"/>
      <c r="S202" s="316"/>
      <c r="T202" s="317"/>
      <c r="U202" s="316"/>
      <c r="V202" s="317"/>
      <c r="W202" s="316"/>
      <c r="X202" s="317"/>
      <c r="Y202" s="316"/>
      <c r="Z202" s="317"/>
      <c r="AA202" s="316"/>
      <c r="AB202" s="317"/>
      <c r="AC202" s="316"/>
      <c r="AD202" s="317"/>
      <c r="AE202" s="316"/>
      <c r="AF202" s="317"/>
      <c r="AG202" s="316"/>
      <c r="AH202" s="317"/>
      <c r="AI202" s="316"/>
      <c r="AJ202" s="317"/>
      <c r="AK202" s="316"/>
      <c r="AL202" s="317"/>
      <c r="AM202" s="316"/>
      <c r="AN202" s="317"/>
      <c r="AO202" s="316"/>
      <c r="AP202" s="317"/>
      <c r="AQ202" s="316"/>
      <c r="AR202" s="317"/>
      <c r="AS202" s="316"/>
      <c r="AT202" s="317"/>
      <c r="AU202" s="316"/>
      <c r="AV202" s="317"/>
      <c r="AW202" s="316"/>
      <c r="AX202" s="317"/>
      <c r="AY202" s="316"/>
      <c r="AZ202" s="317"/>
      <c r="BA202" s="316"/>
      <c r="BB202" s="317"/>
      <c r="BC202" s="316"/>
      <c r="BD202" s="317"/>
      <c r="BE202" s="316"/>
      <c r="BF202" s="317"/>
      <c r="BG202" s="316"/>
      <c r="BH202" s="317"/>
      <c r="BI202" s="316"/>
      <c r="BJ202" s="317"/>
      <c r="BK202" s="316"/>
      <c r="BL202" s="317"/>
      <c r="BM202" s="316"/>
      <c r="BN202" s="318"/>
      <c r="BO202" s="289">
        <f ca="1">SUMIF(E$4:$BN190,$E$4,E202:BN202)</f>
        <v>0</v>
      </c>
      <c r="BP202" s="286">
        <f>+VLOOKUP(A202,'Tổng,SUMMARY'!C:K,8,0)</f>
        <v>3800</v>
      </c>
      <c r="BQ202" s="293">
        <f t="shared" si="33"/>
        <v>-3800</v>
      </c>
    </row>
    <row r="203" spans="1:69" ht="18" hidden="1" customHeight="1">
      <c r="A203" s="320" t="s">
        <v>358</v>
      </c>
      <c r="B203" s="271" t="s">
        <v>359</v>
      </c>
      <c r="C203" s="315"/>
      <c r="D203" s="304">
        <f>SUMIF($E$4:BN$4,$F$4,E203:BN203)</f>
        <v>0</v>
      </c>
      <c r="E203" s="316"/>
      <c r="F203" s="317"/>
      <c r="G203" s="316"/>
      <c r="H203" s="317"/>
      <c r="I203" s="316"/>
      <c r="J203" s="317"/>
      <c r="K203" s="316"/>
      <c r="L203" s="317"/>
      <c r="M203" s="316"/>
      <c r="N203" s="317"/>
      <c r="O203" s="316"/>
      <c r="P203" s="317"/>
      <c r="Q203" s="316"/>
      <c r="R203" s="317"/>
      <c r="S203" s="316"/>
      <c r="T203" s="317"/>
      <c r="U203" s="316"/>
      <c r="V203" s="317"/>
      <c r="W203" s="316"/>
      <c r="X203" s="317"/>
      <c r="Y203" s="316"/>
      <c r="Z203" s="317"/>
      <c r="AA203" s="316"/>
      <c r="AB203" s="317"/>
      <c r="AC203" s="316"/>
      <c r="AD203" s="317"/>
      <c r="AE203" s="316"/>
      <c r="AF203" s="317"/>
      <c r="AG203" s="316"/>
      <c r="AH203" s="317"/>
      <c r="AI203" s="316"/>
      <c r="AJ203" s="317"/>
      <c r="AK203" s="316"/>
      <c r="AL203" s="317"/>
      <c r="AM203" s="316"/>
      <c r="AN203" s="317"/>
      <c r="AO203" s="316"/>
      <c r="AP203" s="317"/>
      <c r="AQ203" s="316"/>
      <c r="AR203" s="317"/>
      <c r="AS203" s="316"/>
      <c r="AT203" s="317"/>
      <c r="AU203" s="316"/>
      <c r="AV203" s="317"/>
      <c r="AW203" s="316"/>
      <c r="AX203" s="317"/>
      <c r="AY203" s="316"/>
      <c r="AZ203" s="317"/>
      <c r="BA203" s="316"/>
      <c r="BB203" s="317"/>
      <c r="BC203" s="316"/>
      <c r="BD203" s="317"/>
      <c r="BE203" s="316"/>
      <c r="BF203" s="317"/>
      <c r="BG203" s="316"/>
      <c r="BH203" s="317"/>
      <c r="BI203" s="316"/>
      <c r="BJ203" s="317"/>
      <c r="BK203" s="316"/>
      <c r="BL203" s="317"/>
      <c r="BM203" s="316"/>
      <c r="BN203" s="318"/>
      <c r="BO203" s="289">
        <f ca="1">SUMIF(E$4:$BN191,$E$4,E203:BN203)</f>
        <v>0</v>
      </c>
      <c r="BP203" s="286">
        <f>+VLOOKUP(A203,'Tổng,SUMMARY'!C:K,8,0)</f>
        <v>1050</v>
      </c>
      <c r="BQ203" s="293">
        <f t="shared" si="33"/>
        <v>-1050</v>
      </c>
    </row>
    <row r="204" spans="1:69" ht="18" hidden="1" customHeight="1">
      <c r="A204" s="320" t="s">
        <v>360</v>
      </c>
      <c r="B204" s="271" t="s">
        <v>361</v>
      </c>
      <c r="C204" s="315"/>
      <c r="D204" s="304">
        <f>SUMIF($E$4:BN$4,$F$4,E204:BN204)</f>
        <v>0</v>
      </c>
      <c r="E204" s="316"/>
      <c r="F204" s="317"/>
      <c r="G204" s="316"/>
      <c r="H204" s="317"/>
      <c r="I204" s="316"/>
      <c r="J204" s="317"/>
      <c r="K204" s="316"/>
      <c r="L204" s="317"/>
      <c r="M204" s="316"/>
      <c r="N204" s="317"/>
      <c r="O204" s="316"/>
      <c r="P204" s="317"/>
      <c r="Q204" s="316"/>
      <c r="R204" s="317"/>
      <c r="S204" s="316"/>
      <c r="T204" s="317"/>
      <c r="U204" s="316"/>
      <c r="V204" s="317"/>
      <c r="W204" s="316"/>
      <c r="X204" s="317"/>
      <c r="Y204" s="316"/>
      <c r="Z204" s="317"/>
      <c r="AA204" s="316"/>
      <c r="AB204" s="317"/>
      <c r="AC204" s="316"/>
      <c r="AD204" s="317"/>
      <c r="AE204" s="316"/>
      <c r="AF204" s="317"/>
      <c r="AG204" s="316"/>
      <c r="AH204" s="317"/>
      <c r="AI204" s="316"/>
      <c r="AJ204" s="317"/>
      <c r="AK204" s="316"/>
      <c r="AL204" s="317"/>
      <c r="AM204" s="316"/>
      <c r="AN204" s="317"/>
      <c r="AO204" s="316"/>
      <c r="AP204" s="317"/>
      <c r="AQ204" s="316"/>
      <c r="AR204" s="317"/>
      <c r="AS204" s="316"/>
      <c r="AT204" s="317"/>
      <c r="AU204" s="316"/>
      <c r="AV204" s="317"/>
      <c r="AW204" s="316"/>
      <c r="AX204" s="317"/>
      <c r="AY204" s="316"/>
      <c r="AZ204" s="317"/>
      <c r="BA204" s="316"/>
      <c r="BB204" s="317"/>
      <c r="BC204" s="316"/>
      <c r="BD204" s="317"/>
      <c r="BE204" s="316"/>
      <c r="BF204" s="317"/>
      <c r="BG204" s="316"/>
      <c r="BH204" s="317"/>
      <c r="BI204" s="316"/>
      <c r="BJ204" s="317"/>
      <c r="BK204" s="316"/>
      <c r="BL204" s="317"/>
      <c r="BM204" s="316"/>
      <c r="BN204" s="318"/>
      <c r="BP204" s="286">
        <f>+VLOOKUP(A204,'Tổng,SUMMARY'!C:K,8,0)</f>
        <v>350</v>
      </c>
      <c r="BQ204" s="293">
        <f t="shared" si="33"/>
        <v>-350</v>
      </c>
    </row>
    <row r="205" spans="1:69" ht="18" hidden="1" customHeight="1">
      <c r="A205" s="320" t="s">
        <v>362</v>
      </c>
      <c r="B205" s="271" t="s">
        <v>256</v>
      </c>
      <c r="C205" s="315"/>
      <c r="D205" s="304">
        <f>SUMIF($E$4:BN$4,$F$4,E205:BN205)</f>
        <v>0</v>
      </c>
      <c r="E205" s="316"/>
      <c r="F205" s="317"/>
      <c r="G205" s="316"/>
      <c r="H205" s="317"/>
      <c r="I205" s="316"/>
      <c r="J205" s="317"/>
      <c r="K205" s="316"/>
      <c r="L205" s="317"/>
      <c r="M205" s="316"/>
      <c r="N205" s="317"/>
      <c r="O205" s="316"/>
      <c r="P205" s="317"/>
      <c r="Q205" s="316"/>
      <c r="R205" s="317"/>
      <c r="S205" s="316"/>
      <c r="T205" s="317"/>
      <c r="U205" s="316"/>
      <c r="V205" s="317"/>
      <c r="W205" s="316"/>
      <c r="X205" s="317"/>
      <c r="Y205" s="316"/>
      <c r="Z205" s="317"/>
      <c r="AA205" s="316"/>
      <c r="AB205" s="317"/>
      <c r="AC205" s="316"/>
      <c r="AD205" s="317"/>
      <c r="AE205" s="316"/>
      <c r="AF205" s="317"/>
      <c r="AG205" s="316"/>
      <c r="AH205" s="317"/>
      <c r="AI205" s="316"/>
      <c r="AJ205" s="317"/>
      <c r="AK205" s="316"/>
      <c r="AL205" s="317"/>
      <c r="AM205" s="316"/>
      <c r="AN205" s="317"/>
      <c r="AO205" s="316"/>
      <c r="AP205" s="317"/>
      <c r="AQ205" s="316"/>
      <c r="AR205" s="317"/>
      <c r="AS205" s="316"/>
      <c r="AT205" s="317"/>
      <c r="AU205" s="316"/>
      <c r="AV205" s="317"/>
      <c r="AW205" s="316"/>
      <c r="AX205" s="317"/>
      <c r="AY205" s="316"/>
      <c r="AZ205" s="317"/>
      <c r="BA205" s="316"/>
      <c r="BB205" s="317"/>
      <c r="BC205" s="316"/>
      <c r="BD205" s="317"/>
      <c r="BE205" s="316"/>
      <c r="BF205" s="317"/>
      <c r="BG205" s="316"/>
      <c r="BH205" s="317"/>
      <c r="BI205" s="316"/>
      <c r="BJ205" s="317"/>
      <c r="BK205" s="316"/>
      <c r="BL205" s="317"/>
      <c r="BM205" s="316"/>
      <c r="BN205" s="318"/>
      <c r="BP205" s="286">
        <f>+VLOOKUP(A205,'Tổng,SUMMARY'!C:K,8,0)</f>
        <v>0</v>
      </c>
      <c r="BQ205" s="293">
        <f t="shared" si="33"/>
        <v>0</v>
      </c>
    </row>
    <row r="206" spans="1:69" ht="18" hidden="1" customHeight="1">
      <c r="A206" s="320" t="s">
        <v>363</v>
      </c>
      <c r="B206" s="271" t="s">
        <v>364</v>
      </c>
      <c r="C206" s="315"/>
      <c r="D206" s="304">
        <f>SUMIF($E$4:BN$4,$F$4,E206:BN206)</f>
        <v>0</v>
      </c>
      <c r="E206" s="316"/>
      <c r="F206" s="317"/>
      <c r="G206" s="316"/>
      <c r="H206" s="317"/>
      <c r="I206" s="316"/>
      <c r="J206" s="317"/>
      <c r="K206" s="316"/>
      <c r="L206" s="317"/>
      <c r="M206" s="316"/>
      <c r="N206" s="317"/>
      <c r="O206" s="316"/>
      <c r="P206" s="317"/>
      <c r="Q206" s="316"/>
      <c r="R206" s="317"/>
      <c r="S206" s="316"/>
      <c r="T206" s="317"/>
      <c r="U206" s="316"/>
      <c r="V206" s="317"/>
      <c r="W206" s="316"/>
      <c r="X206" s="317"/>
      <c r="Y206" s="316"/>
      <c r="Z206" s="317"/>
      <c r="AA206" s="316"/>
      <c r="AB206" s="317"/>
      <c r="AC206" s="316"/>
      <c r="AD206" s="317"/>
      <c r="AE206" s="316"/>
      <c r="AF206" s="317"/>
      <c r="AG206" s="316"/>
      <c r="AH206" s="317"/>
      <c r="AI206" s="316"/>
      <c r="AJ206" s="317"/>
      <c r="AK206" s="316"/>
      <c r="AL206" s="317"/>
      <c r="AM206" s="316"/>
      <c r="AN206" s="317"/>
      <c r="AO206" s="316"/>
      <c r="AP206" s="317"/>
      <c r="AQ206" s="316"/>
      <c r="AR206" s="317"/>
      <c r="AS206" s="316"/>
      <c r="AT206" s="317"/>
      <c r="AU206" s="316"/>
      <c r="AV206" s="317"/>
      <c r="AW206" s="316"/>
      <c r="AX206" s="317"/>
      <c r="AY206" s="316"/>
      <c r="AZ206" s="317"/>
      <c r="BA206" s="316"/>
      <c r="BB206" s="317"/>
      <c r="BC206" s="316"/>
      <c r="BD206" s="317"/>
      <c r="BE206" s="316"/>
      <c r="BF206" s="317"/>
      <c r="BG206" s="316"/>
      <c r="BH206" s="317"/>
      <c r="BI206" s="316"/>
      <c r="BJ206" s="317"/>
      <c r="BK206" s="316"/>
      <c r="BL206" s="317"/>
      <c r="BM206" s="316"/>
      <c r="BN206" s="318"/>
      <c r="BP206" s="286">
        <f>+VLOOKUP(A206,'Tổng,SUMMARY'!C:K,8,0)</f>
        <v>5850</v>
      </c>
      <c r="BQ206" s="293">
        <f t="shared" si="33"/>
        <v>-5850</v>
      </c>
    </row>
    <row r="207" spans="1:69" ht="18" hidden="1" customHeight="1">
      <c r="A207" s="320" t="s">
        <v>365</v>
      </c>
      <c r="B207" s="271" t="s">
        <v>366</v>
      </c>
      <c r="C207" s="315"/>
      <c r="D207" s="304">
        <f>SUMIF($E$4:BN$4,$F$4,E207:BN207)</f>
        <v>0</v>
      </c>
      <c r="E207" s="316"/>
      <c r="F207" s="317"/>
      <c r="G207" s="316"/>
      <c r="H207" s="317"/>
      <c r="I207" s="316"/>
      <c r="J207" s="317"/>
      <c r="K207" s="316"/>
      <c r="L207" s="317"/>
      <c r="M207" s="316"/>
      <c r="N207" s="317"/>
      <c r="O207" s="316"/>
      <c r="P207" s="317"/>
      <c r="Q207" s="316"/>
      <c r="R207" s="317"/>
      <c r="S207" s="316"/>
      <c r="T207" s="317"/>
      <c r="U207" s="316"/>
      <c r="V207" s="317"/>
      <c r="W207" s="316"/>
      <c r="X207" s="317"/>
      <c r="Y207" s="316"/>
      <c r="Z207" s="317"/>
      <c r="AA207" s="316"/>
      <c r="AB207" s="317"/>
      <c r="AC207" s="316"/>
      <c r="AD207" s="317"/>
      <c r="AE207" s="316"/>
      <c r="AF207" s="317"/>
      <c r="AG207" s="316"/>
      <c r="AH207" s="317"/>
      <c r="AI207" s="316"/>
      <c r="AJ207" s="317"/>
      <c r="AK207" s="316"/>
      <c r="AL207" s="317"/>
      <c r="AM207" s="316"/>
      <c r="AN207" s="317"/>
      <c r="AO207" s="316"/>
      <c r="AP207" s="317"/>
      <c r="AQ207" s="316"/>
      <c r="AR207" s="317"/>
      <c r="AS207" s="316"/>
      <c r="AT207" s="317"/>
      <c r="AU207" s="316"/>
      <c r="AV207" s="317"/>
      <c r="AW207" s="316"/>
      <c r="AX207" s="317"/>
      <c r="AY207" s="316"/>
      <c r="AZ207" s="317"/>
      <c r="BA207" s="316"/>
      <c r="BB207" s="317"/>
      <c r="BC207" s="316"/>
      <c r="BD207" s="317"/>
      <c r="BE207" s="316"/>
      <c r="BF207" s="317"/>
      <c r="BG207" s="316"/>
      <c r="BH207" s="317"/>
      <c r="BI207" s="316"/>
      <c r="BJ207" s="317"/>
      <c r="BK207" s="316"/>
      <c r="BL207" s="317"/>
      <c r="BM207" s="316"/>
      <c r="BN207" s="318"/>
      <c r="BP207" s="286">
        <f>+VLOOKUP(A207,'Tổng,SUMMARY'!C:K,8,0)</f>
        <v>0</v>
      </c>
      <c r="BQ207" s="293">
        <f t="shared" si="33"/>
        <v>0</v>
      </c>
    </row>
    <row r="208" spans="1:69" ht="18" hidden="1" customHeight="1">
      <c r="A208" s="320" t="s">
        <v>367</v>
      </c>
      <c r="B208" s="271" t="s">
        <v>368</v>
      </c>
      <c r="C208" s="315"/>
      <c r="D208" s="304">
        <f>SUMIF($E$4:BN$4,$F$4,E208:BN208)</f>
        <v>0</v>
      </c>
      <c r="E208" s="316"/>
      <c r="F208" s="317"/>
      <c r="G208" s="316"/>
      <c r="H208" s="317"/>
      <c r="I208" s="316"/>
      <c r="J208" s="317"/>
      <c r="K208" s="316"/>
      <c r="L208" s="317"/>
      <c r="M208" s="316"/>
      <c r="N208" s="317"/>
      <c r="O208" s="316"/>
      <c r="P208" s="317"/>
      <c r="Q208" s="316"/>
      <c r="R208" s="317"/>
      <c r="S208" s="316"/>
      <c r="T208" s="317"/>
      <c r="U208" s="316"/>
      <c r="V208" s="317"/>
      <c r="W208" s="316"/>
      <c r="X208" s="317"/>
      <c r="Y208" s="316"/>
      <c r="Z208" s="317"/>
      <c r="AA208" s="316"/>
      <c r="AB208" s="317"/>
      <c r="AC208" s="316"/>
      <c r="AD208" s="317"/>
      <c r="AE208" s="316"/>
      <c r="AF208" s="317"/>
      <c r="AG208" s="316"/>
      <c r="AH208" s="317"/>
      <c r="AI208" s="316"/>
      <c r="AJ208" s="317"/>
      <c r="AK208" s="316"/>
      <c r="AL208" s="317"/>
      <c r="AM208" s="316"/>
      <c r="AN208" s="317"/>
      <c r="AO208" s="316"/>
      <c r="AP208" s="317"/>
      <c r="AQ208" s="316"/>
      <c r="AR208" s="317"/>
      <c r="AS208" s="316"/>
      <c r="AT208" s="317"/>
      <c r="AU208" s="316"/>
      <c r="AV208" s="317"/>
      <c r="AW208" s="316"/>
      <c r="AX208" s="317"/>
      <c r="AY208" s="316"/>
      <c r="AZ208" s="317"/>
      <c r="BA208" s="316"/>
      <c r="BB208" s="317"/>
      <c r="BC208" s="316"/>
      <c r="BD208" s="317"/>
      <c r="BE208" s="316"/>
      <c r="BF208" s="317"/>
      <c r="BG208" s="316"/>
      <c r="BH208" s="317"/>
      <c r="BI208" s="316"/>
      <c r="BJ208" s="317"/>
      <c r="BK208" s="316"/>
      <c r="BL208" s="317"/>
      <c r="BM208" s="316"/>
      <c r="BN208" s="318"/>
      <c r="BP208" s="286">
        <f>+VLOOKUP(A208,'Tổng,SUMMARY'!C:K,8,0)</f>
        <v>200</v>
      </c>
      <c r="BQ208" s="293">
        <f t="shared" si="33"/>
        <v>-200</v>
      </c>
    </row>
    <row r="209" spans="1:69" ht="18" hidden="1" customHeight="1">
      <c r="A209" s="320" t="s">
        <v>369</v>
      </c>
      <c r="B209" s="271" t="s">
        <v>368</v>
      </c>
      <c r="C209" s="315"/>
      <c r="D209" s="304">
        <f>SUMIF($E$4:BN$4,$F$4,E209:BN209)</f>
        <v>0</v>
      </c>
      <c r="E209" s="316"/>
      <c r="F209" s="317"/>
      <c r="G209" s="316"/>
      <c r="H209" s="317"/>
      <c r="I209" s="316"/>
      <c r="J209" s="317"/>
      <c r="K209" s="316"/>
      <c r="L209" s="317"/>
      <c r="M209" s="316"/>
      <c r="N209" s="317"/>
      <c r="O209" s="316"/>
      <c r="P209" s="317"/>
      <c r="Q209" s="316"/>
      <c r="R209" s="317"/>
      <c r="S209" s="316"/>
      <c r="T209" s="317"/>
      <c r="U209" s="316"/>
      <c r="V209" s="317"/>
      <c r="W209" s="316"/>
      <c r="X209" s="317"/>
      <c r="Y209" s="316"/>
      <c r="Z209" s="317"/>
      <c r="AA209" s="316"/>
      <c r="AB209" s="317"/>
      <c r="AC209" s="316"/>
      <c r="AD209" s="317"/>
      <c r="AE209" s="316"/>
      <c r="AF209" s="317"/>
      <c r="AG209" s="316"/>
      <c r="AH209" s="317"/>
      <c r="AI209" s="316"/>
      <c r="AJ209" s="317"/>
      <c r="AK209" s="316"/>
      <c r="AL209" s="317"/>
      <c r="AM209" s="316"/>
      <c r="AN209" s="317"/>
      <c r="AO209" s="316"/>
      <c r="AP209" s="317"/>
      <c r="AQ209" s="316"/>
      <c r="AR209" s="317"/>
      <c r="AS209" s="316"/>
      <c r="AT209" s="317"/>
      <c r="AU209" s="316"/>
      <c r="AV209" s="317"/>
      <c r="AW209" s="316"/>
      <c r="AX209" s="317"/>
      <c r="AY209" s="316"/>
      <c r="AZ209" s="317"/>
      <c r="BA209" s="316"/>
      <c r="BB209" s="317"/>
      <c r="BC209" s="316"/>
      <c r="BD209" s="317"/>
      <c r="BE209" s="316"/>
      <c r="BF209" s="317"/>
      <c r="BG209" s="316"/>
      <c r="BH209" s="317"/>
      <c r="BI209" s="316"/>
      <c r="BJ209" s="317"/>
      <c r="BK209" s="316"/>
      <c r="BL209" s="317"/>
      <c r="BM209" s="316"/>
      <c r="BN209" s="318"/>
      <c r="BP209" s="286">
        <f>+VLOOKUP(A209,'Tổng,SUMMARY'!C:K,8,0)</f>
        <v>1450</v>
      </c>
      <c r="BQ209" s="293">
        <f t="shared" si="33"/>
        <v>-1450</v>
      </c>
    </row>
    <row r="210" spans="1:69" ht="18" hidden="1" customHeight="1">
      <c r="A210" s="320" t="s">
        <v>370</v>
      </c>
      <c r="B210" s="271" t="s">
        <v>371</v>
      </c>
      <c r="C210" s="315"/>
      <c r="D210" s="304">
        <f>SUMIF($E$4:BN$4,$F$4,E210:BN210)</f>
        <v>0</v>
      </c>
      <c r="E210" s="316"/>
      <c r="F210" s="317"/>
      <c r="G210" s="316"/>
      <c r="H210" s="317"/>
      <c r="I210" s="316"/>
      <c r="J210" s="317"/>
      <c r="K210" s="316"/>
      <c r="L210" s="317"/>
      <c r="M210" s="316"/>
      <c r="N210" s="317"/>
      <c r="O210" s="316"/>
      <c r="P210" s="317"/>
      <c r="Q210" s="316"/>
      <c r="R210" s="317"/>
      <c r="S210" s="316"/>
      <c r="T210" s="317"/>
      <c r="U210" s="316"/>
      <c r="V210" s="317"/>
      <c r="W210" s="316"/>
      <c r="X210" s="317"/>
      <c r="Y210" s="316"/>
      <c r="Z210" s="317"/>
      <c r="AA210" s="316"/>
      <c r="AB210" s="317"/>
      <c r="AC210" s="316"/>
      <c r="AD210" s="317"/>
      <c r="AE210" s="316"/>
      <c r="AF210" s="317"/>
      <c r="AG210" s="316"/>
      <c r="AH210" s="317"/>
      <c r="AI210" s="316"/>
      <c r="AJ210" s="317"/>
      <c r="AK210" s="316"/>
      <c r="AL210" s="317"/>
      <c r="AM210" s="316"/>
      <c r="AN210" s="317"/>
      <c r="AO210" s="316"/>
      <c r="AP210" s="317"/>
      <c r="AQ210" s="316"/>
      <c r="AR210" s="317"/>
      <c r="AS210" s="316"/>
      <c r="AT210" s="317"/>
      <c r="AU210" s="316"/>
      <c r="AV210" s="317"/>
      <c r="AW210" s="316"/>
      <c r="AX210" s="317"/>
      <c r="AY210" s="316"/>
      <c r="AZ210" s="317"/>
      <c r="BA210" s="316"/>
      <c r="BB210" s="317"/>
      <c r="BC210" s="316"/>
      <c r="BD210" s="317"/>
      <c r="BE210" s="316"/>
      <c r="BF210" s="317"/>
      <c r="BG210" s="316"/>
      <c r="BH210" s="317"/>
      <c r="BI210" s="316"/>
      <c r="BJ210" s="317"/>
      <c r="BK210" s="316"/>
      <c r="BL210" s="317"/>
      <c r="BM210" s="316"/>
      <c r="BN210" s="318"/>
      <c r="BP210" s="286">
        <f>+VLOOKUP(A210,'Tổng,SUMMARY'!C:K,8,0)</f>
        <v>300</v>
      </c>
      <c r="BQ210" s="293">
        <f t="shared" si="33"/>
        <v>-300</v>
      </c>
    </row>
    <row r="211" spans="1:69" ht="18" hidden="1" customHeight="1">
      <c r="A211" s="320" t="s">
        <v>372</v>
      </c>
      <c r="B211" s="271" t="s">
        <v>373</v>
      </c>
      <c r="C211" s="315"/>
      <c r="D211" s="304">
        <f>SUMIF($E$4:BN$4,$F$4,E211:BN211)</f>
        <v>0</v>
      </c>
      <c r="E211" s="316"/>
      <c r="F211" s="317"/>
      <c r="G211" s="316"/>
      <c r="H211" s="317"/>
      <c r="I211" s="316"/>
      <c r="J211" s="317"/>
      <c r="K211" s="316"/>
      <c r="L211" s="317"/>
      <c r="M211" s="316"/>
      <c r="N211" s="317"/>
      <c r="O211" s="316"/>
      <c r="P211" s="317"/>
      <c r="Q211" s="316"/>
      <c r="R211" s="317"/>
      <c r="S211" s="316"/>
      <c r="T211" s="317"/>
      <c r="U211" s="316"/>
      <c r="V211" s="317"/>
      <c r="W211" s="316"/>
      <c r="X211" s="317"/>
      <c r="Y211" s="316"/>
      <c r="Z211" s="317"/>
      <c r="AA211" s="316"/>
      <c r="AB211" s="317"/>
      <c r="AC211" s="316"/>
      <c r="AD211" s="317"/>
      <c r="AE211" s="316"/>
      <c r="AF211" s="317"/>
      <c r="AG211" s="316"/>
      <c r="AH211" s="317"/>
      <c r="AI211" s="316"/>
      <c r="AJ211" s="317"/>
      <c r="AK211" s="316"/>
      <c r="AL211" s="317"/>
      <c r="AM211" s="316"/>
      <c r="AN211" s="317"/>
      <c r="AO211" s="316"/>
      <c r="AP211" s="317"/>
      <c r="AQ211" s="316"/>
      <c r="AR211" s="317"/>
      <c r="AS211" s="316"/>
      <c r="AT211" s="317"/>
      <c r="AU211" s="316"/>
      <c r="AV211" s="317"/>
      <c r="AW211" s="316"/>
      <c r="AX211" s="317"/>
      <c r="AY211" s="316"/>
      <c r="AZ211" s="317"/>
      <c r="BA211" s="316"/>
      <c r="BB211" s="317"/>
      <c r="BC211" s="316"/>
      <c r="BD211" s="317"/>
      <c r="BE211" s="316"/>
      <c r="BF211" s="317"/>
      <c r="BG211" s="316"/>
      <c r="BH211" s="317"/>
      <c r="BI211" s="316"/>
      <c r="BJ211" s="317"/>
      <c r="BK211" s="316"/>
      <c r="BL211" s="317"/>
      <c r="BM211" s="316"/>
      <c r="BN211" s="318"/>
      <c r="BP211" s="286">
        <f>+VLOOKUP(A211,'Tổng,SUMMARY'!C:K,8,0)</f>
        <v>1200</v>
      </c>
      <c r="BQ211" s="293">
        <f t="shared" ref="BQ211:BQ239" si="34">+D211-BP211</f>
        <v>-1200</v>
      </c>
    </row>
    <row r="212" spans="1:69" ht="18" customHeight="1">
      <c r="A212" s="320" t="s">
        <v>374</v>
      </c>
      <c r="B212" s="271" t="s">
        <v>375</v>
      </c>
      <c r="C212" s="315"/>
      <c r="D212" s="304">
        <f>SUMIF($E$4:BN$4,$F$4,E212:BN212)</f>
        <v>8400</v>
      </c>
      <c r="E212" s="316"/>
      <c r="F212" s="317"/>
      <c r="G212" s="316"/>
      <c r="H212" s="317"/>
      <c r="I212" s="316"/>
      <c r="J212" s="317">
        <v>2400</v>
      </c>
      <c r="K212" s="316"/>
      <c r="L212" s="317">
        <v>6000</v>
      </c>
      <c r="M212" s="316"/>
      <c r="N212" s="317"/>
      <c r="O212" s="316"/>
      <c r="P212" s="317"/>
      <c r="Q212" s="316"/>
      <c r="R212" s="317"/>
      <c r="S212" s="316"/>
      <c r="T212" s="317"/>
      <c r="U212" s="316"/>
      <c r="V212" s="317"/>
      <c r="W212" s="316"/>
      <c r="X212" s="317"/>
      <c r="Y212" s="316"/>
      <c r="Z212" s="317"/>
      <c r="AA212" s="316"/>
      <c r="AB212" s="317"/>
      <c r="AC212" s="316"/>
      <c r="AD212" s="317"/>
      <c r="AE212" s="316"/>
      <c r="AF212" s="317"/>
      <c r="AG212" s="316"/>
      <c r="AH212" s="317"/>
      <c r="AI212" s="316"/>
      <c r="AJ212" s="317"/>
      <c r="AK212" s="316"/>
      <c r="AL212" s="317"/>
      <c r="AM212" s="316"/>
      <c r="AN212" s="317"/>
      <c r="AO212" s="316"/>
      <c r="AP212" s="317"/>
      <c r="AQ212" s="316"/>
      <c r="AR212" s="317"/>
      <c r="AS212" s="316"/>
      <c r="AT212" s="317"/>
      <c r="AU212" s="316"/>
      <c r="AV212" s="317"/>
      <c r="AW212" s="316"/>
      <c r="AX212" s="317"/>
      <c r="AY212" s="316"/>
      <c r="AZ212" s="317"/>
      <c r="BA212" s="316"/>
      <c r="BB212" s="317"/>
      <c r="BC212" s="316"/>
      <c r="BD212" s="317"/>
      <c r="BE212" s="316"/>
      <c r="BF212" s="317"/>
      <c r="BG212" s="316"/>
      <c r="BH212" s="317"/>
      <c r="BI212" s="316"/>
      <c r="BJ212" s="317"/>
      <c r="BK212" s="316"/>
      <c r="BL212" s="317"/>
      <c r="BM212" s="316"/>
      <c r="BN212" s="318"/>
      <c r="BP212" s="286">
        <f>+VLOOKUP(A212,'Tổng,SUMMARY'!C:K,8,0)</f>
        <v>23700</v>
      </c>
      <c r="BQ212" s="293">
        <f t="shared" si="34"/>
        <v>-15300</v>
      </c>
    </row>
    <row r="213" spans="1:69" ht="18" hidden="1" customHeight="1">
      <c r="A213" s="320" t="s">
        <v>376</v>
      </c>
      <c r="B213" s="271" t="s">
        <v>377</v>
      </c>
      <c r="C213" s="315"/>
      <c r="D213" s="304">
        <f>SUMIF($E$4:BN$4,$F$4,E213:BN213)</f>
        <v>0</v>
      </c>
      <c r="E213" s="316"/>
      <c r="F213" s="317"/>
      <c r="G213" s="316"/>
      <c r="H213" s="317"/>
      <c r="I213" s="316"/>
      <c r="J213" s="317"/>
      <c r="K213" s="316"/>
      <c r="L213" s="317"/>
      <c r="M213" s="316"/>
      <c r="N213" s="317"/>
      <c r="O213" s="316"/>
      <c r="P213" s="317"/>
      <c r="Q213" s="316"/>
      <c r="R213" s="317"/>
      <c r="S213" s="316"/>
      <c r="T213" s="317"/>
      <c r="U213" s="316"/>
      <c r="V213" s="317"/>
      <c r="W213" s="316"/>
      <c r="X213" s="317"/>
      <c r="Y213" s="316"/>
      <c r="Z213" s="317"/>
      <c r="AA213" s="316"/>
      <c r="AB213" s="317"/>
      <c r="AC213" s="316"/>
      <c r="AD213" s="317"/>
      <c r="AE213" s="316"/>
      <c r="AF213" s="317"/>
      <c r="AG213" s="316"/>
      <c r="AH213" s="317"/>
      <c r="AI213" s="316"/>
      <c r="AJ213" s="317"/>
      <c r="AK213" s="316"/>
      <c r="AL213" s="317"/>
      <c r="AM213" s="316"/>
      <c r="AN213" s="317"/>
      <c r="AO213" s="316"/>
      <c r="AP213" s="317"/>
      <c r="AQ213" s="316"/>
      <c r="AR213" s="317"/>
      <c r="AS213" s="316"/>
      <c r="AT213" s="317"/>
      <c r="AU213" s="316"/>
      <c r="AV213" s="317"/>
      <c r="AW213" s="316"/>
      <c r="AX213" s="317"/>
      <c r="AY213" s="316"/>
      <c r="AZ213" s="317"/>
      <c r="BA213" s="316"/>
      <c r="BB213" s="317"/>
      <c r="BC213" s="316"/>
      <c r="BD213" s="317"/>
      <c r="BE213" s="316"/>
      <c r="BF213" s="317"/>
      <c r="BG213" s="316"/>
      <c r="BH213" s="317"/>
      <c r="BI213" s="316"/>
      <c r="BJ213" s="317"/>
      <c r="BK213" s="316"/>
      <c r="BL213" s="317"/>
      <c r="BM213" s="316"/>
      <c r="BN213" s="318"/>
      <c r="BP213" s="286">
        <f>+VLOOKUP(A213,'Tổng,SUMMARY'!C:K,8,0)</f>
        <v>500</v>
      </c>
      <c r="BQ213" s="293"/>
    </row>
    <row r="214" spans="1:69" ht="18" hidden="1" customHeight="1">
      <c r="A214" s="320" t="s">
        <v>378</v>
      </c>
      <c r="B214" s="271" t="s">
        <v>377</v>
      </c>
      <c r="C214" s="315"/>
      <c r="D214" s="304">
        <f>SUMIF($E$4:BN$4,$F$4,E214:BN214)</f>
        <v>0</v>
      </c>
      <c r="E214" s="316"/>
      <c r="F214" s="317"/>
      <c r="G214" s="316"/>
      <c r="H214" s="317"/>
      <c r="I214" s="316"/>
      <c r="J214" s="317"/>
      <c r="K214" s="316"/>
      <c r="L214" s="317"/>
      <c r="M214" s="316"/>
      <c r="N214" s="317"/>
      <c r="O214" s="316"/>
      <c r="P214" s="317"/>
      <c r="Q214" s="316"/>
      <c r="R214" s="317"/>
      <c r="S214" s="316"/>
      <c r="T214" s="317"/>
      <c r="U214" s="316"/>
      <c r="V214" s="317"/>
      <c r="W214" s="316"/>
      <c r="X214" s="317"/>
      <c r="Y214" s="316"/>
      <c r="Z214" s="317"/>
      <c r="AA214" s="316"/>
      <c r="AB214" s="317"/>
      <c r="AC214" s="316"/>
      <c r="AD214" s="317"/>
      <c r="AE214" s="316"/>
      <c r="AF214" s="317"/>
      <c r="AG214" s="316"/>
      <c r="AH214" s="317"/>
      <c r="AI214" s="316"/>
      <c r="AJ214" s="317"/>
      <c r="AK214" s="316"/>
      <c r="AL214" s="317"/>
      <c r="AM214" s="316"/>
      <c r="AN214" s="317"/>
      <c r="AO214" s="316"/>
      <c r="AP214" s="317"/>
      <c r="AQ214" s="316"/>
      <c r="AR214" s="317"/>
      <c r="AS214" s="316"/>
      <c r="AT214" s="317"/>
      <c r="AU214" s="316"/>
      <c r="AV214" s="317"/>
      <c r="AW214" s="316"/>
      <c r="AX214" s="317"/>
      <c r="AY214" s="316"/>
      <c r="AZ214" s="317"/>
      <c r="BA214" s="316"/>
      <c r="BB214" s="317"/>
      <c r="BC214" s="316"/>
      <c r="BD214" s="317"/>
      <c r="BE214" s="316"/>
      <c r="BF214" s="317"/>
      <c r="BG214" s="316"/>
      <c r="BH214" s="317"/>
      <c r="BI214" s="316"/>
      <c r="BJ214" s="317"/>
      <c r="BK214" s="316"/>
      <c r="BL214" s="317"/>
      <c r="BM214" s="316"/>
      <c r="BN214" s="318"/>
      <c r="BP214" s="286">
        <f>+VLOOKUP(A214,'Tổng,SUMMARY'!C:K,8,0)</f>
        <v>500</v>
      </c>
      <c r="BQ214" s="293">
        <f t="shared" si="34"/>
        <v>-500</v>
      </c>
    </row>
    <row r="215" spans="1:69" ht="18" hidden="1" customHeight="1">
      <c r="A215" s="320" t="s">
        <v>379</v>
      </c>
      <c r="B215" s="271" t="s">
        <v>380</v>
      </c>
      <c r="C215" s="315"/>
      <c r="D215" s="304">
        <f>SUMIF($E$4:BN$4,$F$4,E215:BN215)</f>
        <v>0</v>
      </c>
      <c r="E215" s="316"/>
      <c r="F215" s="317"/>
      <c r="G215" s="316"/>
      <c r="H215" s="317"/>
      <c r="I215" s="316"/>
      <c r="J215" s="317"/>
      <c r="K215" s="316"/>
      <c r="L215" s="317"/>
      <c r="M215" s="316"/>
      <c r="N215" s="317"/>
      <c r="O215" s="316"/>
      <c r="P215" s="317"/>
      <c r="Q215" s="316"/>
      <c r="R215" s="317"/>
      <c r="S215" s="316"/>
      <c r="T215" s="317"/>
      <c r="U215" s="316"/>
      <c r="V215" s="317"/>
      <c r="W215" s="316"/>
      <c r="X215" s="317"/>
      <c r="Y215" s="316"/>
      <c r="Z215" s="317"/>
      <c r="AA215" s="316"/>
      <c r="AB215" s="317"/>
      <c r="AC215" s="316"/>
      <c r="AD215" s="317"/>
      <c r="AE215" s="316"/>
      <c r="AF215" s="317"/>
      <c r="AG215" s="316"/>
      <c r="AH215" s="317"/>
      <c r="AI215" s="316"/>
      <c r="AJ215" s="317"/>
      <c r="AK215" s="316"/>
      <c r="AL215" s="317"/>
      <c r="AM215" s="316"/>
      <c r="AN215" s="317"/>
      <c r="AO215" s="316"/>
      <c r="AP215" s="317"/>
      <c r="AQ215" s="316"/>
      <c r="AR215" s="317"/>
      <c r="AS215" s="316"/>
      <c r="AT215" s="317"/>
      <c r="AU215" s="316"/>
      <c r="AV215" s="317"/>
      <c r="AW215" s="316"/>
      <c r="AX215" s="317"/>
      <c r="AY215" s="316"/>
      <c r="AZ215" s="317"/>
      <c r="BA215" s="316"/>
      <c r="BB215" s="317"/>
      <c r="BC215" s="316"/>
      <c r="BD215" s="317"/>
      <c r="BE215" s="316"/>
      <c r="BF215" s="317"/>
      <c r="BG215" s="316"/>
      <c r="BH215" s="317"/>
      <c r="BI215" s="316"/>
      <c r="BJ215" s="317"/>
      <c r="BK215" s="316"/>
      <c r="BL215" s="317"/>
      <c r="BM215" s="316"/>
      <c r="BN215" s="318"/>
      <c r="BQ215" s="293"/>
    </row>
    <row r="216" spans="1:69" ht="18" hidden="1" customHeight="1">
      <c r="A216" s="320" t="s">
        <v>381</v>
      </c>
      <c r="B216" s="271" t="s">
        <v>382</v>
      </c>
      <c r="C216" s="315"/>
      <c r="D216" s="304">
        <f>SUMIF($E$4:BN$4,$F$4,E216:BN216)</f>
        <v>0</v>
      </c>
      <c r="E216" s="316"/>
      <c r="F216" s="317"/>
      <c r="G216" s="316"/>
      <c r="H216" s="317"/>
      <c r="I216" s="316"/>
      <c r="J216" s="317"/>
      <c r="K216" s="316"/>
      <c r="L216" s="317"/>
      <c r="M216" s="316"/>
      <c r="N216" s="317"/>
      <c r="O216" s="316"/>
      <c r="P216" s="317"/>
      <c r="Q216" s="316"/>
      <c r="R216" s="317"/>
      <c r="S216" s="316"/>
      <c r="T216" s="317"/>
      <c r="U216" s="316"/>
      <c r="V216" s="317"/>
      <c r="W216" s="316"/>
      <c r="X216" s="317"/>
      <c r="Y216" s="316"/>
      <c r="Z216" s="317"/>
      <c r="AA216" s="316"/>
      <c r="AB216" s="317"/>
      <c r="AC216" s="316"/>
      <c r="AD216" s="317"/>
      <c r="AE216" s="316"/>
      <c r="AF216" s="317"/>
      <c r="AG216" s="316"/>
      <c r="AH216" s="317"/>
      <c r="AI216" s="316"/>
      <c r="AJ216" s="317"/>
      <c r="AK216" s="316"/>
      <c r="AL216" s="317"/>
      <c r="AM216" s="316"/>
      <c r="AN216" s="317"/>
      <c r="AO216" s="316"/>
      <c r="AP216" s="317"/>
      <c r="AQ216" s="316"/>
      <c r="AR216" s="317"/>
      <c r="AS216" s="316"/>
      <c r="AT216" s="317"/>
      <c r="AU216" s="316"/>
      <c r="AV216" s="317"/>
      <c r="AW216" s="316"/>
      <c r="AX216" s="317"/>
      <c r="AY216" s="316"/>
      <c r="AZ216" s="317"/>
      <c r="BA216" s="316"/>
      <c r="BB216" s="317"/>
      <c r="BC216" s="316"/>
      <c r="BD216" s="317"/>
      <c r="BE216" s="316"/>
      <c r="BF216" s="317"/>
      <c r="BG216" s="316"/>
      <c r="BH216" s="317"/>
      <c r="BI216" s="316"/>
      <c r="BJ216" s="317"/>
      <c r="BK216" s="316"/>
      <c r="BL216" s="317"/>
      <c r="BM216" s="316"/>
      <c r="BN216" s="318"/>
      <c r="BP216" s="286" t="e">
        <f>+VLOOKUP(A216,'Tổng,SUMMARY'!C:K,8,0)</f>
        <v>#N/A</v>
      </c>
      <c r="BQ216" s="293" t="e">
        <f t="shared" si="34"/>
        <v>#N/A</v>
      </c>
    </row>
    <row r="217" spans="1:69" ht="18" hidden="1" customHeight="1">
      <c r="A217" s="320" t="s">
        <v>383</v>
      </c>
      <c r="B217" s="271" t="s">
        <v>384</v>
      </c>
      <c r="C217" s="315"/>
      <c r="D217" s="304">
        <f>SUMIF($E$4:BN$4,$F$4,E217:BN217)</f>
        <v>0</v>
      </c>
      <c r="E217" s="316"/>
      <c r="F217" s="317"/>
      <c r="G217" s="316"/>
      <c r="H217" s="317"/>
      <c r="I217" s="316"/>
      <c r="J217" s="317"/>
      <c r="K217" s="316"/>
      <c r="L217" s="317"/>
      <c r="M217" s="316"/>
      <c r="N217" s="317"/>
      <c r="O217" s="316"/>
      <c r="P217" s="317"/>
      <c r="Q217" s="316"/>
      <c r="R217" s="317"/>
      <c r="S217" s="316"/>
      <c r="T217" s="317"/>
      <c r="U217" s="316"/>
      <c r="V217" s="317"/>
      <c r="W217" s="316"/>
      <c r="X217" s="317"/>
      <c r="Y217" s="316"/>
      <c r="Z217" s="317"/>
      <c r="AA217" s="316"/>
      <c r="AB217" s="317"/>
      <c r="AC217" s="316"/>
      <c r="AD217" s="317"/>
      <c r="AE217" s="316"/>
      <c r="AF217" s="317"/>
      <c r="AG217" s="316"/>
      <c r="AH217" s="317"/>
      <c r="AI217" s="316"/>
      <c r="AJ217" s="317"/>
      <c r="AK217" s="316"/>
      <c r="AL217" s="317"/>
      <c r="AM217" s="316"/>
      <c r="AN217" s="317"/>
      <c r="AO217" s="316"/>
      <c r="AP217" s="317"/>
      <c r="AQ217" s="316"/>
      <c r="AR217" s="317"/>
      <c r="AS217" s="316"/>
      <c r="AT217" s="317"/>
      <c r="AU217" s="316"/>
      <c r="AV217" s="317"/>
      <c r="AW217" s="316"/>
      <c r="AX217" s="317"/>
      <c r="AY217" s="316"/>
      <c r="AZ217" s="317"/>
      <c r="BA217" s="316"/>
      <c r="BB217" s="317"/>
      <c r="BC217" s="316"/>
      <c r="BD217" s="317"/>
      <c r="BE217" s="316"/>
      <c r="BF217" s="317"/>
      <c r="BG217" s="316"/>
      <c r="BH217" s="317"/>
      <c r="BI217" s="316"/>
      <c r="BJ217" s="317"/>
      <c r="BK217" s="316"/>
      <c r="BL217" s="317"/>
      <c r="BM217" s="316"/>
      <c r="BN217" s="318"/>
      <c r="BP217" s="286">
        <f>+VLOOKUP(A217,'Tổng,SUMMARY'!C:K,8,0)</f>
        <v>0</v>
      </c>
      <c r="BQ217" s="293">
        <f t="shared" si="34"/>
        <v>0</v>
      </c>
    </row>
    <row r="218" spans="1:69" ht="18" hidden="1" customHeight="1">
      <c r="A218" s="320" t="s">
        <v>385</v>
      </c>
      <c r="B218" s="271" t="s">
        <v>386</v>
      </c>
      <c r="C218" s="315"/>
      <c r="D218" s="304">
        <f>SUMIF($E$4:BN$4,$F$4,E218:BN218)</f>
        <v>0</v>
      </c>
      <c r="E218" s="316"/>
      <c r="F218" s="317"/>
      <c r="G218" s="316"/>
      <c r="H218" s="317"/>
      <c r="I218" s="316"/>
      <c r="J218" s="317"/>
      <c r="K218" s="316"/>
      <c r="L218" s="317"/>
      <c r="M218" s="316"/>
      <c r="N218" s="317"/>
      <c r="O218" s="316"/>
      <c r="P218" s="317"/>
      <c r="Q218" s="316"/>
      <c r="R218" s="317"/>
      <c r="S218" s="316"/>
      <c r="T218" s="317"/>
      <c r="U218" s="316"/>
      <c r="V218" s="317"/>
      <c r="W218" s="316"/>
      <c r="X218" s="317"/>
      <c r="Y218" s="316"/>
      <c r="Z218" s="317"/>
      <c r="AA218" s="316"/>
      <c r="AB218" s="317"/>
      <c r="AC218" s="316"/>
      <c r="AD218" s="317"/>
      <c r="AE218" s="316"/>
      <c r="AF218" s="317"/>
      <c r="AG218" s="316"/>
      <c r="AH218" s="317"/>
      <c r="AI218" s="316"/>
      <c r="AJ218" s="317"/>
      <c r="AK218" s="316"/>
      <c r="AL218" s="317"/>
      <c r="AM218" s="316"/>
      <c r="AN218" s="317"/>
      <c r="AO218" s="316"/>
      <c r="AP218" s="317"/>
      <c r="AQ218" s="316"/>
      <c r="AR218" s="317"/>
      <c r="AS218" s="316"/>
      <c r="AT218" s="317"/>
      <c r="AU218" s="316"/>
      <c r="AV218" s="317"/>
      <c r="AW218" s="316"/>
      <c r="AX218" s="317"/>
      <c r="AY218" s="316"/>
      <c r="AZ218" s="317"/>
      <c r="BA218" s="316"/>
      <c r="BB218" s="317"/>
      <c r="BC218" s="316"/>
      <c r="BD218" s="317"/>
      <c r="BE218" s="316"/>
      <c r="BF218" s="317"/>
      <c r="BG218" s="316"/>
      <c r="BH218" s="317"/>
      <c r="BI218" s="316"/>
      <c r="BJ218" s="317"/>
      <c r="BK218" s="316"/>
      <c r="BL218" s="317"/>
      <c r="BM218" s="316"/>
      <c r="BN218" s="318"/>
      <c r="BP218" s="286">
        <f>+VLOOKUP(A218,'Tổng,SUMMARY'!C:K,8,0)</f>
        <v>1750</v>
      </c>
      <c r="BQ218" s="293">
        <f t="shared" si="34"/>
        <v>-1750</v>
      </c>
    </row>
    <row r="219" spans="1:69" ht="18" customHeight="1">
      <c r="A219" s="320" t="s">
        <v>387</v>
      </c>
      <c r="B219" s="271" t="s">
        <v>388</v>
      </c>
      <c r="C219" s="315"/>
      <c r="D219" s="304">
        <f>SUMIF($E$4:BN$4,$F$4,E219:BN219)</f>
        <v>8000</v>
      </c>
      <c r="E219" s="316"/>
      <c r="F219" s="317"/>
      <c r="G219" s="316"/>
      <c r="H219" s="317"/>
      <c r="I219" s="316"/>
      <c r="J219" s="317">
        <f>1150+1200+1200+1200</f>
        <v>4750</v>
      </c>
      <c r="K219" s="316"/>
      <c r="L219" s="317">
        <f>1200+1050+1000</f>
        <v>3250</v>
      </c>
      <c r="M219" s="316"/>
      <c r="N219" s="317"/>
      <c r="O219" s="316"/>
      <c r="P219" s="317"/>
      <c r="Q219" s="316"/>
      <c r="R219" s="317"/>
      <c r="S219" s="316"/>
      <c r="T219" s="317"/>
      <c r="U219" s="316"/>
      <c r="V219" s="317"/>
      <c r="W219" s="316"/>
      <c r="X219" s="317"/>
      <c r="Y219" s="316"/>
      <c r="Z219" s="317"/>
      <c r="AA219" s="316"/>
      <c r="AB219" s="317"/>
      <c r="AC219" s="316"/>
      <c r="AD219" s="317"/>
      <c r="AE219" s="316"/>
      <c r="AF219" s="317"/>
      <c r="AG219" s="316"/>
      <c r="AH219" s="317"/>
      <c r="AI219" s="316"/>
      <c r="AJ219" s="317"/>
      <c r="AK219" s="316"/>
      <c r="AL219" s="317"/>
      <c r="AM219" s="316"/>
      <c r="AN219" s="317"/>
      <c r="AO219" s="316"/>
      <c r="AP219" s="317"/>
      <c r="AQ219" s="316"/>
      <c r="AR219" s="317"/>
      <c r="AS219" s="316"/>
      <c r="AT219" s="317"/>
      <c r="AU219" s="316"/>
      <c r="AV219" s="317"/>
      <c r="AW219" s="316"/>
      <c r="AX219" s="317"/>
      <c r="AY219" s="316"/>
      <c r="AZ219" s="317"/>
      <c r="BA219" s="316"/>
      <c r="BB219" s="317"/>
      <c r="BC219" s="316"/>
      <c r="BD219" s="317"/>
      <c r="BE219" s="316"/>
      <c r="BF219" s="317"/>
      <c r="BG219" s="316"/>
      <c r="BH219" s="317"/>
      <c r="BI219" s="316"/>
      <c r="BJ219" s="317"/>
      <c r="BK219" s="316"/>
      <c r="BL219" s="317"/>
      <c r="BM219" s="316"/>
      <c r="BN219" s="318"/>
      <c r="BP219" s="286">
        <f>+VLOOKUP(A219,'Tổng,SUMMARY'!C:K,8,0)</f>
        <v>1750</v>
      </c>
      <c r="BQ219" s="293">
        <f t="shared" si="34"/>
        <v>6250</v>
      </c>
    </row>
    <row r="220" spans="1:69" ht="18" hidden="1" customHeight="1">
      <c r="A220" s="320" t="s">
        <v>389</v>
      </c>
      <c r="B220" s="271" t="s">
        <v>390</v>
      </c>
      <c r="C220" s="315"/>
      <c r="D220" s="304">
        <f>SUMIF($E$4:BN$4,$F$4,E220:BN220)</f>
        <v>0</v>
      </c>
      <c r="E220" s="316"/>
      <c r="F220" s="317"/>
      <c r="G220" s="316"/>
      <c r="H220" s="317"/>
      <c r="I220" s="316"/>
      <c r="J220" s="317"/>
      <c r="K220" s="316"/>
      <c r="L220" s="317"/>
      <c r="M220" s="316"/>
      <c r="N220" s="317"/>
      <c r="O220" s="316"/>
      <c r="P220" s="317"/>
      <c r="Q220" s="316"/>
      <c r="R220" s="317"/>
      <c r="S220" s="316"/>
      <c r="T220" s="317"/>
      <c r="U220" s="316"/>
      <c r="V220" s="317"/>
      <c r="W220" s="316"/>
      <c r="X220" s="317"/>
      <c r="Y220" s="316"/>
      <c r="Z220" s="317"/>
      <c r="AA220" s="316"/>
      <c r="AB220" s="317"/>
      <c r="AC220" s="316"/>
      <c r="AD220" s="317"/>
      <c r="AE220" s="316"/>
      <c r="AF220" s="317"/>
      <c r="AG220" s="316"/>
      <c r="AH220" s="317"/>
      <c r="AI220" s="316"/>
      <c r="AJ220" s="317"/>
      <c r="AK220" s="316"/>
      <c r="AL220" s="317"/>
      <c r="AM220" s="316"/>
      <c r="AN220" s="317"/>
      <c r="AO220" s="316"/>
      <c r="AP220" s="317"/>
      <c r="AQ220" s="316"/>
      <c r="AR220" s="317"/>
      <c r="AS220" s="316"/>
      <c r="AT220" s="317"/>
      <c r="AU220" s="316"/>
      <c r="AV220" s="317"/>
      <c r="AW220" s="316"/>
      <c r="AX220" s="317"/>
      <c r="AY220" s="316"/>
      <c r="AZ220" s="317"/>
      <c r="BA220" s="316"/>
      <c r="BB220" s="317"/>
      <c r="BC220" s="316"/>
      <c r="BD220" s="317"/>
      <c r="BE220" s="316"/>
      <c r="BF220" s="317"/>
      <c r="BG220" s="316"/>
      <c r="BH220" s="317"/>
      <c r="BI220" s="316"/>
      <c r="BJ220" s="317"/>
      <c r="BK220" s="316"/>
      <c r="BL220" s="317"/>
      <c r="BM220" s="316"/>
      <c r="BN220" s="318"/>
      <c r="BP220" s="286">
        <f>+VLOOKUP(A220,'Tổng,SUMMARY'!C:K,8,0)</f>
        <v>400</v>
      </c>
      <c r="BQ220" s="293">
        <f t="shared" si="34"/>
        <v>-400</v>
      </c>
    </row>
    <row r="221" spans="1:69" ht="18" hidden="1" customHeight="1">
      <c r="A221" s="320" t="s">
        <v>391</v>
      </c>
      <c r="B221" s="271" t="s">
        <v>392</v>
      </c>
      <c r="C221" s="315"/>
      <c r="D221" s="304">
        <f>SUMIF($E$4:BN$4,$F$4,E221:BN221)</f>
        <v>0</v>
      </c>
      <c r="E221" s="316"/>
      <c r="F221" s="317"/>
      <c r="G221" s="316"/>
      <c r="H221" s="317"/>
      <c r="I221" s="316"/>
      <c r="J221" s="317"/>
      <c r="K221" s="316"/>
      <c r="L221" s="317"/>
      <c r="M221" s="316"/>
      <c r="N221" s="317"/>
      <c r="O221" s="316"/>
      <c r="P221" s="317"/>
      <c r="Q221" s="316"/>
      <c r="R221" s="317"/>
      <c r="S221" s="316"/>
      <c r="T221" s="317"/>
      <c r="U221" s="316"/>
      <c r="V221" s="317"/>
      <c r="W221" s="316"/>
      <c r="X221" s="317"/>
      <c r="Y221" s="316"/>
      <c r="Z221" s="317"/>
      <c r="AA221" s="316"/>
      <c r="AB221" s="317"/>
      <c r="AC221" s="316"/>
      <c r="AD221" s="317"/>
      <c r="AE221" s="316"/>
      <c r="AF221" s="317"/>
      <c r="AG221" s="316"/>
      <c r="AH221" s="317"/>
      <c r="AI221" s="316"/>
      <c r="AJ221" s="317"/>
      <c r="AK221" s="316"/>
      <c r="AL221" s="317"/>
      <c r="AM221" s="316"/>
      <c r="AN221" s="317"/>
      <c r="AO221" s="316"/>
      <c r="AP221" s="317"/>
      <c r="AQ221" s="316"/>
      <c r="AR221" s="317"/>
      <c r="AS221" s="316"/>
      <c r="AT221" s="317"/>
      <c r="AU221" s="316"/>
      <c r="AV221" s="317"/>
      <c r="AW221" s="316"/>
      <c r="AX221" s="317"/>
      <c r="AY221" s="316"/>
      <c r="AZ221" s="317"/>
      <c r="BA221" s="316"/>
      <c r="BB221" s="317"/>
      <c r="BC221" s="316"/>
      <c r="BD221" s="317"/>
      <c r="BE221" s="316"/>
      <c r="BF221" s="317"/>
      <c r="BG221" s="316"/>
      <c r="BH221" s="317"/>
      <c r="BI221" s="316"/>
      <c r="BJ221" s="317"/>
      <c r="BK221" s="316"/>
      <c r="BL221" s="317"/>
      <c r="BM221" s="316"/>
      <c r="BN221" s="318"/>
      <c r="BP221" s="286">
        <f>+VLOOKUP(A221,'Tổng,SUMMARY'!C:K,8,0)</f>
        <v>1750</v>
      </c>
      <c r="BQ221" s="293">
        <f t="shared" si="34"/>
        <v>-1750</v>
      </c>
    </row>
    <row r="222" spans="1:69" ht="18" hidden="1" customHeight="1">
      <c r="A222" s="320" t="s">
        <v>393</v>
      </c>
      <c r="B222" s="271" t="s">
        <v>394</v>
      </c>
      <c r="C222" s="315"/>
      <c r="D222" s="304">
        <f>SUMIF($E$4:BN$4,$F$4,E222:BN222)</f>
        <v>0</v>
      </c>
      <c r="E222" s="316"/>
      <c r="F222" s="317"/>
      <c r="G222" s="316"/>
      <c r="H222" s="317"/>
      <c r="I222" s="316"/>
      <c r="J222" s="317"/>
      <c r="K222" s="316"/>
      <c r="L222" s="317"/>
      <c r="M222" s="316"/>
      <c r="N222" s="317"/>
      <c r="O222" s="316"/>
      <c r="P222" s="317"/>
      <c r="Q222" s="316"/>
      <c r="R222" s="317"/>
      <c r="S222" s="316"/>
      <c r="T222" s="317"/>
      <c r="U222" s="316"/>
      <c r="V222" s="317"/>
      <c r="W222" s="316"/>
      <c r="X222" s="317"/>
      <c r="Y222" s="316"/>
      <c r="Z222" s="317"/>
      <c r="AA222" s="316"/>
      <c r="AB222" s="317"/>
      <c r="AC222" s="316"/>
      <c r="AD222" s="317"/>
      <c r="AE222" s="316"/>
      <c r="AF222" s="317"/>
      <c r="AG222" s="316"/>
      <c r="AH222" s="317"/>
      <c r="AI222" s="316"/>
      <c r="AJ222" s="317"/>
      <c r="AK222" s="316"/>
      <c r="AL222" s="317"/>
      <c r="AM222" s="316"/>
      <c r="AN222" s="317"/>
      <c r="AO222" s="316"/>
      <c r="AP222" s="317"/>
      <c r="AQ222" s="316"/>
      <c r="AR222" s="317"/>
      <c r="AS222" s="316"/>
      <c r="AT222" s="317"/>
      <c r="AU222" s="316"/>
      <c r="AV222" s="317"/>
      <c r="AW222" s="316"/>
      <c r="AX222" s="317"/>
      <c r="AY222" s="316"/>
      <c r="AZ222" s="317"/>
      <c r="BA222" s="316"/>
      <c r="BB222" s="317"/>
      <c r="BC222" s="316"/>
      <c r="BD222" s="317"/>
      <c r="BE222" s="316"/>
      <c r="BF222" s="317"/>
      <c r="BG222" s="316"/>
      <c r="BH222" s="317"/>
      <c r="BI222" s="316"/>
      <c r="BJ222" s="317"/>
      <c r="BK222" s="316"/>
      <c r="BL222" s="317"/>
      <c r="BM222" s="316"/>
      <c r="BN222" s="318"/>
      <c r="BP222" s="286">
        <f>+VLOOKUP(A222,'Tổng,SUMMARY'!C:K,8,0)</f>
        <v>0</v>
      </c>
      <c r="BQ222" s="293">
        <f t="shared" si="34"/>
        <v>0</v>
      </c>
    </row>
    <row r="223" spans="1:69" ht="18" hidden="1" customHeight="1">
      <c r="A223" s="320" t="s">
        <v>395</v>
      </c>
      <c r="B223" s="271" t="s">
        <v>396</v>
      </c>
      <c r="C223" s="315"/>
      <c r="D223" s="304">
        <f>SUMIF($E$4:BN$4,$F$4,E223:BN223)</f>
        <v>0</v>
      </c>
      <c r="E223" s="316"/>
      <c r="F223" s="317"/>
      <c r="G223" s="316"/>
      <c r="H223" s="317"/>
      <c r="I223" s="316"/>
      <c r="J223" s="317"/>
      <c r="K223" s="316"/>
      <c r="L223" s="317"/>
      <c r="M223" s="316"/>
      <c r="N223" s="317"/>
      <c r="O223" s="316"/>
      <c r="P223" s="317"/>
      <c r="Q223" s="316"/>
      <c r="R223" s="317"/>
      <c r="S223" s="316"/>
      <c r="T223" s="317"/>
      <c r="U223" s="316"/>
      <c r="V223" s="317"/>
      <c r="W223" s="316"/>
      <c r="X223" s="317"/>
      <c r="Y223" s="316"/>
      <c r="Z223" s="317"/>
      <c r="AA223" s="316"/>
      <c r="AB223" s="317"/>
      <c r="AC223" s="316"/>
      <c r="AD223" s="317"/>
      <c r="AE223" s="316"/>
      <c r="AF223" s="317"/>
      <c r="AG223" s="316"/>
      <c r="AH223" s="317"/>
      <c r="AI223" s="316"/>
      <c r="AJ223" s="317"/>
      <c r="AK223" s="316"/>
      <c r="AL223" s="317"/>
      <c r="AM223" s="316"/>
      <c r="AN223" s="317"/>
      <c r="AO223" s="316"/>
      <c r="AP223" s="317"/>
      <c r="AQ223" s="316"/>
      <c r="AR223" s="317"/>
      <c r="AS223" s="316"/>
      <c r="AT223" s="317"/>
      <c r="AU223" s="316"/>
      <c r="AV223" s="317"/>
      <c r="AW223" s="316"/>
      <c r="AX223" s="317"/>
      <c r="AY223" s="316"/>
      <c r="AZ223" s="317"/>
      <c r="BA223" s="316"/>
      <c r="BB223" s="317"/>
      <c r="BC223" s="316"/>
      <c r="BD223" s="317"/>
      <c r="BE223" s="316"/>
      <c r="BF223" s="317"/>
      <c r="BG223" s="316"/>
      <c r="BH223" s="317"/>
      <c r="BI223" s="316"/>
      <c r="BJ223" s="317"/>
      <c r="BK223" s="316"/>
      <c r="BL223" s="317"/>
      <c r="BM223" s="316"/>
      <c r="BN223" s="318"/>
      <c r="BP223" s="286">
        <f>+VLOOKUP(A223,'Tổng,SUMMARY'!C:K,8,0)</f>
        <v>700</v>
      </c>
      <c r="BQ223" s="293">
        <f t="shared" si="34"/>
        <v>-700</v>
      </c>
    </row>
    <row r="224" spans="1:69" ht="18" hidden="1" customHeight="1">
      <c r="A224" s="320" t="s">
        <v>397</v>
      </c>
      <c r="B224" s="271" t="s">
        <v>398</v>
      </c>
      <c r="C224" s="315"/>
      <c r="D224" s="304">
        <f>SUMIF($E$4:BN$4,$F$4,E224:BN224)</f>
        <v>0</v>
      </c>
      <c r="E224" s="316"/>
      <c r="F224" s="317"/>
      <c r="G224" s="316"/>
      <c r="H224" s="317"/>
      <c r="I224" s="316"/>
      <c r="J224" s="317"/>
      <c r="K224" s="316"/>
      <c r="L224" s="317"/>
      <c r="M224" s="316"/>
      <c r="N224" s="317"/>
      <c r="O224" s="316"/>
      <c r="P224" s="317"/>
      <c r="Q224" s="316"/>
      <c r="R224" s="317"/>
      <c r="S224" s="316"/>
      <c r="T224" s="317"/>
      <c r="U224" s="316"/>
      <c r="V224" s="317"/>
      <c r="W224" s="316"/>
      <c r="X224" s="317"/>
      <c r="Y224" s="316"/>
      <c r="Z224" s="317"/>
      <c r="AA224" s="316"/>
      <c r="AB224" s="317"/>
      <c r="AC224" s="316"/>
      <c r="AD224" s="317"/>
      <c r="AE224" s="316"/>
      <c r="AF224" s="317"/>
      <c r="AG224" s="316"/>
      <c r="AH224" s="317"/>
      <c r="AI224" s="316"/>
      <c r="AJ224" s="317"/>
      <c r="AK224" s="316"/>
      <c r="AL224" s="317"/>
      <c r="AM224" s="316"/>
      <c r="AN224" s="317"/>
      <c r="AO224" s="316"/>
      <c r="AP224" s="317"/>
      <c r="AQ224" s="316"/>
      <c r="AR224" s="317"/>
      <c r="AS224" s="316"/>
      <c r="AT224" s="317"/>
      <c r="AU224" s="316"/>
      <c r="AV224" s="317"/>
      <c r="AW224" s="316"/>
      <c r="AX224" s="317"/>
      <c r="AY224" s="316"/>
      <c r="AZ224" s="317"/>
      <c r="BA224" s="316"/>
      <c r="BB224" s="317"/>
      <c r="BC224" s="316"/>
      <c r="BD224" s="317"/>
      <c r="BE224" s="316"/>
      <c r="BF224" s="317"/>
      <c r="BG224" s="316"/>
      <c r="BH224" s="317"/>
      <c r="BI224" s="316"/>
      <c r="BJ224" s="317"/>
      <c r="BK224" s="316"/>
      <c r="BL224" s="317"/>
      <c r="BM224" s="316"/>
      <c r="BN224" s="318"/>
      <c r="BP224" s="286">
        <f>+VLOOKUP(A224,'Tổng,SUMMARY'!C:K,8,0)</f>
        <v>2150</v>
      </c>
      <c r="BQ224" s="293">
        <f t="shared" si="34"/>
        <v>-2150</v>
      </c>
    </row>
    <row r="225" spans="1:69" ht="18" hidden="1" customHeight="1">
      <c r="A225" s="320" t="s">
        <v>399</v>
      </c>
      <c r="B225" s="271" t="s">
        <v>400</v>
      </c>
      <c r="C225" s="315"/>
      <c r="D225" s="304">
        <f>SUMIF($E$4:BN$4,$F$4,E225:BN225)</f>
        <v>0</v>
      </c>
      <c r="E225" s="316"/>
      <c r="F225" s="317"/>
      <c r="G225" s="316"/>
      <c r="H225" s="317"/>
      <c r="I225" s="316"/>
      <c r="J225" s="317"/>
      <c r="K225" s="316"/>
      <c r="L225" s="317"/>
      <c r="M225" s="316"/>
      <c r="N225" s="317"/>
      <c r="O225" s="316"/>
      <c r="P225" s="317"/>
      <c r="Q225" s="316"/>
      <c r="R225" s="317"/>
      <c r="S225" s="316"/>
      <c r="T225" s="317"/>
      <c r="U225" s="316"/>
      <c r="V225" s="317"/>
      <c r="W225" s="316"/>
      <c r="X225" s="317"/>
      <c r="Y225" s="316"/>
      <c r="Z225" s="317"/>
      <c r="AA225" s="316"/>
      <c r="AB225" s="317"/>
      <c r="AC225" s="316"/>
      <c r="AD225" s="317"/>
      <c r="AE225" s="316"/>
      <c r="AF225" s="317"/>
      <c r="AG225" s="316"/>
      <c r="AH225" s="317"/>
      <c r="AI225" s="316"/>
      <c r="AJ225" s="317"/>
      <c r="AK225" s="316"/>
      <c r="AL225" s="317"/>
      <c r="AM225" s="316"/>
      <c r="AN225" s="317"/>
      <c r="AO225" s="316"/>
      <c r="AP225" s="317"/>
      <c r="AQ225" s="316"/>
      <c r="AR225" s="317"/>
      <c r="AS225" s="316"/>
      <c r="AT225" s="317"/>
      <c r="AU225" s="316"/>
      <c r="AV225" s="317"/>
      <c r="AW225" s="316"/>
      <c r="AX225" s="317"/>
      <c r="AY225" s="316"/>
      <c r="AZ225" s="317"/>
      <c r="BA225" s="316"/>
      <c r="BB225" s="317"/>
      <c r="BC225" s="316"/>
      <c r="BD225" s="317"/>
      <c r="BE225" s="316"/>
      <c r="BF225" s="317"/>
      <c r="BG225" s="316"/>
      <c r="BH225" s="317"/>
      <c r="BI225" s="316"/>
      <c r="BJ225" s="317"/>
      <c r="BK225" s="316"/>
      <c r="BL225" s="317"/>
      <c r="BM225" s="316"/>
      <c r="BN225" s="318"/>
      <c r="BP225" s="286">
        <f>+VLOOKUP(A225,'Tổng,SUMMARY'!C:K,8,0)</f>
        <v>24</v>
      </c>
      <c r="BQ225" s="293">
        <f t="shared" si="34"/>
        <v>-24</v>
      </c>
    </row>
    <row r="226" spans="1:69" ht="18" hidden="1" customHeight="1">
      <c r="A226" s="320" t="s">
        <v>401</v>
      </c>
      <c r="B226" s="271" t="s">
        <v>402</v>
      </c>
      <c r="C226" s="315"/>
      <c r="D226" s="304">
        <f>SUMIF($E$4:BN$4,$F$4,E226:BN226)</f>
        <v>0</v>
      </c>
      <c r="E226" s="316"/>
      <c r="F226" s="317"/>
      <c r="G226" s="316"/>
      <c r="H226" s="317"/>
      <c r="I226" s="316"/>
      <c r="J226" s="317"/>
      <c r="K226" s="316"/>
      <c r="L226" s="317"/>
      <c r="M226" s="316"/>
      <c r="N226" s="317"/>
      <c r="O226" s="316"/>
      <c r="P226" s="317"/>
      <c r="Q226" s="316"/>
      <c r="R226" s="317"/>
      <c r="S226" s="316"/>
      <c r="T226" s="317"/>
      <c r="U226" s="316"/>
      <c r="V226" s="317"/>
      <c r="W226" s="316"/>
      <c r="X226" s="317"/>
      <c r="Y226" s="316"/>
      <c r="Z226" s="317"/>
      <c r="AA226" s="316"/>
      <c r="AB226" s="317"/>
      <c r="AC226" s="316"/>
      <c r="AD226" s="317"/>
      <c r="AE226" s="316"/>
      <c r="AF226" s="317"/>
      <c r="AG226" s="316"/>
      <c r="AH226" s="317"/>
      <c r="AI226" s="316"/>
      <c r="AJ226" s="317"/>
      <c r="AK226" s="316"/>
      <c r="AL226" s="317"/>
      <c r="AM226" s="316"/>
      <c r="AN226" s="317"/>
      <c r="AO226" s="316"/>
      <c r="AP226" s="317"/>
      <c r="AQ226" s="316"/>
      <c r="AR226" s="317"/>
      <c r="AS226" s="316"/>
      <c r="AT226" s="317"/>
      <c r="AU226" s="316"/>
      <c r="AV226" s="317"/>
      <c r="AW226" s="316"/>
      <c r="AX226" s="317"/>
      <c r="AY226" s="316"/>
      <c r="AZ226" s="317"/>
      <c r="BA226" s="316"/>
      <c r="BB226" s="317"/>
      <c r="BC226" s="316"/>
      <c r="BD226" s="317"/>
      <c r="BE226" s="316"/>
      <c r="BF226" s="317"/>
      <c r="BG226" s="316"/>
      <c r="BH226" s="317"/>
      <c r="BI226" s="316"/>
      <c r="BJ226" s="317"/>
      <c r="BK226" s="316"/>
      <c r="BL226" s="317"/>
      <c r="BM226" s="316"/>
      <c r="BN226" s="318"/>
      <c r="BP226" s="286">
        <f>+VLOOKUP(A226,'Tổng,SUMMARY'!C:K,8,0)</f>
        <v>11500</v>
      </c>
      <c r="BQ226" s="293">
        <f t="shared" si="34"/>
        <v>-11500</v>
      </c>
    </row>
    <row r="227" spans="1:69" ht="18" hidden="1" customHeight="1">
      <c r="A227" s="320" t="s">
        <v>403</v>
      </c>
      <c r="B227" s="271" t="s">
        <v>404</v>
      </c>
      <c r="C227" s="315"/>
      <c r="D227" s="304">
        <f>SUMIF($E$4:BN$4,$F$4,E227:BN227)</f>
        <v>0</v>
      </c>
      <c r="E227" s="316"/>
      <c r="F227" s="317"/>
      <c r="G227" s="316"/>
      <c r="H227" s="317"/>
      <c r="I227" s="316"/>
      <c r="J227" s="317"/>
      <c r="K227" s="316"/>
      <c r="L227" s="317"/>
      <c r="M227" s="316"/>
      <c r="N227" s="317"/>
      <c r="O227" s="316"/>
      <c r="P227" s="317"/>
      <c r="Q227" s="316"/>
      <c r="R227" s="317"/>
      <c r="S227" s="316"/>
      <c r="T227" s="317"/>
      <c r="U227" s="316"/>
      <c r="V227" s="317"/>
      <c r="W227" s="316"/>
      <c r="X227" s="317"/>
      <c r="Y227" s="316"/>
      <c r="Z227" s="317"/>
      <c r="AA227" s="316"/>
      <c r="AB227" s="317"/>
      <c r="AC227" s="316"/>
      <c r="AD227" s="317"/>
      <c r="AE227" s="316"/>
      <c r="AF227" s="317"/>
      <c r="AG227" s="316"/>
      <c r="AH227" s="317"/>
      <c r="AI227" s="316"/>
      <c r="AJ227" s="317"/>
      <c r="AK227" s="316"/>
      <c r="AL227" s="317"/>
      <c r="AM227" s="316"/>
      <c r="AN227" s="317"/>
      <c r="AO227" s="316"/>
      <c r="AP227" s="317"/>
      <c r="AQ227" s="316"/>
      <c r="AR227" s="317"/>
      <c r="AS227" s="316"/>
      <c r="AT227" s="317"/>
      <c r="AU227" s="316"/>
      <c r="AV227" s="317"/>
      <c r="AW227" s="316"/>
      <c r="AX227" s="317"/>
      <c r="AY227" s="316"/>
      <c r="AZ227" s="317"/>
      <c r="BA227" s="316"/>
      <c r="BB227" s="317"/>
      <c r="BC227" s="316"/>
      <c r="BD227" s="317"/>
      <c r="BE227" s="316"/>
      <c r="BF227" s="317"/>
      <c r="BG227" s="316"/>
      <c r="BH227" s="317"/>
      <c r="BI227" s="316"/>
      <c r="BJ227" s="317"/>
      <c r="BK227" s="316"/>
      <c r="BL227" s="317"/>
      <c r="BM227" s="316"/>
      <c r="BN227" s="318"/>
      <c r="BP227" s="286">
        <f>+VLOOKUP(A227,'Tổng,SUMMARY'!C:K,8,0)</f>
        <v>50</v>
      </c>
      <c r="BQ227" s="293">
        <f t="shared" si="34"/>
        <v>-50</v>
      </c>
    </row>
    <row r="228" spans="1:69" ht="18" hidden="1" customHeight="1">
      <c r="A228" s="320" t="s">
        <v>405</v>
      </c>
      <c r="B228" s="271" t="s">
        <v>394</v>
      </c>
      <c r="C228" s="315"/>
      <c r="D228" s="304">
        <f>SUMIF($E$4:BN$4,$F$4,E228:BN228)</f>
        <v>0</v>
      </c>
      <c r="E228" s="316"/>
      <c r="F228" s="317"/>
      <c r="G228" s="316"/>
      <c r="H228" s="317"/>
      <c r="I228" s="316"/>
      <c r="J228" s="317"/>
      <c r="K228" s="316"/>
      <c r="L228" s="317"/>
      <c r="M228" s="316"/>
      <c r="N228" s="317"/>
      <c r="O228" s="316"/>
      <c r="P228" s="317"/>
      <c r="Q228" s="316"/>
      <c r="R228" s="317"/>
      <c r="S228" s="316"/>
      <c r="T228" s="317"/>
      <c r="U228" s="316"/>
      <c r="V228" s="317"/>
      <c r="W228" s="316"/>
      <c r="X228" s="317"/>
      <c r="Y228" s="316"/>
      <c r="Z228" s="317"/>
      <c r="AA228" s="316"/>
      <c r="AB228" s="317"/>
      <c r="AC228" s="316"/>
      <c r="AD228" s="317"/>
      <c r="AE228" s="316"/>
      <c r="AF228" s="317"/>
      <c r="AG228" s="316"/>
      <c r="AH228" s="317"/>
      <c r="AI228" s="316"/>
      <c r="AJ228" s="317"/>
      <c r="AK228" s="316"/>
      <c r="AL228" s="317"/>
      <c r="AM228" s="316"/>
      <c r="AN228" s="317"/>
      <c r="AO228" s="316"/>
      <c r="AP228" s="317"/>
      <c r="AQ228" s="316"/>
      <c r="AR228" s="317"/>
      <c r="AS228" s="316"/>
      <c r="AT228" s="317"/>
      <c r="AU228" s="316"/>
      <c r="AV228" s="317"/>
      <c r="AW228" s="316"/>
      <c r="AX228" s="317"/>
      <c r="AY228" s="316"/>
      <c r="AZ228" s="317"/>
      <c r="BA228" s="316"/>
      <c r="BB228" s="317"/>
      <c r="BC228" s="316"/>
      <c r="BD228" s="317"/>
      <c r="BE228" s="316"/>
      <c r="BF228" s="317"/>
      <c r="BG228" s="316"/>
      <c r="BH228" s="317"/>
      <c r="BI228" s="316"/>
      <c r="BJ228" s="317"/>
      <c r="BK228" s="316"/>
      <c r="BL228" s="317"/>
      <c r="BM228" s="316"/>
      <c r="BN228" s="318"/>
      <c r="BP228" s="286">
        <f>+VLOOKUP(A228,'Tổng,SUMMARY'!C:K,8,0)</f>
        <v>500</v>
      </c>
      <c r="BQ228" s="293">
        <f t="shared" si="34"/>
        <v>-500</v>
      </c>
    </row>
    <row r="229" spans="1:69" ht="18" hidden="1" customHeight="1">
      <c r="A229" s="320" t="s">
        <v>406</v>
      </c>
      <c r="B229" s="271" t="s">
        <v>394</v>
      </c>
      <c r="C229" s="315"/>
      <c r="D229" s="304">
        <f>SUMIF($E$4:BN$4,$F$4,E229:BN229)</f>
        <v>0</v>
      </c>
      <c r="E229" s="316"/>
      <c r="F229" s="317"/>
      <c r="G229" s="316"/>
      <c r="H229" s="317"/>
      <c r="I229" s="316"/>
      <c r="J229" s="317"/>
      <c r="K229" s="316"/>
      <c r="L229" s="317"/>
      <c r="M229" s="316"/>
      <c r="N229" s="317"/>
      <c r="O229" s="316"/>
      <c r="P229" s="317"/>
      <c r="Q229" s="316"/>
      <c r="R229" s="317"/>
      <c r="S229" s="316"/>
      <c r="T229" s="317"/>
      <c r="U229" s="316"/>
      <c r="V229" s="317"/>
      <c r="W229" s="316"/>
      <c r="X229" s="317"/>
      <c r="Y229" s="316"/>
      <c r="Z229" s="317"/>
      <c r="AA229" s="316"/>
      <c r="AB229" s="317"/>
      <c r="AC229" s="316"/>
      <c r="AD229" s="317"/>
      <c r="AE229" s="316"/>
      <c r="AF229" s="317"/>
      <c r="AG229" s="316"/>
      <c r="AH229" s="317"/>
      <c r="AI229" s="316"/>
      <c r="AJ229" s="317"/>
      <c r="AK229" s="316"/>
      <c r="AL229" s="317"/>
      <c r="AM229" s="316"/>
      <c r="AN229" s="317"/>
      <c r="AO229" s="316"/>
      <c r="AP229" s="317"/>
      <c r="AQ229" s="316"/>
      <c r="AR229" s="317"/>
      <c r="AS229" s="316"/>
      <c r="AT229" s="317"/>
      <c r="AU229" s="316"/>
      <c r="AV229" s="317"/>
      <c r="AW229" s="316"/>
      <c r="AX229" s="317"/>
      <c r="AY229" s="316"/>
      <c r="AZ229" s="317"/>
      <c r="BA229" s="316"/>
      <c r="BB229" s="317"/>
      <c r="BC229" s="316"/>
      <c r="BD229" s="317"/>
      <c r="BE229" s="316"/>
      <c r="BF229" s="317"/>
      <c r="BG229" s="316"/>
      <c r="BH229" s="317"/>
      <c r="BI229" s="316"/>
      <c r="BJ229" s="317"/>
      <c r="BK229" s="316"/>
      <c r="BL229" s="317"/>
      <c r="BM229" s="316"/>
      <c r="BN229" s="318"/>
      <c r="BP229" s="286">
        <f>+VLOOKUP(A229,'Tổng,SUMMARY'!C:K,8,0)</f>
        <v>1050</v>
      </c>
      <c r="BQ229" s="293">
        <f t="shared" si="34"/>
        <v>-1050</v>
      </c>
    </row>
    <row r="230" spans="1:69" ht="18" hidden="1" customHeight="1">
      <c r="A230" s="320" t="s">
        <v>407</v>
      </c>
      <c r="B230" s="271" t="s">
        <v>408</v>
      </c>
      <c r="C230" s="315"/>
      <c r="D230" s="304">
        <f>SUMIF($E$4:BN$4,$F$4,E230:BN230)</f>
        <v>0</v>
      </c>
      <c r="E230" s="316"/>
      <c r="F230" s="317"/>
      <c r="G230" s="316"/>
      <c r="H230" s="317"/>
      <c r="I230" s="316"/>
      <c r="J230" s="317"/>
      <c r="K230" s="316"/>
      <c r="L230" s="317"/>
      <c r="M230" s="316"/>
      <c r="N230" s="317"/>
      <c r="O230" s="316"/>
      <c r="P230" s="317"/>
      <c r="Q230" s="316"/>
      <c r="R230" s="317"/>
      <c r="S230" s="316"/>
      <c r="T230" s="317"/>
      <c r="U230" s="316"/>
      <c r="V230" s="317"/>
      <c r="W230" s="316"/>
      <c r="X230" s="317"/>
      <c r="Y230" s="316"/>
      <c r="Z230" s="317"/>
      <c r="AA230" s="316"/>
      <c r="AB230" s="317"/>
      <c r="AC230" s="316"/>
      <c r="AD230" s="317"/>
      <c r="AE230" s="316"/>
      <c r="AF230" s="317"/>
      <c r="AG230" s="316"/>
      <c r="AH230" s="317"/>
      <c r="AI230" s="316"/>
      <c r="AJ230" s="317"/>
      <c r="AK230" s="316"/>
      <c r="AL230" s="317"/>
      <c r="AM230" s="316"/>
      <c r="AN230" s="317"/>
      <c r="AO230" s="316"/>
      <c r="AP230" s="317"/>
      <c r="AQ230" s="316"/>
      <c r="AR230" s="317"/>
      <c r="AS230" s="316"/>
      <c r="AT230" s="317"/>
      <c r="AU230" s="316"/>
      <c r="AV230" s="317"/>
      <c r="AW230" s="316"/>
      <c r="AX230" s="317"/>
      <c r="AY230" s="316"/>
      <c r="AZ230" s="317"/>
      <c r="BA230" s="316"/>
      <c r="BB230" s="317"/>
      <c r="BC230" s="316"/>
      <c r="BD230" s="317"/>
      <c r="BE230" s="316"/>
      <c r="BF230" s="317"/>
      <c r="BG230" s="316"/>
      <c r="BH230" s="317"/>
      <c r="BI230" s="316"/>
      <c r="BJ230" s="317"/>
      <c r="BK230" s="316"/>
      <c r="BL230" s="317"/>
      <c r="BM230" s="316"/>
      <c r="BN230" s="318"/>
      <c r="BP230" s="286">
        <f>+VLOOKUP(A230,'Tổng,SUMMARY'!C:K,8,0)</f>
        <v>2400</v>
      </c>
      <c r="BQ230" s="293">
        <f t="shared" ref="BQ230" si="35">+D230-BP230</f>
        <v>-2400</v>
      </c>
    </row>
    <row r="231" spans="1:69" ht="18" hidden="1" customHeight="1">
      <c r="A231" s="320" t="s">
        <v>409</v>
      </c>
      <c r="B231" s="271" t="s">
        <v>410</v>
      </c>
      <c r="C231" s="315"/>
      <c r="D231" s="304">
        <f>SUMIF($E$4:BN$4,$F$4,E231:BN231)</f>
        <v>0</v>
      </c>
      <c r="E231" s="316"/>
      <c r="F231" s="317"/>
      <c r="G231" s="316"/>
      <c r="H231" s="317"/>
      <c r="I231" s="316"/>
      <c r="J231" s="317"/>
      <c r="K231" s="316"/>
      <c r="L231" s="317"/>
      <c r="M231" s="316"/>
      <c r="N231" s="317"/>
      <c r="O231" s="316"/>
      <c r="P231" s="317"/>
      <c r="Q231" s="316"/>
      <c r="R231" s="317"/>
      <c r="S231" s="316"/>
      <c r="T231" s="317"/>
      <c r="U231" s="316"/>
      <c r="V231" s="317"/>
      <c r="W231" s="316"/>
      <c r="X231" s="317"/>
      <c r="Y231" s="316"/>
      <c r="Z231" s="317"/>
      <c r="AA231" s="316"/>
      <c r="AB231" s="317"/>
      <c r="AC231" s="316"/>
      <c r="AD231" s="317"/>
      <c r="AE231" s="316"/>
      <c r="AF231" s="317"/>
      <c r="AG231" s="316"/>
      <c r="AH231" s="317"/>
      <c r="AI231" s="316"/>
      <c r="AJ231" s="317"/>
      <c r="AK231" s="316"/>
      <c r="AL231" s="317"/>
      <c r="AM231" s="316"/>
      <c r="AN231" s="317"/>
      <c r="AO231" s="316"/>
      <c r="AP231" s="317"/>
      <c r="AQ231" s="316"/>
      <c r="AR231" s="317"/>
      <c r="AS231" s="316"/>
      <c r="AT231" s="317"/>
      <c r="AU231" s="316"/>
      <c r="AV231" s="317"/>
      <c r="AW231" s="316"/>
      <c r="AX231" s="317"/>
      <c r="AY231" s="316"/>
      <c r="AZ231" s="317"/>
      <c r="BA231" s="316"/>
      <c r="BB231" s="317"/>
      <c r="BC231" s="316"/>
      <c r="BD231" s="317"/>
      <c r="BE231" s="316"/>
      <c r="BF231" s="317"/>
      <c r="BG231" s="316"/>
      <c r="BH231" s="317"/>
      <c r="BI231" s="316"/>
      <c r="BJ231" s="317"/>
      <c r="BK231" s="316"/>
      <c r="BL231" s="317"/>
      <c r="BM231" s="316"/>
      <c r="BN231" s="318"/>
      <c r="BP231" s="286">
        <f>+VLOOKUP(A231,'Tổng,SUMMARY'!C:K,8,0)</f>
        <v>500</v>
      </c>
      <c r="BQ231" s="293">
        <f t="shared" si="34"/>
        <v>-500</v>
      </c>
    </row>
    <row r="232" spans="1:69" ht="18" hidden="1" customHeight="1">
      <c r="A232" s="320" t="s">
        <v>411</v>
      </c>
      <c r="B232" s="271" t="s">
        <v>412</v>
      </c>
      <c r="C232" s="315"/>
      <c r="D232" s="304">
        <f>SUMIF($E$4:BN$4,$F$4,E232:BN232)</f>
        <v>0</v>
      </c>
      <c r="E232" s="316"/>
      <c r="F232" s="317"/>
      <c r="G232" s="316"/>
      <c r="H232" s="317"/>
      <c r="I232" s="316"/>
      <c r="J232" s="317"/>
      <c r="K232" s="316"/>
      <c r="L232" s="317"/>
      <c r="M232" s="316"/>
      <c r="N232" s="317"/>
      <c r="O232" s="316"/>
      <c r="P232" s="317"/>
      <c r="Q232" s="316"/>
      <c r="R232" s="317"/>
      <c r="S232" s="316"/>
      <c r="T232" s="317"/>
      <c r="U232" s="316"/>
      <c r="V232" s="317"/>
      <c r="W232" s="316"/>
      <c r="X232" s="317"/>
      <c r="Y232" s="316"/>
      <c r="Z232" s="317"/>
      <c r="AA232" s="316"/>
      <c r="AB232" s="317"/>
      <c r="AC232" s="316"/>
      <c r="AD232" s="317"/>
      <c r="AE232" s="316"/>
      <c r="AF232" s="317"/>
      <c r="AG232" s="316"/>
      <c r="AH232" s="317"/>
      <c r="AI232" s="316"/>
      <c r="AJ232" s="317"/>
      <c r="AK232" s="316"/>
      <c r="AL232" s="317"/>
      <c r="AM232" s="316"/>
      <c r="AN232" s="317"/>
      <c r="AO232" s="316"/>
      <c r="AP232" s="317"/>
      <c r="AQ232" s="316"/>
      <c r="AR232" s="317"/>
      <c r="AS232" s="316"/>
      <c r="AT232" s="317"/>
      <c r="AU232" s="316"/>
      <c r="AV232" s="317"/>
      <c r="AW232" s="316"/>
      <c r="AX232" s="317"/>
      <c r="AY232" s="316"/>
      <c r="AZ232" s="317"/>
      <c r="BA232" s="316"/>
      <c r="BB232" s="317"/>
      <c r="BC232" s="316"/>
      <c r="BD232" s="317"/>
      <c r="BE232" s="316"/>
      <c r="BF232" s="317"/>
      <c r="BG232" s="316"/>
      <c r="BH232" s="317"/>
      <c r="BI232" s="316"/>
      <c r="BJ232" s="317"/>
      <c r="BK232" s="316"/>
      <c r="BL232" s="317"/>
      <c r="BM232" s="316"/>
      <c r="BN232" s="318"/>
      <c r="BO232" s="289">
        <f ca="1">SUMIF(E$4:$BN191,$E$4,E232:BN232)</f>
        <v>0</v>
      </c>
      <c r="BP232" s="286">
        <f>+VLOOKUP(A232,'Tổng,SUMMARY'!C:K,8,0)</f>
        <v>500</v>
      </c>
      <c r="BQ232" s="293">
        <f t="shared" si="34"/>
        <v>-500</v>
      </c>
    </row>
    <row r="233" spans="1:69" ht="18" hidden="1" customHeight="1">
      <c r="A233" s="320" t="s">
        <v>413</v>
      </c>
      <c r="B233" s="271" t="s">
        <v>414</v>
      </c>
      <c r="C233" s="315"/>
      <c r="D233" s="304">
        <f>SUMIF($E$4:BN$4,$F$4,E233:BN233)</f>
        <v>0</v>
      </c>
      <c r="E233" s="316"/>
      <c r="F233" s="317"/>
      <c r="G233" s="316"/>
      <c r="H233" s="317"/>
      <c r="I233" s="316"/>
      <c r="J233" s="317"/>
      <c r="K233" s="316"/>
      <c r="L233" s="317"/>
      <c r="M233" s="316"/>
      <c r="N233" s="317"/>
      <c r="O233" s="316"/>
      <c r="P233" s="317"/>
      <c r="Q233" s="316"/>
      <c r="R233" s="317"/>
      <c r="S233" s="316"/>
      <c r="T233" s="317"/>
      <c r="U233" s="316"/>
      <c r="V233" s="317"/>
      <c r="W233" s="316"/>
      <c r="X233" s="317"/>
      <c r="Y233" s="316"/>
      <c r="Z233" s="317"/>
      <c r="AA233" s="316"/>
      <c r="AB233" s="317"/>
      <c r="AC233" s="316"/>
      <c r="AD233" s="317"/>
      <c r="AE233" s="316"/>
      <c r="AF233" s="317"/>
      <c r="AG233" s="316"/>
      <c r="AH233" s="317"/>
      <c r="AI233" s="316"/>
      <c r="AJ233" s="317"/>
      <c r="AK233" s="316"/>
      <c r="AL233" s="317"/>
      <c r="AM233" s="316"/>
      <c r="AN233" s="317"/>
      <c r="AO233" s="316"/>
      <c r="AP233" s="317"/>
      <c r="AQ233" s="316"/>
      <c r="AR233" s="317"/>
      <c r="AS233" s="316"/>
      <c r="AT233" s="317"/>
      <c r="AU233" s="316"/>
      <c r="AV233" s="317"/>
      <c r="AW233" s="316"/>
      <c r="AX233" s="317"/>
      <c r="AY233" s="316"/>
      <c r="AZ233" s="317"/>
      <c r="BA233" s="316"/>
      <c r="BB233" s="317"/>
      <c r="BC233" s="316"/>
      <c r="BD233" s="317"/>
      <c r="BE233" s="316"/>
      <c r="BF233" s="317"/>
      <c r="BG233" s="316"/>
      <c r="BH233" s="317"/>
      <c r="BI233" s="316"/>
      <c r="BJ233" s="317"/>
      <c r="BK233" s="316"/>
      <c r="BL233" s="317"/>
      <c r="BM233" s="316"/>
      <c r="BN233" s="318"/>
      <c r="BO233" s="289">
        <f ca="1">SUMIF(E$4:$BN189,$E$4,E233:BN233)</f>
        <v>0</v>
      </c>
      <c r="BP233" s="286">
        <f>+VLOOKUP(A233,'Tổng,SUMMARY'!C:K,8,0)</f>
        <v>1500</v>
      </c>
      <c r="BQ233" s="293">
        <f t="shared" si="34"/>
        <v>-1500</v>
      </c>
    </row>
    <row r="234" spans="1:69" ht="18" hidden="1" customHeight="1">
      <c r="A234" s="320" t="s">
        <v>415</v>
      </c>
      <c r="B234" s="271" t="s">
        <v>414</v>
      </c>
      <c r="C234" s="315"/>
      <c r="D234" s="304">
        <f>SUMIF($E$4:BN$4,$F$4,E234:BN234)</f>
        <v>0</v>
      </c>
      <c r="E234" s="316"/>
      <c r="F234" s="317"/>
      <c r="G234" s="316"/>
      <c r="H234" s="317"/>
      <c r="I234" s="316"/>
      <c r="J234" s="317"/>
      <c r="K234" s="316"/>
      <c r="L234" s="317"/>
      <c r="M234" s="316"/>
      <c r="N234" s="317"/>
      <c r="O234" s="316"/>
      <c r="P234" s="317"/>
      <c r="Q234" s="316"/>
      <c r="R234" s="317"/>
      <c r="S234" s="316"/>
      <c r="T234" s="317"/>
      <c r="U234" s="316"/>
      <c r="V234" s="317"/>
      <c r="W234" s="316"/>
      <c r="X234" s="317"/>
      <c r="Y234" s="316"/>
      <c r="Z234" s="317"/>
      <c r="AA234" s="316"/>
      <c r="AB234" s="317"/>
      <c r="AC234" s="316"/>
      <c r="AD234" s="317"/>
      <c r="AE234" s="316"/>
      <c r="AF234" s="317"/>
      <c r="AG234" s="316"/>
      <c r="AH234" s="317"/>
      <c r="AI234" s="316"/>
      <c r="AJ234" s="317"/>
      <c r="AK234" s="316"/>
      <c r="AL234" s="317"/>
      <c r="AM234" s="316"/>
      <c r="AN234" s="317"/>
      <c r="AO234" s="316"/>
      <c r="AP234" s="317"/>
      <c r="AQ234" s="316"/>
      <c r="AR234" s="317"/>
      <c r="AS234" s="316"/>
      <c r="AT234" s="317"/>
      <c r="AU234" s="316"/>
      <c r="AV234" s="317"/>
      <c r="AW234" s="316"/>
      <c r="AX234" s="317"/>
      <c r="AY234" s="316"/>
      <c r="AZ234" s="317"/>
      <c r="BA234" s="316"/>
      <c r="BB234" s="317"/>
      <c r="BC234" s="316"/>
      <c r="BD234" s="317"/>
      <c r="BE234" s="316"/>
      <c r="BF234" s="317"/>
      <c r="BG234" s="316"/>
      <c r="BH234" s="317"/>
      <c r="BI234" s="316"/>
      <c r="BJ234" s="317"/>
      <c r="BK234" s="316"/>
      <c r="BL234" s="317"/>
      <c r="BM234" s="316"/>
      <c r="BN234" s="318"/>
      <c r="BQ234" s="293"/>
    </row>
    <row r="235" spans="1:69" ht="18" hidden="1" customHeight="1">
      <c r="A235" s="320" t="s">
        <v>416</v>
      </c>
      <c r="B235" s="271" t="s">
        <v>417</v>
      </c>
      <c r="C235" s="315"/>
      <c r="D235" s="304">
        <f>SUMIF($E$4:BN$4,$F$4,E235:BN235)</f>
        <v>0</v>
      </c>
      <c r="E235" s="316"/>
      <c r="F235" s="317"/>
      <c r="G235" s="316"/>
      <c r="H235" s="317"/>
      <c r="I235" s="316"/>
      <c r="J235" s="317"/>
      <c r="K235" s="316"/>
      <c r="L235" s="317"/>
      <c r="M235" s="316"/>
      <c r="N235" s="317"/>
      <c r="O235" s="316"/>
      <c r="P235" s="317"/>
      <c r="Q235" s="316"/>
      <c r="R235" s="317"/>
      <c r="S235" s="316"/>
      <c r="T235" s="317"/>
      <c r="U235" s="316"/>
      <c r="V235" s="317"/>
      <c r="W235" s="316"/>
      <c r="X235" s="317"/>
      <c r="Y235" s="316"/>
      <c r="Z235" s="317"/>
      <c r="AA235" s="316"/>
      <c r="AB235" s="317"/>
      <c r="AC235" s="316"/>
      <c r="AD235" s="317"/>
      <c r="AE235" s="316"/>
      <c r="AF235" s="317"/>
      <c r="AG235" s="316"/>
      <c r="AH235" s="317"/>
      <c r="AI235" s="316"/>
      <c r="AJ235" s="317"/>
      <c r="AK235" s="316"/>
      <c r="AL235" s="317"/>
      <c r="AM235" s="316"/>
      <c r="AN235" s="317"/>
      <c r="AO235" s="316"/>
      <c r="AP235" s="317"/>
      <c r="AQ235" s="316"/>
      <c r="AR235" s="317"/>
      <c r="AS235" s="316"/>
      <c r="AT235" s="317"/>
      <c r="AU235" s="316"/>
      <c r="AV235" s="317"/>
      <c r="AW235" s="316"/>
      <c r="AX235" s="317"/>
      <c r="AY235" s="316"/>
      <c r="AZ235" s="317"/>
      <c r="BA235" s="316"/>
      <c r="BB235" s="317"/>
      <c r="BC235" s="316"/>
      <c r="BD235" s="317"/>
      <c r="BE235" s="316"/>
      <c r="BF235" s="317"/>
      <c r="BG235" s="316"/>
      <c r="BH235" s="317"/>
      <c r="BI235" s="316"/>
      <c r="BJ235" s="317"/>
      <c r="BK235" s="316"/>
      <c r="BL235" s="317"/>
      <c r="BM235" s="316"/>
      <c r="BN235" s="318"/>
      <c r="BO235" s="289">
        <f ca="1">SUMIF(E$4:$BN190,$E$4,E235:BN235)</f>
        <v>0</v>
      </c>
      <c r="BP235" s="286">
        <f>+VLOOKUP(A235,'Tổng,SUMMARY'!C:K,8,0)</f>
        <v>2900</v>
      </c>
      <c r="BQ235" s="293">
        <f t="shared" si="34"/>
        <v>-2900</v>
      </c>
    </row>
    <row r="236" spans="1:69" ht="18" hidden="1" customHeight="1">
      <c r="A236" s="320" t="s">
        <v>418</v>
      </c>
      <c r="B236" s="271" t="s">
        <v>419</v>
      </c>
      <c r="C236" s="315"/>
      <c r="D236" s="304">
        <f>SUMIF($E$4:BN$4,$F$4,E236:BN236)</f>
        <v>0</v>
      </c>
      <c r="E236" s="316"/>
      <c r="F236" s="317"/>
      <c r="G236" s="316"/>
      <c r="H236" s="317"/>
      <c r="I236" s="316"/>
      <c r="J236" s="317"/>
      <c r="K236" s="316"/>
      <c r="L236" s="317"/>
      <c r="M236" s="316"/>
      <c r="N236" s="317"/>
      <c r="O236" s="316"/>
      <c r="P236" s="317"/>
      <c r="Q236" s="316"/>
      <c r="R236" s="317"/>
      <c r="S236" s="316"/>
      <c r="T236" s="317"/>
      <c r="U236" s="316"/>
      <c r="V236" s="317"/>
      <c r="W236" s="316"/>
      <c r="X236" s="317"/>
      <c r="Y236" s="316"/>
      <c r="Z236" s="317"/>
      <c r="AA236" s="316"/>
      <c r="AB236" s="317"/>
      <c r="AC236" s="316"/>
      <c r="AD236" s="317"/>
      <c r="AE236" s="316"/>
      <c r="AF236" s="317"/>
      <c r="AG236" s="316"/>
      <c r="AH236" s="317"/>
      <c r="AI236" s="316"/>
      <c r="AJ236" s="317"/>
      <c r="AK236" s="316"/>
      <c r="AL236" s="317"/>
      <c r="AM236" s="316"/>
      <c r="AN236" s="317"/>
      <c r="AO236" s="316"/>
      <c r="AP236" s="317"/>
      <c r="AQ236" s="316"/>
      <c r="AR236" s="317"/>
      <c r="AS236" s="316"/>
      <c r="AT236" s="317"/>
      <c r="AU236" s="316"/>
      <c r="AV236" s="317"/>
      <c r="AW236" s="316"/>
      <c r="AX236" s="317"/>
      <c r="AY236" s="316"/>
      <c r="AZ236" s="317"/>
      <c r="BA236" s="316"/>
      <c r="BB236" s="317"/>
      <c r="BC236" s="316"/>
      <c r="BD236" s="317"/>
      <c r="BE236" s="316"/>
      <c r="BF236" s="317"/>
      <c r="BG236" s="316"/>
      <c r="BH236" s="317"/>
      <c r="BI236" s="316"/>
      <c r="BJ236" s="317"/>
      <c r="BK236" s="316"/>
      <c r="BL236" s="317"/>
      <c r="BM236" s="316"/>
      <c r="BN236" s="318"/>
      <c r="BO236" s="289">
        <f ca="1">SUMIF(E$4:$BN191,$E$4,E236:BN236)</f>
        <v>0</v>
      </c>
      <c r="BP236" s="286">
        <f>+VLOOKUP(A236,'Tổng,SUMMARY'!C:K,8,0)</f>
        <v>2900</v>
      </c>
      <c r="BQ236" s="293">
        <f t="shared" si="34"/>
        <v>-2900</v>
      </c>
    </row>
    <row r="237" spans="1:69" ht="18" hidden="1" customHeight="1">
      <c r="A237" s="320" t="s">
        <v>420</v>
      </c>
      <c r="B237" s="271" t="s">
        <v>421</v>
      </c>
      <c r="C237" s="315"/>
      <c r="D237" s="304">
        <f>SUMIF($E$4:BN$4,$F$4,E237:BN237)</f>
        <v>0</v>
      </c>
      <c r="E237" s="316"/>
      <c r="F237" s="317"/>
      <c r="G237" s="316"/>
      <c r="H237" s="317"/>
      <c r="I237" s="316"/>
      <c r="J237" s="317"/>
      <c r="K237" s="316"/>
      <c r="L237" s="317"/>
      <c r="M237" s="316"/>
      <c r="N237" s="317"/>
      <c r="O237" s="316"/>
      <c r="P237" s="317"/>
      <c r="Q237" s="316"/>
      <c r="R237" s="317"/>
      <c r="S237" s="316"/>
      <c r="T237" s="317"/>
      <c r="U237" s="316"/>
      <c r="V237" s="317"/>
      <c r="W237" s="316"/>
      <c r="X237" s="317"/>
      <c r="Y237" s="316"/>
      <c r="Z237" s="317"/>
      <c r="AA237" s="316"/>
      <c r="AB237" s="317"/>
      <c r="AC237" s="316"/>
      <c r="AD237" s="317"/>
      <c r="AE237" s="316"/>
      <c r="AF237" s="317"/>
      <c r="AG237" s="316"/>
      <c r="AH237" s="317"/>
      <c r="AI237" s="316"/>
      <c r="AJ237" s="317"/>
      <c r="AK237" s="316"/>
      <c r="AL237" s="317"/>
      <c r="AM237" s="316"/>
      <c r="AN237" s="317"/>
      <c r="AO237" s="316"/>
      <c r="AP237" s="317"/>
      <c r="AQ237" s="316"/>
      <c r="AR237" s="317"/>
      <c r="AS237" s="316"/>
      <c r="AT237" s="317"/>
      <c r="AU237" s="316"/>
      <c r="AV237" s="317"/>
      <c r="AW237" s="316"/>
      <c r="AX237" s="317"/>
      <c r="AY237" s="316"/>
      <c r="AZ237" s="317"/>
      <c r="BA237" s="316"/>
      <c r="BB237" s="317"/>
      <c r="BC237" s="316"/>
      <c r="BD237" s="317"/>
      <c r="BE237" s="316"/>
      <c r="BF237" s="317"/>
      <c r="BG237" s="316"/>
      <c r="BH237" s="317"/>
      <c r="BI237" s="316"/>
      <c r="BJ237" s="317"/>
      <c r="BK237" s="316"/>
      <c r="BL237" s="317"/>
      <c r="BM237" s="316"/>
      <c r="BN237" s="318"/>
      <c r="BO237" s="289">
        <f ca="1">SUMIF(E$4:$BN191,$E$4,E237:BN237)</f>
        <v>0</v>
      </c>
      <c r="BP237" s="286">
        <f>+VLOOKUP(A237,'Tổng,SUMMARY'!C:K,8,0)</f>
        <v>0</v>
      </c>
      <c r="BQ237" s="293">
        <f t="shared" si="34"/>
        <v>0</v>
      </c>
    </row>
    <row r="238" spans="1:69" ht="18" hidden="1" customHeight="1">
      <c r="A238" s="320" t="s">
        <v>422</v>
      </c>
      <c r="B238" s="271" t="s">
        <v>223</v>
      </c>
      <c r="C238" s="315"/>
      <c r="D238" s="304">
        <f>SUMIF($E$4:BN$4,$F$4,E238:BN238)</f>
        <v>0</v>
      </c>
      <c r="E238" s="316"/>
      <c r="F238" s="317"/>
      <c r="G238" s="316"/>
      <c r="H238" s="317"/>
      <c r="I238" s="316"/>
      <c r="J238" s="317"/>
      <c r="K238" s="316"/>
      <c r="L238" s="317"/>
      <c r="M238" s="316"/>
      <c r="N238" s="317"/>
      <c r="O238" s="316"/>
      <c r="P238" s="317"/>
      <c r="Q238" s="316"/>
      <c r="R238" s="317"/>
      <c r="S238" s="316"/>
      <c r="T238" s="317"/>
      <c r="U238" s="316"/>
      <c r="V238" s="317"/>
      <c r="W238" s="316"/>
      <c r="X238" s="317"/>
      <c r="Y238" s="316"/>
      <c r="Z238" s="317"/>
      <c r="AA238" s="316"/>
      <c r="AB238" s="317"/>
      <c r="AC238" s="316"/>
      <c r="AD238" s="317"/>
      <c r="AE238" s="316"/>
      <c r="AF238" s="317"/>
      <c r="AG238" s="316"/>
      <c r="AH238" s="317"/>
      <c r="AI238" s="316"/>
      <c r="AJ238" s="317"/>
      <c r="AK238" s="316"/>
      <c r="AL238" s="317"/>
      <c r="AM238" s="316"/>
      <c r="AN238" s="317"/>
      <c r="AO238" s="316"/>
      <c r="AP238" s="317"/>
      <c r="AQ238" s="316"/>
      <c r="AR238" s="317"/>
      <c r="AS238" s="316"/>
      <c r="AT238" s="317"/>
      <c r="AU238" s="316"/>
      <c r="AV238" s="317"/>
      <c r="AW238" s="316"/>
      <c r="AX238" s="317"/>
      <c r="AY238" s="316"/>
      <c r="AZ238" s="317"/>
      <c r="BA238" s="316"/>
      <c r="BB238" s="317"/>
      <c r="BC238" s="316"/>
      <c r="BD238" s="317"/>
      <c r="BE238" s="316"/>
      <c r="BF238" s="317"/>
      <c r="BG238" s="316"/>
      <c r="BH238" s="317"/>
      <c r="BI238" s="316"/>
      <c r="BJ238" s="317"/>
      <c r="BK238" s="316"/>
      <c r="BL238" s="317"/>
      <c r="BM238" s="316"/>
      <c r="BN238" s="318"/>
      <c r="BO238" s="289">
        <f ca="1">SUMIF(E$4:$BN191,$E$4,E238:BN238)</f>
        <v>0</v>
      </c>
      <c r="BP238" s="286">
        <f>+VLOOKUP(A238,'Tổng,SUMMARY'!C:K,8,0)</f>
        <v>550</v>
      </c>
      <c r="BQ238" s="293">
        <f t="shared" si="34"/>
        <v>-550</v>
      </c>
    </row>
    <row r="239" spans="1:69" ht="18" hidden="1" customHeight="1">
      <c r="A239" s="320" t="s">
        <v>423</v>
      </c>
      <c r="B239" s="271" t="s">
        <v>424</v>
      </c>
      <c r="C239" s="315"/>
      <c r="D239" s="304">
        <f>SUMIF($E$4:BN$4,$F$4,E239:BN239)</f>
        <v>0</v>
      </c>
      <c r="E239" s="316"/>
      <c r="F239" s="317"/>
      <c r="G239" s="316"/>
      <c r="H239" s="317"/>
      <c r="I239" s="316"/>
      <c r="J239" s="317"/>
      <c r="K239" s="316"/>
      <c r="L239" s="317"/>
      <c r="M239" s="316"/>
      <c r="N239" s="317"/>
      <c r="O239" s="316"/>
      <c r="P239" s="317"/>
      <c r="Q239" s="316"/>
      <c r="R239" s="317"/>
      <c r="S239" s="316"/>
      <c r="T239" s="317"/>
      <c r="U239" s="316"/>
      <c r="V239" s="317"/>
      <c r="W239" s="316"/>
      <c r="X239" s="317"/>
      <c r="Y239" s="316"/>
      <c r="Z239" s="317"/>
      <c r="AA239" s="316"/>
      <c r="AB239" s="317"/>
      <c r="AC239" s="316"/>
      <c r="AD239" s="317"/>
      <c r="AE239" s="316"/>
      <c r="AF239" s="317"/>
      <c r="AG239" s="316"/>
      <c r="AH239" s="317"/>
      <c r="AI239" s="316"/>
      <c r="AJ239" s="317"/>
      <c r="AK239" s="316"/>
      <c r="AL239" s="317"/>
      <c r="AM239" s="316"/>
      <c r="AN239" s="317"/>
      <c r="AO239" s="316"/>
      <c r="AP239" s="317"/>
      <c r="AQ239" s="316"/>
      <c r="AR239" s="317"/>
      <c r="AS239" s="316"/>
      <c r="AT239" s="317"/>
      <c r="AU239" s="316"/>
      <c r="AV239" s="317"/>
      <c r="AW239" s="316"/>
      <c r="AX239" s="317"/>
      <c r="AY239" s="316"/>
      <c r="AZ239" s="317"/>
      <c r="BA239" s="316"/>
      <c r="BB239" s="317"/>
      <c r="BC239" s="316"/>
      <c r="BD239" s="317"/>
      <c r="BE239" s="316"/>
      <c r="BF239" s="317"/>
      <c r="BG239" s="316"/>
      <c r="BH239" s="317"/>
      <c r="BI239" s="316"/>
      <c r="BJ239" s="317"/>
      <c r="BK239" s="316"/>
      <c r="BL239" s="317"/>
      <c r="BM239" s="316"/>
      <c r="BN239" s="318"/>
      <c r="BO239" s="289">
        <f ca="1">SUMIF(E$4:$BN191,$E$4,E239:BN239)</f>
        <v>0</v>
      </c>
      <c r="BP239" s="286">
        <f>+VLOOKUP(A239,'Tổng,SUMMARY'!C:K,8,0)</f>
        <v>1550</v>
      </c>
      <c r="BQ239" s="293">
        <f t="shared" si="34"/>
        <v>-1550</v>
      </c>
    </row>
    <row r="240" spans="1:69" ht="18" hidden="1" customHeight="1">
      <c r="A240" s="320" t="s">
        <v>425</v>
      </c>
      <c r="B240" s="271" t="s">
        <v>426</v>
      </c>
      <c r="C240" s="315"/>
      <c r="D240" s="304">
        <f>SUMIF($E$4:BN$4,$F$4,E240:BN240)</f>
        <v>0</v>
      </c>
      <c r="E240" s="316"/>
      <c r="F240" s="317"/>
      <c r="G240" s="316"/>
      <c r="H240" s="317"/>
      <c r="I240" s="316"/>
      <c r="J240" s="317"/>
      <c r="K240" s="316"/>
      <c r="L240" s="317"/>
      <c r="M240" s="316"/>
      <c r="N240" s="317"/>
      <c r="O240" s="316"/>
      <c r="P240" s="317"/>
      <c r="Q240" s="316"/>
      <c r="R240" s="317"/>
      <c r="S240" s="316"/>
      <c r="T240" s="317"/>
      <c r="U240" s="316"/>
      <c r="V240" s="317"/>
      <c r="W240" s="316"/>
      <c r="X240" s="317"/>
      <c r="Y240" s="316"/>
      <c r="Z240" s="317"/>
      <c r="AA240" s="316"/>
      <c r="AB240" s="317"/>
      <c r="AC240" s="316"/>
      <c r="AD240" s="317"/>
      <c r="AE240" s="316"/>
      <c r="AF240" s="317"/>
      <c r="AG240" s="316"/>
      <c r="AH240" s="317"/>
      <c r="AI240" s="316"/>
      <c r="AJ240" s="317"/>
      <c r="AK240" s="316"/>
      <c r="AL240" s="317"/>
      <c r="AM240" s="316"/>
      <c r="AN240" s="317"/>
      <c r="AO240" s="316"/>
      <c r="AP240" s="317"/>
      <c r="AQ240" s="316"/>
      <c r="AR240" s="317"/>
      <c r="AS240" s="316"/>
      <c r="AT240" s="317"/>
      <c r="AU240" s="316"/>
      <c r="AV240" s="317"/>
      <c r="AW240" s="316"/>
      <c r="AX240" s="317"/>
      <c r="AY240" s="316"/>
      <c r="AZ240" s="317"/>
      <c r="BA240" s="316"/>
      <c r="BB240" s="317"/>
      <c r="BC240" s="316"/>
      <c r="BD240" s="317"/>
      <c r="BE240" s="316"/>
      <c r="BF240" s="317"/>
      <c r="BG240" s="316"/>
      <c r="BH240" s="317"/>
      <c r="BI240" s="316"/>
      <c r="BJ240" s="317"/>
      <c r="BK240" s="316"/>
      <c r="BL240" s="317"/>
      <c r="BM240" s="316"/>
      <c r="BN240" s="318"/>
      <c r="BO240" s="289">
        <f ca="1">SUMIF(E$4:$BN191,$E$4,E240:BN240)</f>
        <v>0</v>
      </c>
      <c r="BP240" s="286">
        <f>+VLOOKUP(A240,'Tổng,SUMMARY'!C:K,8,0)</f>
        <v>600</v>
      </c>
      <c r="BQ240" s="293">
        <f t="shared" ref="BQ240:BQ266" si="36">+D240-BP240</f>
        <v>-600</v>
      </c>
    </row>
    <row r="241" spans="1:69" ht="18" hidden="1" customHeight="1">
      <c r="A241" s="320" t="s">
        <v>427</v>
      </c>
      <c r="B241" s="271" t="s">
        <v>428</v>
      </c>
      <c r="C241" s="315"/>
      <c r="D241" s="304">
        <f>SUMIF($E$4:BN$4,$F$4,E241:BN241)</f>
        <v>0</v>
      </c>
      <c r="E241" s="316"/>
      <c r="F241" s="317"/>
      <c r="G241" s="316"/>
      <c r="H241" s="317"/>
      <c r="I241" s="316"/>
      <c r="J241" s="317"/>
      <c r="K241" s="316"/>
      <c r="L241" s="317"/>
      <c r="M241" s="316"/>
      <c r="N241" s="317"/>
      <c r="O241" s="316"/>
      <c r="P241" s="317"/>
      <c r="Q241" s="316"/>
      <c r="R241" s="317"/>
      <c r="S241" s="316"/>
      <c r="T241" s="317"/>
      <c r="U241" s="316"/>
      <c r="V241" s="317"/>
      <c r="W241" s="316"/>
      <c r="X241" s="317"/>
      <c r="Y241" s="316"/>
      <c r="Z241" s="317"/>
      <c r="AA241" s="316"/>
      <c r="AB241" s="317"/>
      <c r="AC241" s="316"/>
      <c r="AD241" s="317"/>
      <c r="AE241" s="316"/>
      <c r="AF241" s="317"/>
      <c r="AG241" s="316"/>
      <c r="AH241" s="317"/>
      <c r="AI241" s="316"/>
      <c r="AJ241" s="317"/>
      <c r="AK241" s="316"/>
      <c r="AL241" s="317"/>
      <c r="AM241" s="316"/>
      <c r="AN241" s="317"/>
      <c r="AO241" s="316"/>
      <c r="AP241" s="317"/>
      <c r="AQ241" s="316"/>
      <c r="AR241" s="317"/>
      <c r="AS241" s="316"/>
      <c r="AT241" s="317"/>
      <c r="AU241" s="316"/>
      <c r="AV241" s="317"/>
      <c r="AW241" s="316"/>
      <c r="AX241" s="317"/>
      <c r="AY241" s="316"/>
      <c r="AZ241" s="317"/>
      <c r="BA241" s="316"/>
      <c r="BB241" s="317"/>
      <c r="BC241" s="316"/>
      <c r="BD241" s="317"/>
      <c r="BE241" s="316"/>
      <c r="BF241" s="317"/>
      <c r="BG241" s="316"/>
      <c r="BH241" s="317"/>
      <c r="BI241" s="316"/>
      <c r="BJ241" s="317"/>
      <c r="BK241" s="316"/>
      <c r="BL241" s="317"/>
      <c r="BM241" s="316"/>
      <c r="BN241" s="318"/>
      <c r="BO241" s="289">
        <f ca="1">SUMIF(E$4:$BN191,$E$4,E241:BN241)</f>
        <v>0</v>
      </c>
      <c r="BP241" s="286">
        <f>+VLOOKUP(A241,'Tổng,SUMMARY'!C:K,8,0)</f>
        <v>8100</v>
      </c>
      <c r="BQ241" s="293">
        <f t="shared" si="36"/>
        <v>-8100</v>
      </c>
    </row>
    <row r="242" spans="1:69" ht="18" hidden="1" customHeight="1">
      <c r="A242" s="320" t="s">
        <v>429</v>
      </c>
      <c r="B242" s="271" t="s">
        <v>430</v>
      </c>
      <c r="C242" s="315"/>
      <c r="D242" s="304">
        <f>SUMIF($E$4:BN$4,$F$4,E242:BN242)</f>
        <v>0</v>
      </c>
      <c r="E242" s="316"/>
      <c r="F242" s="317"/>
      <c r="G242" s="316"/>
      <c r="H242" s="317"/>
      <c r="I242" s="316"/>
      <c r="J242" s="317"/>
      <c r="K242" s="316"/>
      <c r="L242" s="317"/>
      <c r="M242" s="316"/>
      <c r="N242" s="317"/>
      <c r="O242" s="316"/>
      <c r="P242" s="317"/>
      <c r="Q242" s="316"/>
      <c r="R242" s="317"/>
      <c r="S242" s="316"/>
      <c r="T242" s="317"/>
      <c r="U242" s="316"/>
      <c r="V242" s="317"/>
      <c r="W242" s="316"/>
      <c r="X242" s="317"/>
      <c r="Y242" s="316"/>
      <c r="Z242" s="317"/>
      <c r="AA242" s="316"/>
      <c r="AB242" s="317"/>
      <c r="AC242" s="316"/>
      <c r="AD242" s="317"/>
      <c r="AE242" s="316"/>
      <c r="AF242" s="317"/>
      <c r="AG242" s="316"/>
      <c r="AH242" s="317"/>
      <c r="AI242" s="316"/>
      <c r="AJ242" s="317"/>
      <c r="AK242" s="316"/>
      <c r="AL242" s="317"/>
      <c r="AM242" s="316"/>
      <c r="AN242" s="317"/>
      <c r="AO242" s="316"/>
      <c r="AP242" s="317"/>
      <c r="AQ242" s="316"/>
      <c r="AR242" s="317"/>
      <c r="AS242" s="316"/>
      <c r="AT242" s="317"/>
      <c r="AU242" s="316"/>
      <c r="AV242" s="317"/>
      <c r="AW242" s="316"/>
      <c r="AX242" s="317"/>
      <c r="AY242" s="316"/>
      <c r="AZ242" s="317"/>
      <c r="BA242" s="316"/>
      <c r="BB242" s="317"/>
      <c r="BC242" s="316"/>
      <c r="BD242" s="317"/>
      <c r="BE242" s="316"/>
      <c r="BF242" s="317"/>
      <c r="BG242" s="316"/>
      <c r="BH242" s="317"/>
      <c r="BI242" s="316"/>
      <c r="BJ242" s="317"/>
      <c r="BK242" s="316"/>
      <c r="BL242" s="317"/>
      <c r="BM242" s="316"/>
      <c r="BN242" s="318"/>
      <c r="BO242" s="289">
        <f ca="1">SUMIF(E$4:$BN183,$E$4,E242:BN242)</f>
        <v>0</v>
      </c>
      <c r="BP242" s="286">
        <f>+VLOOKUP(A242,'Tổng,SUMMARY'!C:K,8,0)</f>
        <v>1300</v>
      </c>
      <c r="BQ242" s="293">
        <f t="shared" si="36"/>
        <v>-1300</v>
      </c>
    </row>
    <row r="243" spans="1:69" ht="18" hidden="1" customHeight="1">
      <c r="A243" s="320" t="s">
        <v>431</v>
      </c>
      <c r="B243" s="271" t="s">
        <v>432</v>
      </c>
      <c r="C243" s="315"/>
      <c r="D243" s="304">
        <f>SUMIF($E$4:BN$4,$F$4,E243:BN243)</f>
        <v>0</v>
      </c>
      <c r="E243" s="316"/>
      <c r="F243" s="317"/>
      <c r="G243" s="316"/>
      <c r="H243" s="317"/>
      <c r="I243" s="316"/>
      <c r="J243" s="317"/>
      <c r="K243" s="316"/>
      <c r="L243" s="317"/>
      <c r="M243" s="316"/>
      <c r="N243" s="317"/>
      <c r="O243" s="316"/>
      <c r="P243" s="317"/>
      <c r="Q243" s="316"/>
      <c r="R243" s="317"/>
      <c r="S243" s="316"/>
      <c r="T243" s="317"/>
      <c r="U243" s="316"/>
      <c r="V243" s="317"/>
      <c r="W243" s="316"/>
      <c r="X243" s="317"/>
      <c r="Y243" s="316"/>
      <c r="Z243" s="317"/>
      <c r="AA243" s="316"/>
      <c r="AB243" s="317"/>
      <c r="AC243" s="316"/>
      <c r="AD243" s="317"/>
      <c r="AE243" s="316"/>
      <c r="AF243" s="317"/>
      <c r="AG243" s="316"/>
      <c r="AH243" s="317"/>
      <c r="AI243" s="316"/>
      <c r="AJ243" s="317"/>
      <c r="AK243" s="316"/>
      <c r="AL243" s="317"/>
      <c r="AM243" s="316"/>
      <c r="AN243" s="317"/>
      <c r="AO243" s="316"/>
      <c r="AP243" s="317"/>
      <c r="AQ243" s="316"/>
      <c r="AR243" s="317"/>
      <c r="AS243" s="316"/>
      <c r="AT243" s="317"/>
      <c r="AU243" s="316"/>
      <c r="AV243" s="317"/>
      <c r="AW243" s="316"/>
      <c r="AX243" s="317"/>
      <c r="AY243" s="316"/>
      <c r="AZ243" s="317"/>
      <c r="BA243" s="316"/>
      <c r="BB243" s="317"/>
      <c r="BC243" s="316"/>
      <c r="BD243" s="317"/>
      <c r="BE243" s="316"/>
      <c r="BF243" s="317"/>
      <c r="BG243" s="316"/>
      <c r="BH243" s="317"/>
      <c r="BI243" s="316"/>
      <c r="BJ243" s="317"/>
      <c r="BK243" s="316"/>
      <c r="BL243" s="317"/>
      <c r="BM243" s="316"/>
      <c r="BN243" s="318"/>
      <c r="BO243" s="289">
        <f ca="1">SUMIF(E$4:$BN185,$E$4,E243:BN243)</f>
        <v>0</v>
      </c>
      <c r="BP243" s="286">
        <f>+VLOOKUP(A243,'Tổng,SUMMARY'!C:K,8,0)</f>
        <v>2500</v>
      </c>
      <c r="BQ243" s="293">
        <f t="shared" ref="BQ243:BQ245" si="37">+D243-BP243</f>
        <v>-2500</v>
      </c>
    </row>
    <row r="244" spans="1:69" ht="18" hidden="1" customHeight="1">
      <c r="A244" s="320" t="s">
        <v>433</v>
      </c>
      <c r="B244" s="271" t="s">
        <v>434</v>
      </c>
      <c r="C244" s="315"/>
      <c r="D244" s="304">
        <f>SUMIF($E$4:BN$4,$F$4,E244:BN244)</f>
        <v>0</v>
      </c>
      <c r="E244" s="316"/>
      <c r="F244" s="317"/>
      <c r="G244" s="316"/>
      <c r="H244" s="317"/>
      <c r="I244" s="316"/>
      <c r="J244" s="317"/>
      <c r="K244" s="316"/>
      <c r="L244" s="317"/>
      <c r="M244" s="316"/>
      <c r="N244" s="317"/>
      <c r="O244" s="316"/>
      <c r="P244" s="317"/>
      <c r="Q244" s="316"/>
      <c r="R244" s="317"/>
      <c r="S244" s="316"/>
      <c r="T244" s="317"/>
      <c r="U244" s="316"/>
      <c r="V244" s="317"/>
      <c r="W244" s="316"/>
      <c r="X244" s="317"/>
      <c r="Y244" s="316"/>
      <c r="Z244" s="317"/>
      <c r="AA244" s="316"/>
      <c r="AB244" s="317"/>
      <c r="AC244" s="316"/>
      <c r="AD244" s="317"/>
      <c r="AE244" s="316"/>
      <c r="AF244" s="317"/>
      <c r="AG244" s="316"/>
      <c r="AH244" s="317"/>
      <c r="AI244" s="316"/>
      <c r="AJ244" s="317"/>
      <c r="AK244" s="316"/>
      <c r="AL244" s="317"/>
      <c r="AM244" s="316"/>
      <c r="AN244" s="317"/>
      <c r="AO244" s="316"/>
      <c r="AP244" s="317"/>
      <c r="AQ244" s="316"/>
      <c r="AR244" s="317"/>
      <c r="AS244" s="316"/>
      <c r="AT244" s="317"/>
      <c r="AU244" s="316"/>
      <c r="AV244" s="317"/>
      <c r="AW244" s="316"/>
      <c r="AX244" s="317"/>
      <c r="AY244" s="316"/>
      <c r="AZ244" s="317"/>
      <c r="BA244" s="316"/>
      <c r="BB244" s="317"/>
      <c r="BC244" s="316"/>
      <c r="BD244" s="317"/>
      <c r="BE244" s="316"/>
      <c r="BF244" s="317"/>
      <c r="BG244" s="316"/>
      <c r="BH244" s="317"/>
      <c r="BI244" s="316"/>
      <c r="BJ244" s="317"/>
      <c r="BK244" s="316"/>
      <c r="BL244" s="317"/>
      <c r="BM244" s="316"/>
      <c r="BN244" s="318"/>
      <c r="BQ244" s="293"/>
    </row>
    <row r="245" spans="1:69" ht="18" hidden="1" customHeight="1">
      <c r="A245" s="320" t="s">
        <v>435</v>
      </c>
      <c r="B245" s="271" t="s">
        <v>434</v>
      </c>
      <c r="C245" s="315"/>
      <c r="D245" s="304">
        <f>SUMIF($E$4:BN$4,$F$4,E245:BN245)</f>
        <v>0</v>
      </c>
      <c r="E245" s="316"/>
      <c r="F245" s="317"/>
      <c r="G245" s="316"/>
      <c r="H245" s="317"/>
      <c r="I245" s="316"/>
      <c r="J245" s="317"/>
      <c r="K245" s="316"/>
      <c r="L245" s="317"/>
      <c r="M245" s="316"/>
      <c r="N245" s="317"/>
      <c r="O245" s="316"/>
      <c r="P245" s="317"/>
      <c r="Q245" s="316"/>
      <c r="R245" s="317"/>
      <c r="S245" s="316"/>
      <c r="T245" s="317"/>
      <c r="U245" s="316"/>
      <c r="V245" s="317"/>
      <c r="W245" s="316"/>
      <c r="X245" s="317"/>
      <c r="Y245" s="316"/>
      <c r="Z245" s="317"/>
      <c r="AA245" s="316"/>
      <c r="AB245" s="317"/>
      <c r="AC245" s="316"/>
      <c r="AD245" s="317"/>
      <c r="AE245" s="316"/>
      <c r="AF245" s="317"/>
      <c r="AG245" s="316"/>
      <c r="AH245" s="317"/>
      <c r="AI245" s="316"/>
      <c r="AJ245" s="317"/>
      <c r="AK245" s="316"/>
      <c r="AL245" s="317"/>
      <c r="AM245" s="316"/>
      <c r="AN245" s="317"/>
      <c r="AO245" s="316"/>
      <c r="AP245" s="317"/>
      <c r="AQ245" s="316"/>
      <c r="AR245" s="317"/>
      <c r="AS245" s="316"/>
      <c r="AT245" s="317"/>
      <c r="AU245" s="316"/>
      <c r="AV245" s="317"/>
      <c r="AW245" s="316"/>
      <c r="AX245" s="317"/>
      <c r="AY245" s="316"/>
      <c r="AZ245" s="317"/>
      <c r="BA245" s="316"/>
      <c r="BB245" s="317"/>
      <c r="BC245" s="316"/>
      <c r="BD245" s="317"/>
      <c r="BE245" s="316"/>
      <c r="BF245" s="317"/>
      <c r="BG245" s="316"/>
      <c r="BH245" s="317"/>
      <c r="BI245" s="316"/>
      <c r="BJ245" s="317"/>
      <c r="BK245" s="316"/>
      <c r="BL245" s="317"/>
      <c r="BM245" s="316"/>
      <c r="BN245" s="318"/>
      <c r="BO245" s="289">
        <f ca="1">SUMIF(E$4:$BN187,$E$4,E245:BN245)</f>
        <v>0</v>
      </c>
      <c r="BP245" s="286">
        <f>+VLOOKUP(A245,'Tổng,SUMMARY'!C:K,8,0)</f>
        <v>510</v>
      </c>
      <c r="BQ245" s="293">
        <f t="shared" si="37"/>
        <v>-510</v>
      </c>
    </row>
    <row r="246" spans="1:69" ht="18" hidden="1" customHeight="1">
      <c r="A246" s="320" t="s">
        <v>436</v>
      </c>
      <c r="B246" s="271" t="s">
        <v>437</v>
      </c>
      <c r="C246" s="315"/>
      <c r="D246" s="304">
        <f>SUMIF($E$4:BN$4,$F$4,E246:BN246)</f>
        <v>0</v>
      </c>
      <c r="E246" s="316"/>
      <c r="F246" s="317"/>
      <c r="G246" s="316"/>
      <c r="H246" s="317"/>
      <c r="I246" s="316"/>
      <c r="J246" s="317"/>
      <c r="K246" s="316"/>
      <c r="L246" s="317"/>
      <c r="M246" s="316"/>
      <c r="N246" s="317"/>
      <c r="O246" s="316"/>
      <c r="P246" s="317"/>
      <c r="Q246" s="316"/>
      <c r="R246" s="317"/>
      <c r="S246" s="316"/>
      <c r="T246" s="317"/>
      <c r="U246" s="316"/>
      <c r="V246" s="317"/>
      <c r="W246" s="316"/>
      <c r="X246" s="317"/>
      <c r="Y246" s="316"/>
      <c r="Z246" s="317"/>
      <c r="AA246" s="316"/>
      <c r="AB246" s="317"/>
      <c r="AC246" s="316"/>
      <c r="AD246" s="317"/>
      <c r="AE246" s="316"/>
      <c r="AF246" s="317"/>
      <c r="AG246" s="316"/>
      <c r="AH246" s="317"/>
      <c r="AI246" s="316"/>
      <c r="AJ246" s="317"/>
      <c r="AK246" s="316"/>
      <c r="AL246" s="317"/>
      <c r="AM246" s="316"/>
      <c r="AN246" s="317"/>
      <c r="AO246" s="316"/>
      <c r="AP246" s="317"/>
      <c r="AQ246" s="316"/>
      <c r="AR246" s="317"/>
      <c r="AS246" s="316"/>
      <c r="AT246" s="317"/>
      <c r="AU246" s="316"/>
      <c r="AV246" s="317"/>
      <c r="AW246" s="316"/>
      <c r="AX246" s="317"/>
      <c r="AY246" s="316"/>
      <c r="AZ246" s="317"/>
      <c r="BA246" s="316"/>
      <c r="BB246" s="317"/>
      <c r="BC246" s="316"/>
      <c r="BD246" s="317"/>
      <c r="BE246" s="316"/>
      <c r="BF246" s="317"/>
      <c r="BG246" s="316"/>
      <c r="BH246" s="317"/>
      <c r="BI246" s="316"/>
      <c r="BJ246" s="317"/>
      <c r="BK246" s="316"/>
      <c r="BL246" s="317"/>
      <c r="BM246" s="316"/>
      <c r="BN246" s="318"/>
      <c r="BO246" s="289">
        <f ca="1">SUMIF(E$4:$BN188,$E$4,E246:BN246)</f>
        <v>0</v>
      </c>
      <c r="BP246" s="286">
        <f>+VLOOKUP(A246,'Tổng,SUMMARY'!C:K,8,0)</f>
        <v>4500</v>
      </c>
      <c r="BQ246" s="293">
        <f t="shared" ref="BQ246" si="38">+D246-BP246</f>
        <v>-4500</v>
      </c>
    </row>
    <row r="247" spans="1:69" ht="18" hidden="1" customHeight="1">
      <c r="A247" s="320" t="s">
        <v>438</v>
      </c>
      <c r="B247" s="271" t="s">
        <v>437</v>
      </c>
      <c r="C247" s="315"/>
      <c r="D247" s="304">
        <f>SUMIF($E$4:BN$4,$F$4,E247:BN247)</f>
        <v>0</v>
      </c>
      <c r="E247" s="316"/>
      <c r="F247" s="317"/>
      <c r="G247" s="316"/>
      <c r="H247" s="317"/>
      <c r="I247" s="316"/>
      <c r="J247" s="317"/>
      <c r="K247" s="316"/>
      <c r="L247" s="317"/>
      <c r="M247" s="316"/>
      <c r="N247" s="317"/>
      <c r="O247" s="316"/>
      <c r="P247" s="317"/>
      <c r="Q247" s="316"/>
      <c r="R247" s="317"/>
      <c r="S247" s="316"/>
      <c r="T247" s="317"/>
      <c r="U247" s="316"/>
      <c r="V247" s="317"/>
      <c r="W247" s="316"/>
      <c r="X247" s="317"/>
      <c r="Y247" s="316"/>
      <c r="Z247" s="317"/>
      <c r="AA247" s="316"/>
      <c r="AB247" s="317"/>
      <c r="AC247" s="316"/>
      <c r="AD247" s="317"/>
      <c r="AE247" s="316"/>
      <c r="AF247" s="317"/>
      <c r="AG247" s="316"/>
      <c r="AH247" s="317"/>
      <c r="AI247" s="316"/>
      <c r="AJ247" s="317"/>
      <c r="AK247" s="316"/>
      <c r="AL247" s="317"/>
      <c r="AM247" s="316"/>
      <c r="AN247" s="317"/>
      <c r="AO247" s="316"/>
      <c r="AP247" s="317"/>
      <c r="AQ247" s="316"/>
      <c r="AR247" s="317"/>
      <c r="AS247" s="316"/>
      <c r="AT247" s="317"/>
      <c r="AU247" s="316"/>
      <c r="AV247" s="317"/>
      <c r="AW247" s="316"/>
      <c r="AX247" s="317"/>
      <c r="AY247" s="316"/>
      <c r="AZ247" s="317"/>
      <c r="BA247" s="316"/>
      <c r="BB247" s="317"/>
      <c r="BC247" s="316"/>
      <c r="BD247" s="317"/>
      <c r="BE247" s="316"/>
      <c r="BF247" s="317"/>
      <c r="BG247" s="316"/>
      <c r="BH247" s="317"/>
      <c r="BI247" s="316"/>
      <c r="BJ247" s="317"/>
      <c r="BK247" s="316"/>
      <c r="BL247" s="317"/>
      <c r="BM247" s="316"/>
      <c r="BN247" s="318"/>
      <c r="BQ247" s="293"/>
    </row>
    <row r="248" spans="1:69" ht="18" hidden="1" customHeight="1">
      <c r="A248" s="320" t="s">
        <v>439</v>
      </c>
      <c r="B248" s="271" t="s">
        <v>440</v>
      </c>
      <c r="C248" s="315"/>
      <c r="D248" s="304">
        <f>SUMIF($E$4:BN$4,$F$4,E248:BN248)</f>
        <v>0</v>
      </c>
      <c r="E248" s="316"/>
      <c r="F248" s="317"/>
      <c r="G248" s="316"/>
      <c r="H248" s="317"/>
      <c r="I248" s="316"/>
      <c r="J248" s="317"/>
      <c r="K248" s="316"/>
      <c r="L248" s="317"/>
      <c r="M248" s="316"/>
      <c r="N248" s="317"/>
      <c r="O248" s="316"/>
      <c r="P248" s="317"/>
      <c r="Q248" s="316"/>
      <c r="R248" s="317"/>
      <c r="S248" s="316"/>
      <c r="T248" s="317"/>
      <c r="U248" s="316"/>
      <c r="V248" s="317"/>
      <c r="W248" s="316"/>
      <c r="X248" s="317"/>
      <c r="Y248" s="316"/>
      <c r="Z248" s="317"/>
      <c r="AA248" s="316"/>
      <c r="AB248" s="317"/>
      <c r="AC248" s="316"/>
      <c r="AD248" s="317"/>
      <c r="AE248" s="316"/>
      <c r="AF248" s="317"/>
      <c r="AG248" s="316"/>
      <c r="AH248" s="317"/>
      <c r="AI248" s="316"/>
      <c r="AJ248" s="317"/>
      <c r="AK248" s="316"/>
      <c r="AL248" s="317"/>
      <c r="AM248" s="316"/>
      <c r="AN248" s="317"/>
      <c r="AO248" s="316"/>
      <c r="AP248" s="317"/>
      <c r="AQ248" s="316"/>
      <c r="AR248" s="317"/>
      <c r="AS248" s="316"/>
      <c r="AT248" s="317"/>
      <c r="AU248" s="316"/>
      <c r="AV248" s="317"/>
      <c r="AW248" s="316"/>
      <c r="AX248" s="317"/>
      <c r="AY248" s="316"/>
      <c r="AZ248" s="317"/>
      <c r="BA248" s="316"/>
      <c r="BB248" s="317"/>
      <c r="BC248" s="316"/>
      <c r="BD248" s="317"/>
      <c r="BE248" s="316"/>
      <c r="BF248" s="317"/>
      <c r="BG248" s="316"/>
      <c r="BH248" s="317"/>
      <c r="BI248" s="316"/>
      <c r="BJ248" s="317"/>
      <c r="BK248" s="316"/>
      <c r="BL248" s="317"/>
      <c r="BM248" s="316"/>
      <c r="BN248" s="318"/>
      <c r="BO248" s="289">
        <f ca="1">SUMIF(E$4:$BN189,$E$4,E248:BN248)</f>
        <v>0</v>
      </c>
      <c r="BP248" s="286">
        <f>+VLOOKUP(A248,'Tổng,SUMMARY'!C:K,8,0)</f>
        <v>150</v>
      </c>
      <c r="BQ248" s="293">
        <f t="shared" si="36"/>
        <v>-150</v>
      </c>
    </row>
    <row r="249" spans="1:69" ht="18" hidden="1" customHeight="1">
      <c r="A249" s="320" t="s">
        <v>441</v>
      </c>
      <c r="B249" s="271" t="s">
        <v>442</v>
      </c>
      <c r="C249" s="315"/>
      <c r="D249" s="304">
        <f>SUMIF($E$4:BN$4,$F$4,E249:BN249)</f>
        <v>0</v>
      </c>
      <c r="E249" s="316"/>
      <c r="F249" s="317"/>
      <c r="G249" s="316"/>
      <c r="H249" s="317"/>
      <c r="I249" s="316"/>
      <c r="J249" s="317"/>
      <c r="K249" s="316"/>
      <c r="L249" s="317"/>
      <c r="M249" s="316"/>
      <c r="N249" s="317"/>
      <c r="O249" s="316"/>
      <c r="P249" s="317"/>
      <c r="Q249" s="316"/>
      <c r="R249" s="317"/>
      <c r="S249" s="316"/>
      <c r="T249" s="317"/>
      <c r="U249" s="316"/>
      <c r="V249" s="317"/>
      <c r="W249" s="316"/>
      <c r="X249" s="317"/>
      <c r="Y249" s="316"/>
      <c r="Z249" s="317"/>
      <c r="AA249" s="316"/>
      <c r="AB249" s="317"/>
      <c r="AC249" s="316"/>
      <c r="AD249" s="317"/>
      <c r="AE249" s="316"/>
      <c r="AF249" s="317"/>
      <c r="AG249" s="316"/>
      <c r="AH249" s="317"/>
      <c r="AI249" s="316"/>
      <c r="AJ249" s="317"/>
      <c r="AK249" s="316"/>
      <c r="AL249" s="317"/>
      <c r="AM249" s="316"/>
      <c r="AN249" s="317"/>
      <c r="AO249" s="316"/>
      <c r="AP249" s="317"/>
      <c r="AQ249" s="316"/>
      <c r="AR249" s="317"/>
      <c r="AS249" s="316"/>
      <c r="AT249" s="317"/>
      <c r="AU249" s="316"/>
      <c r="AV249" s="317"/>
      <c r="AW249" s="316"/>
      <c r="AX249" s="317"/>
      <c r="AY249" s="316"/>
      <c r="AZ249" s="317"/>
      <c r="BA249" s="316"/>
      <c r="BB249" s="317"/>
      <c r="BC249" s="316"/>
      <c r="BD249" s="317"/>
      <c r="BE249" s="316"/>
      <c r="BF249" s="317"/>
      <c r="BG249" s="316"/>
      <c r="BH249" s="317"/>
      <c r="BI249" s="316"/>
      <c r="BJ249" s="317"/>
      <c r="BK249" s="316"/>
      <c r="BL249" s="317"/>
      <c r="BM249" s="316"/>
      <c r="BN249" s="318"/>
      <c r="BO249" s="289">
        <f ca="1">SUMIF(E$4:$BN190,$E$4,E249:BN249)</f>
        <v>0</v>
      </c>
      <c r="BP249" s="286">
        <f>+VLOOKUP(A249,'Tổng,SUMMARY'!C:K,8,0)</f>
        <v>0</v>
      </c>
      <c r="BQ249" s="293">
        <f t="shared" ref="BQ249:BQ250" si="39">+D249-BP249</f>
        <v>0</v>
      </c>
    </row>
    <row r="250" spans="1:69" ht="18" hidden="1" customHeight="1">
      <c r="A250" s="320" t="s">
        <v>443</v>
      </c>
      <c r="B250" s="271" t="s">
        <v>444</v>
      </c>
      <c r="C250" s="315"/>
      <c r="D250" s="304">
        <f>SUMIF($E$4:BN$4,$F$4,E250:BN250)</f>
        <v>0</v>
      </c>
      <c r="E250" s="316"/>
      <c r="F250" s="317"/>
      <c r="G250" s="316"/>
      <c r="H250" s="317"/>
      <c r="I250" s="316"/>
      <c r="J250" s="317"/>
      <c r="K250" s="316"/>
      <c r="L250" s="317"/>
      <c r="M250" s="316"/>
      <c r="N250" s="317"/>
      <c r="O250" s="316"/>
      <c r="P250" s="317"/>
      <c r="Q250" s="316"/>
      <c r="R250" s="317"/>
      <c r="S250" s="316"/>
      <c r="T250" s="317"/>
      <c r="U250" s="316"/>
      <c r="V250" s="317"/>
      <c r="W250" s="316"/>
      <c r="X250" s="317"/>
      <c r="Y250" s="316"/>
      <c r="Z250" s="317"/>
      <c r="AA250" s="316"/>
      <c r="AB250" s="317"/>
      <c r="AC250" s="316"/>
      <c r="AD250" s="317"/>
      <c r="AE250" s="316"/>
      <c r="AF250" s="317"/>
      <c r="AG250" s="316"/>
      <c r="AH250" s="317"/>
      <c r="AI250" s="316"/>
      <c r="AJ250" s="317"/>
      <c r="AK250" s="316"/>
      <c r="AL250" s="317"/>
      <c r="AM250" s="316"/>
      <c r="AN250" s="317"/>
      <c r="AO250" s="316"/>
      <c r="AP250" s="317"/>
      <c r="AQ250" s="316"/>
      <c r="AR250" s="317"/>
      <c r="AS250" s="316"/>
      <c r="AT250" s="317"/>
      <c r="AU250" s="316"/>
      <c r="AV250" s="317"/>
      <c r="AW250" s="316"/>
      <c r="AX250" s="317"/>
      <c r="AY250" s="316"/>
      <c r="AZ250" s="317"/>
      <c r="BA250" s="316"/>
      <c r="BB250" s="317"/>
      <c r="BC250" s="316"/>
      <c r="BD250" s="317"/>
      <c r="BE250" s="316"/>
      <c r="BF250" s="317"/>
      <c r="BG250" s="316"/>
      <c r="BH250" s="317"/>
      <c r="BI250" s="316"/>
      <c r="BJ250" s="317"/>
      <c r="BK250" s="316"/>
      <c r="BL250" s="317"/>
      <c r="BM250" s="316"/>
      <c r="BN250" s="318"/>
      <c r="BO250" s="289">
        <f ca="1">SUMIF(E$4:$BN190,$E$4,E250:BN250)</f>
        <v>0</v>
      </c>
      <c r="BP250" s="286">
        <f>+VLOOKUP(A250,'Tổng,SUMMARY'!C:K,8,0)</f>
        <v>270</v>
      </c>
      <c r="BQ250" s="293">
        <f t="shared" si="39"/>
        <v>-270</v>
      </c>
    </row>
    <row r="251" spans="1:69" ht="18" hidden="1" customHeight="1">
      <c r="A251" s="320" t="s">
        <v>445</v>
      </c>
      <c r="B251" s="271" t="s">
        <v>446</v>
      </c>
      <c r="C251" s="315"/>
      <c r="D251" s="304">
        <f>SUMIF($E$4:BN$4,$F$4,E251:BN251)</f>
        <v>0</v>
      </c>
      <c r="E251" s="316"/>
      <c r="F251" s="317"/>
      <c r="G251" s="316"/>
      <c r="H251" s="317"/>
      <c r="I251" s="316"/>
      <c r="J251" s="317"/>
      <c r="K251" s="316"/>
      <c r="L251" s="317"/>
      <c r="M251" s="316"/>
      <c r="N251" s="317"/>
      <c r="O251" s="316"/>
      <c r="P251" s="317"/>
      <c r="Q251" s="316"/>
      <c r="R251" s="317"/>
      <c r="S251" s="316"/>
      <c r="T251" s="317"/>
      <c r="U251" s="316"/>
      <c r="V251" s="317"/>
      <c r="W251" s="316"/>
      <c r="X251" s="317"/>
      <c r="Y251" s="316"/>
      <c r="Z251" s="317"/>
      <c r="AA251" s="316"/>
      <c r="AB251" s="317"/>
      <c r="AC251" s="316"/>
      <c r="AD251" s="317"/>
      <c r="AE251" s="316"/>
      <c r="AF251" s="317"/>
      <c r="AG251" s="316"/>
      <c r="AH251" s="317"/>
      <c r="AI251" s="316"/>
      <c r="AJ251" s="317"/>
      <c r="AK251" s="316"/>
      <c r="AL251" s="317"/>
      <c r="AM251" s="316"/>
      <c r="AN251" s="317"/>
      <c r="AO251" s="316"/>
      <c r="AP251" s="317"/>
      <c r="AQ251" s="316"/>
      <c r="AR251" s="317"/>
      <c r="AS251" s="316"/>
      <c r="AT251" s="317"/>
      <c r="AU251" s="316"/>
      <c r="AV251" s="317"/>
      <c r="AW251" s="316"/>
      <c r="AX251" s="317"/>
      <c r="AY251" s="316"/>
      <c r="AZ251" s="317"/>
      <c r="BA251" s="316"/>
      <c r="BB251" s="317"/>
      <c r="BC251" s="316"/>
      <c r="BD251" s="317"/>
      <c r="BE251" s="316"/>
      <c r="BF251" s="317"/>
      <c r="BG251" s="316"/>
      <c r="BH251" s="317"/>
      <c r="BI251" s="316"/>
      <c r="BJ251" s="317"/>
      <c r="BK251" s="316"/>
      <c r="BL251" s="317"/>
      <c r="BM251" s="316"/>
      <c r="BN251" s="318"/>
      <c r="BQ251" s="293"/>
    </row>
    <row r="252" spans="1:69" ht="18" hidden="1" customHeight="1">
      <c r="A252" s="320" t="s">
        <v>447</v>
      </c>
      <c r="B252" s="271" t="s">
        <v>448</v>
      </c>
      <c r="C252" s="315"/>
      <c r="D252" s="304">
        <f>SUMIF($E$4:BN$4,$F$4,E252:BN252)</f>
        <v>0</v>
      </c>
      <c r="E252" s="316"/>
      <c r="F252" s="317"/>
      <c r="G252" s="316"/>
      <c r="H252" s="317"/>
      <c r="I252" s="316"/>
      <c r="J252" s="317"/>
      <c r="K252" s="316"/>
      <c r="L252" s="317"/>
      <c r="M252" s="316"/>
      <c r="N252" s="317"/>
      <c r="O252" s="316"/>
      <c r="P252" s="317"/>
      <c r="Q252" s="316"/>
      <c r="R252" s="317"/>
      <c r="S252" s="316"/>
      <c r="T252" s="317"/>
      <c r="U252" s="316"/>
      <c r="V252" s="317"/>
      <c r="W252" s="316"/>
      <c r="X252" s="317"/>
      <c r="Y252" s="316"/>
      <c r="Z252" s="317"/>
      <c r="AA252" s="316"/>
      <c r="AB252" s="317"/>
      <c r="AC252" s="316"/>
      <c r="AD252" s="317"/>
      <c r="AE252" s="316"/>
      <c r="AF252" s="317"/>
      <c r="AG252" s="316"/>
      <c r="AH252" s="317"/>
      <c r="AI252" s="316"/>
      <c r="AJ252" s="317"/>
      <c r="AK252" s="316"/>
      <c r="AL252" s="317"/>
      <c r="AM252" s="316"/>
      <c r="AN252" s="317"/>
      <c r="AO252" s="316"/>
      <c r="AP252" s="317"/>
      <c r="AQ252" s="316"/>
      <c r="AR252" s="317"/>
      <c r="AS252" s="316"/>
      <c r="AT252" s="317"/>
      <c r="AU252" s="316"/>
      <c r="AV252" s="317"/>
      <c r="AW252" s="316"/>
      <c r="AX252" s="317"/>
      <c r="AY252" s="316"/>
      <c r="AZ252" s="317"/>
      <c r="BA252" s="316"/>
      <c r="BB252" s="317"/>
      <c r="BC252" s="316"/>
      <c r="BD252" s="317"/>
      <c r="BE252" s="316"/>
      <c r="BF252" s="317"/>
      <c r="BG252" s="316"/>
      <c r="BH252" s="317"/>
      <c r="BI252" s="316"/>
      <c r="BJ252" s="317"/>
      <c r="BK252" s="316"/>
      <c r="BL252" s="317"/>
      <c r="BM252" s="316"/>
      <c r="BN252" s="318"/>
      <c r="BQ252" s="293"/>
    </row>
    <row r="253" spans="1:69" ht="18" hidden="1" customHeight="1">
      <c r="A253" s="320" t="s">
        <v>449</v>
      </c>
      <c r="B253" s="271" t="s">
        <v>450</v>
      </c>
      <c r="C253" s="315"/>
      <c r="D253" s="304">
        <f>SUMIF($E$4:BN$4,$F$4,E253:BN253)</f>
        <v>0</v>
      </c>
      <c r="E253" s="316"/>
      <c r="F253" s="317"/>
      <c r="G253" s="316"/>
      <c r="H253" s="317"/>
      <c r="I253" s="316"/>
      <c r="J253" s="317"/>
      <c r="K253" s="316"/>
      <c r="L253" s="317"/>
      <c r="M253" s="316"/>
      <c r="N253" s="317"/>
      <c r="O253" s="316"/>
      <c r="P253" s="317"/>
      <c r="Q253" s="316"/>
      <c r="R253" s="317"/>
      <c r="S253" s="316"/>
      <c r="T253" s="317"/>
      <c r="U253" s="316"/>
      <c r="V253" s="317"/>
      <c r="W253" s="316"/>
      <c r="X253" s="317"/>
      <c r="Y253" s="316"/>
      <c r="Z253" s="317"/>
      <c r="AA253" s="316"/>
      <c r="AB253" s="317"/>
      <c r="AC253" s="316"/>
      <c r="AD253" s="317"/>
      <c r="AE253" s="316"/>
      <c r="AF253" s="317"/>
      <c r="AG253" s="316"/>
      <c r="AH253" s="317"/>
      <c r="AI253" s="316"/>
      <c r="AJ253" s="317"/>
      <c r="AK253" s="316"/>
      <c r="AL253" s="317"/>
      <c r="AM253" s="316"/>
      <c r="AN253" s="317"/>
      <c r="AO253" s="316"/>
      <c r="AP253" s="317"/>
      <c r="AQ253" s="316"/>
      <c r="AR253" s="317"/>
      <c r="AS253" s="316"/>
      <c r="AT253" s="317"/>
      <c r="AU253" s="316"/>
      <c r="AV253" s="317"/>
      <c r="AW253" s="316"/>
      <c r="AX253" s="317"/>
      <c r="AY253" s="316"/>
      <c r="AZ253" s="317"/>
      <c r="BA253" s="316"/>
      <c r="BB253" s="317"/>
      <c r="BC253" s="316"/>
      <c r="BD253" s="317"/>
      <c r="BE253" s="316"/>
      <c r="BF253" s="317"/>
      <c r="BG253" s="316"/>
      <c r="BH253" s="317"/>
      <c r="BI253" s="316"/>
      <c r="BJ253" s="317"/>
      <c r="BK253" s="316"/>
      <c r="BL253" s="317"/>
      <c r="BM253" s="316"/>
      <c r="BN253" s="318"/>
      <c r="BQ253" s="293"/>
    </row>
    <row r="254" spans="1:69" ht="18" hidden="1" customHeight="1">
      <c r="A254" s="320" t="s">
        <v>451</v>
      </c>
      <c r="B254" s="271" t="s">
        <v>450</v>
      </c>
      <c r="C254" s="315"/>
      <c r="D254" s="304">
        <f>SUMIF($E$4:BN$4,$F$4,E254:BN254)</f>
        <v>0</v>
      </c>
      <c r="E254" s="316"/>
      <c r="F254" s="317"/>
      <c r="G254" s="316"/>
      <c r="H254" s="317"/>
      <c r="I254" s="316"/>
      <c r="J254" s="317"/>
      <c r="K254" s="316"/>
      <c r="L254" s="317"/>
      <c r="M254" s="316"/>
      <c r="N254" s="317"/>
      <c r="O254" s="316"/>
      <c r="P254" s="317"/>
      <c r="Q254" s="316"/>
      <c r="R254" s="317"/>
      <c r="S254" s="316"/>
      <c r="T254" s="317"/>
      <c r="U254" s="316"/>
      <c r="V254" s="317"/>
      <c r="W254" s="316"/>
      <c r="X254" s="317"/>
      <c r="Y254" s="316"/>
      <c r="Z254" s="317"/>
      <c r="AA254" s="316"/>
      <c r="AB254" s="317"/>
      <c r="AC254" s="316"/>
      <c r="AD254" s="317"/>
      <c r="AE254" s="316"/>
      <c r="AF254" s="317"/>
      <c r="AG254" s="316"/>
      <c r="AH254" s="317"/>
      <c r="AI254" s="316"/>
      <c r="AJ254" s="317"/>
      <c r="AK254" s="316"/>
      <c r="AL254" s="317"/>
      <c r="AM254" s="316"/>
      <c r="AN254" s="317"/>
      <c r="AO254" s="316"/>
      <c r="AP254" s="317"/>
      <c r="AQ254" s="316"/>
      <c r="AR254" s="317"/>
      <c r="AS254" s="316"/>
      <c r="AT254" s="317"/>
      <c r="AU254" s="316"/>
      <c r="AV254" s="317"/>
      <c r="AW254" s="316"/>
      <c r="AX254" s="317"/>
      <c r="AY254" s="316"/>
      <c r="AZ254" s="317"/>
      <c r="BA254" s="316"/>
      <c r="BB254" s="317"/>
      <c r="BC254" s="316"/>
      <c r="BD254" s="317"/>
      <c r="BE254" s="316"/>
      <c r="BF254" s="317"/>
      <c r="BG254" s="316"/>
      <c r="BH254" s="317"/>
      <c r="BI254" s="316"/>
      <c r="BJ254" s="317"/>
      <c r="BK254" s="316"/>
      <c r="BL254" s="317"/>
      <c r="BM254" s="316"/>
      <c r="BN254" s="318"/>
      <c r="BQ254" s="293"/>
    </row>
    <row r="255" spans="1:69" ht="18" hidden="1" customHeight="1">
      <c r="A255" s="320" t="s">
        <v>452</v>
      </c>
      <c r="B255" s="271" t="s">
        <v>453</v>
      </c>
      <c r="C255" s="315"/>
      <c r="D255" s="304">
        <f>SUMIF($E$4:BN$4,$F$4,E255:BN255)</f>
        <v>0</v>
      </c>
      <c r="E255" s="316"/>
      <c r="F255" s="317"/>
      <c r="G255" s="316"/>
      <c r="H255" s="317"/>
      <c r="I255" s="316"/>
      <c r="J255" s="317"/>
      <c r="K255" s="316"/>
      <c r="L255" s="317"/>
      <c r="M255" s="316"/>
      <c r="N255" s="317"/>
      <c r="O255" s="316"/>
      <c r="P255" s="317"/>
      <c r="Q255" s="316"/>
      <c r="R255" s="317"/>
      <c r="S255" s="316"/>
      <c r="T255" s="317"/>
      <c r="U255" s="316"/>
      <c r="V255" s="317"/>
      <c r="W255" s="316"/>
      <c r="X255" s="317"/>
      <c r="Y255" s="316"/>
      <c r="Z255" s="317"/>
      <c r="AA255" s="316"/>
      <c r="AB255" s="317"/>
      <c r="AC255" s="316"/>
      <c r="AD255" s="317"/>
      <c r="AE255" s="316"/>
      <c r="AF255" s="317"/>
      <c r="AG255" s="316"/>
      <c r="AH255" s="317"/>
      <c r="AI255" s="316"/>
      <c r="AJ255" s="317"/>
      <c r="AK255" s="316"/>
      <c r="AL255" s="317"/>
      <c r="AM255" s="316"/>
      <c r="AN255" s="317"/>
      <c r="AO255" s="316"/>
      <c r="AP255" s="317"/>
      <c r="AQ255" s="316"/>
      <c r="AR255" s="317"/>
      <c r="AS255" s="316"/>
      <c r="AT255" s="317"/>
      <c r="AU255" s="316"/>
      <c r="AV255" s="317"/>
      <c r="AW255" s="316"/>
      <c r="AX255" s="317"/>
      <c r="AY255" s="316"/>
      <c r="AZ255" s="317"/>
      <c r="BA255" s="316"/>
      <c r="BB255" s="317"/>
      <c r="BC255" s="316"/>
      <c r="BD255" s="317"/>
      <c r="BE255" s="316"/>
      <c r="BF255" s="317"/>
      <c r="BG255" s="316"/>
      <c r="BH255" s="317"/>
      <c r="BI255" s="316"/>
      <c r="BJ255" s="317"/>
      <c r="BK255" s="316"/>
      <c r="BL255" s="317"/>
      <c r="BM255" s="316"/>
      <c r="BN255" s="318"/>
      <c r="BQ255" s="293"/>
    </row>
    <row r="256" spans="1:69" ht="18" hidden="1" customHeight="1">
      <c r="A256" s="320" t="s">
        <v>454</v>
      </c>
      <c r="B256" s="271" t="s">
        <v>455</v>
      </c>
      <c r="C256" s="315"/>
      <c r="D256" s="304">
        <f>SUMIF($E$4:BN$4,$F$4,E256:BN256)</f>
        <v>0</v>
      </c>
      <c r="E256" s="316"/>
      <c r="F256" s="317"/>
      <c r="G256" s="316"/>
      <c r="H256" s="317"/>
      <c r="I256" s="316"/>
      <c r="J256" s="317"/>
      <c r="K256" s="316"/>
      <c r="L256" s="317"/>
      <c r="M256" s="316"/>
      <c r="N256" s="317"/>
      <c r="O256" s="316"/>
      <c r="P256" s="317"/>
      <c r="Q256" s="316"/>
      <c r="R256" s="317"/>
      <c r="S256" s="316"/>
      <c r="T256" s="317"/>
      <c r="U256" s="316"/>
      <c r="V256" s="317"/>
      <c r="W256" s="316"/>
      <c r="X256" s="317"/>
      <c r="Y256" s="316"/>
      <c r="Z256" s="317"/>
      <c r="AA256" s="316"/>
      <c r="AB256" s="317"/>
      <c r="AC256" s="316"/>
      <c r="AD256" s="317"/>
      <c r="AE256" s="316"/>
      <c r="AF256" s="317"/>
      <c r="AG256" s="316"/>
      <c r="AH256" s="317"/>
      <c r="AI256" s="316"/>
      <c r="AJ256" s="317"/>
      <c r="AK256" s="316"/>
      <c r="AL256" s="317"/>
      <c r="AM256" s="316"/>
      <c r="AN256" s="317"/>
      <c r="AO256" s="316"/>
      <c r="AP256" s="317"/>
      <c r="AQ256" s="316"/>
      <c r="AR256" s="317"/>
      <c r="AS256" s="316"/>
      <c r="AT256" s="317"/>
      <c r="AU256" s="316"/>
      <c r="AV256" s="317"/>
      <c r="AW256" s="316"/>
      <c r="AX256" s="317"/>
      <c r="AY256" s="316"/>
      <c r="AZ256" s="317"/>
      <c r="BA256" s="316"/>
      <c r="BB256" s="317"/>
      <c r="BC256" s="316"/>
      <c r="BD256" s="317"/>
      <c r="BE256" s="316"/>
      <c r="BF256" s="317"/>
      <c r="BG256" s="316"/>
      <c r="BH256" s="317"/>
      <c r="BI256" s="316"/>
      <c r="BJ256" s="317"/>
      <c r="BK256" s="316"/>
      <c r="BL256" s="317"/>
      <c r="BM256" s="316"/>
      <c r="BN256" s="318"/>
      <c r="BQ256" s="293"/>
    </row>
    <row r="257" spans="1:69" ht="18" hidden="1" customHeight="1">
      <c r="A257" s="320" t="s">
        <v>456</v>
      </c>
      <c r="B257" s="271" t="s">
        <v>457</v>
      </c>
      <c r="C257" s="315"/>
      <c r="D257" s="304">
        <f>SUMIF($E$4:BN$4,$F$4,E257:BN257)</f>
        <v>0</v>
      </c>
      <c r="E257" s="316"/>
      <c r="F257" s="317"/>
      <c r="G257" s="316"/>
      <c r="H257" s="317"/>
      <c r="I257" s="316"/>
      <c r="J257" s="317"/>
      <c r="K257" s="316"/>
      <c r="L257" s="317"/>
      <c r="M257" s="316"/>
      <c r="N257" s="317"/>
      <c r="O257" s="316"/>
      <c r="P257" s="317"/>
      <c r="Q257" s="316"/>
      <c r="R257" s="317"/>
      <c r="S257" s="316"/>
      <c r="T257" s="317"/>
      <c r="U257" s="316"/>
      <c r="V257" s="317"/>
      <c r="W257" s="316"/>
      <c r="X257" s="317"/>
      <c r="Y257" s="316"/>
      <c r="Z257" s="317"/>
      <c r="AA257" s="316"/>
      <c r="AB257" s="317"/>
      <c r="AC257" s="316"/>
      <c r="AD257" s="317"/>
      <c r="AE257" s="316"/>
      <c r="AF257" s="317"/>
      <c r="AG257" s="316"/>
      <c r="AH257" s="317"/>
      <c r="AI257" s="316"/>
      <c r="AJ257" s="317"/>
      <c r="AK257" s="316"/>
      <c r="AL257" s="317"/>
      <c r="AM257" s="316"/>
      <c r="AN257" s="317"/>
      <c r="AO257" s="316"/>
      <c r="AP257" s="317"/>
      <c r="AQ257" s="316"/>
      <c r="AR257" s="317"/>
      <c r="AS257" s="316"/>
      <c r="AT257" s="317"/>
      <c r="AU257" s="316"/>
      <c r="AV257" s="317"/>
      <c r="AW257" s="316"/>
      <c r="AX257" s="317"/>
      <c r="AY257" s="316"/>
      <c r="AZ257" s="317"/>
      <c r="BA257" s="316"/>
      <c r="BB257" s="317"/>
      <c r="BC257" s="316"/>
      <c r="BD257" s="317"/>
      <c r="BE257" s="316"/>
      <c r="BF257" s="317"/>
      <c r="BG257" s="316"/>
      <c r="BH257" s="317"/>
      <c r="BI257" s="316"/>
      <c r="BJ257" s="317"/>
      <c r="BK257" s="316"/>
      <c r="BL257" s="317"/>
      <c r="BM257" s="316"/>
      <c r="BN257" s="318"/>
      <c r="BQ257" s="293"/>
    </row>
    <row r="258" spans="1:69" ht="18" customHeight="1">
      <c r="A258" s="320" t="s">
        <v>458</v>
      </c>
      <c r="B258" s="271" t="s">
        <v>459</v>
      </c>
      <c r="C258" s="315"/>
      <c r="D258" s="304">
        <f>SUMIF($E$4:BN$4,$F$4,E258:BN258)</f>
        <v>3600</v>
      </c>
      <c r="E258" s="316"/>
      <c r="F258" s="317"/>
      <c r="G258" s="316"/>
      <c r="H258" s="317"/>
      <c r="I258" s="316"/>
      <c r="J258" s="317">
        <v>3600</v>
      </c>
      <c r="K258" s="316"/>
      <c r="L258" s="317"/>
      <c r="M258" s="316"/>
      <c r="N258" s="317"/>
      <c r="O258" s="316"/>
      <c r="P258" s="317"/>
      <c r="Q258" s="316"/>
      <c r="R258" s="317"/>
      <c r="S258" s="316"/>
      <c r="T258" s="317"/>
      <c r="U258" s="316"/>
      <c r="V258" s="317"/>
      <c r="W258" s="316"/>
      <c r="X258" s="317"/>
      <c r="Y258" s="316"/>
      <c r="Z258" s="317"/>
      <c r="AA258" s="316"/>
      <c r="AB258" s="317"/>
      <c r="AC258" s="316"/>
      <c r="AD258" s="317"/>
      <c r="AE258" s="316"/>
      <c r="AF258" s="317"/>
      <c r="AG258" s="316"/>
      <c r="AH258" s="317"/>
      <c r="AI258" s="316"/>
      <c r="AJ258" s="317"/>
      <c r="AK258" s="316"/>
      <c r="AL258" s="317"/>
      <c r="AM258" s="316"/>
      <c r="AN258" s="317"/>
      <c r="AO258" s="316"/>
      <c r="AP258" s="317"/>
      <c r="AQ258" s="316"/>
      <c r="AR258" s="317"/>
      <c r="AS258" s="316"/>
      <c r="AT258" s="317"/>
      <c r="AU258" s="316"/>
      <c r="AV258" s="317"/>
      <c r="AW258" s="316"/>
      <c r="AX258" s="317"/>
      <c r="AY258" s="316"/>
      <c r="AZ258" s="317"/>
      <c r="BA258" s="316"/>
      <c r="BB258" s="317"/>
      <c r="BC258" s="316"/>
      <c r="BD258" s="317"/>
      <c r="BE258" s="316"/>
      <c r="BF258" s="317"/>
      <c r="BG258" s="316"/>
      <c r="BH258" s="317"/>
      <c r="BI258" s="316"/>
      <c r="BJ258" s="317"/>
      <c r="BK258" s="316"/>
      <c r="BL258" s="317"/>
      <c r="BM258" s="316"/>
      <c r="BN258" s="318"/>
      <c r="BQ258" s="293"/>
    </row>
    <row r="259" spans="1:69" ht="18" hidden="1" customHeight="1">
      <c r="A259" s="320" t="s">
        <v>460</v>
      </c>
      <c r="B259" s="271" t="s">
        <v>461</v>
      </c>
      <c r="C259" s="315"/>
      <c r="D259" s="304">
        <f>SUMIF($E$4:BN$4,$F$4,E259:BN259)</f>
        <v>0</v>
      </c>
      <c r="E259" s="316"/>
      <c r="F259" s="317"/>
      <c r="G259" s="316"/>
      <c r="H259" s="317"/>
      <c r="I259" s="316"/>
      <c r="J259" s="317"/>
      <c r="K259" s="316"/>
      <c r="L259" s="317"/>
      <c r="M259" s="316"/>
      <c r="N259" s="317"/>
      <c r="O259" s="316"/>
      <c r="P259" s="317"/>
      <c r="Q259" s="316"/>
      <c r="R259" s="317"/>
      <c r="S259" s="316"/>
      <c r="T259" s="317"/>
      <c r="U259" s="316"/>
      <c r="V259" s="317"/>
      <c r="W259" s="316"/>
      <c r="X259" s="317"/>
      <c r="Y259" s="316"/>
      <c r="Z259" s="317"/>
      <c r="AA259" s="316"/>
      <c r="AB259" s="317"/>
      <c r="AC259" s="316"/>
      <c r="AD259" s="317"/>
      <c r="AE259" s="316"/>
      <c r="AF259" s="317"/>
      <c r="AG259" s="316"/>
      <c r="AH259" s="317"/>
      <c r="AI259" s="316"/>
      <c r="AJ259" s="317"/>
      <c r="AK259" s="316"/>
      <c r="AL259" s="317"/>
      <c r="AM259" s="316"/>
      <c r="AN259" s="317"/>
      <c r="AO259" s="316"/>
      <c r="AP259" s="317"/>
      <c r="AQ259" s="316"/>
      <c r="AR259" s="317"/>
      <c r="AS259" s="316"/>
      <c r="AT259" s="317"/>
      <c r="AU259" s="316"/>
      <c r="AV259" s="317"/>
      <c r="AW259" s="316"/>
      <c r="AX259" s="317"/>
      <c r="AY259" s="316"/>
      <c r="AZ259" s="317"/>
      <c r="BA259" s="316"/>
      <c r="BB259" s="317"/>
      <c r="BC259" s="316"/>
      <c r="BD259" s="317"/>
      <c r="BE259" s="316"/>
      <c r="BF259" s="317"/>
      <c r="BG259" s="316"/>
      <c r="BH259" s="317"/>
      <c r="BI259" s="316"/>
      <c r="BJ259" s="317"/>
      <c r="BK259" s="316"/>
      <c r="BL259" s="317"/>
      <c r="BM259" s="316"/>
      <c r="BN259" s="318"/>
      <c r="BQ259" s="293"/>
    </row>
    <row r="260" spans="1:69" ht="18" hidden="1" customHeight="1">
      <c r="A260" s="320" t="s">
        <v>462</v>
      </c>
      <c r="B260" s="271" t="s">
        <v>371</v>
      </c>
      <c r="C260" s="315"/>
      <c r="D260" s="304">
        <f>SUMIF($E$4:BN$4,$F$4,E260:BN260)</f>
        <v>0</v>
      </c>
      <c r="E260" s="316"/>
      <c r="F260" s="317"/>
      <c r="G260" s="316"/>
      <c r="H260" s="317"/>
      <c r="I260" s="316"/>
      <c r="J260" s="317"/>
      <c r="K260" s="316"/>
      <c r="L260" s="317"/>
      <c r="M260" s="316"/>
      <c r="N260" s="317"/>
      <c r="O260" s="316"/>
      <c r="P260" s="317"/>
      <c r="Q260" s="316"/>
      <c r="R260" s="317"/>
      <c r="S260" s="316"/>
      <c r="T260" s="317"/>
      <c r="U260" s="316"/>
      <c r="V260" s="317"/>
      <c r="W260" s="316"/>
      <c r="X260" s="317"/>
      <c r="Y260" s="316"/>
      <c r="Z260" s="317"/>
      <c r="AA260" s="316"/>
      <c r="AB260" s="317"/>
      <c r="AC260" s="316"/>
      <c r="AD260" s="317"/>
      <c r="AE260" s="316"/>
      <c r="AF260" s="317"/>
      <c r="AG260" s="316"/>
      <c r="AH260" s="317"/>
      <c r="AI260" s="316"/>
      <c r="AJ260" s="317"/>
      <c r="AK260" s="316"/>
      <c r="AL260" s="317"/>
      <c r="AM260" s="316"/>
      <c r="AN260" s="317"/>
      <c r="AO260" s="316"/>
      <c r="AP260" s="317"/>
      <c r="AQ260" s="316"/>
      <c r="AR260" s="317"/>
      <c r="AS260" s="316"/>
      <c r="AT260" s="317"/>
      <c r="AU260" s="316"/>
      <c r="AV260" s="317"/>
      <c r="AW260" s="316"/>
      <c r="AX260" s="317"/>
      <c r="AY260" s="316"/>
      <c r="AZ260" s="317"/>
      <c r="BA260" s="316"/>
      <c r="BB260" s="317"/>
      <c r="BC260" s="316"/>
      <c r="BD260" s="317"/>
      <c r="BE260" s="316"/>
      <c r="BF260" s="317"/>
      <c r="BG260" s="316"/>
      <c r="BH260" s="317"/>
      <c r="BI260" s="316"/>
      <c r="BJ260" s="317"/>
      <c r="BK260" s="316"/>
      <c r="BL260" s="317"/>
      <c r="BM260" s="316"/>
      <c r="BN260" s="318"/>
      <c r="BQ260" s="293"/>
    </row>
    <row r="261" spans="1:69" ht="18" hidden="1" customHeight="1">
      <c r="A261" s="320" t="s">
        <v>463</v>
      </c>
      <c r="B261" s="271" t="s">
        <v>464</v>
      </c>
      <c r="C261" s="315"/>
      <c r="D261" s="304">
        <f>SUMIF($E$4:BN$4,$F$4,E261:BN261)</f>
        <v>0</v>
      </c>
      <c r="E261" s="316"/>
      <c r="F261" s="317"/>
      <c r="G261" s="316"/>
      <c r="H261" s="317"/>
      <c r="I261" s="316"/>
      <c r="J261" s="317"/>
      <c r="K261" s="316"/>
      <c r="L261" s="317"/>
      <c r="M261" s="316"/>
      <c r="N261" s="317"/>
      <c r="O261" s="316"/>
      <c r="P261" s="317"/>
      <c r="Q261" s="316"/>
      <c r="R261" s="317"/>
      <c r="S261" s="316"/>
      <c r="T261" s="317"/>
      <c r="U261" s="316"/>
      <c r="V261" s="317"/>
      <c r="W261" s="316"/>
      <c r="X261" s="317"/>
      <c r="Y261" s="316"/>
      <c r="Z261" s="317"/>
      <c r="AA261" s="316"/>
      <c r="AB261" s="317"/>
      <c r="AC261" s="316"/>
      <c r="AD261" s="317"/>
      <c r="AE261" s="316"/>
      <c r="AF261" s="317"/>
      <c r="AG261" s="316"/>
      <c r="AH261" s="317"/>
      <c r="AI261" s="316"/>
      <c r="AJ261" s="317"/>
      <c r="AK261" s="316"/>
      <c r="AL261" s="317"/>
      <c r="AM261" s="316"/>
      <c r="AN261" s="317"/>
      <c r="AO261" s="316"/>
      <c r="AP261" s="317"/>
      <c r="AQ261" s="316"/>
      <c r="AR261" s="317"/>
      <c r="AS261" s="316"/>
      <c r="AT261" s="317"/>
      <c r="AU261" s="316"/>
      <c r="AV261" s="317"/>
      <c r="AW261" s="316"/>
      <c r="AX261" s="317"/>
      <c r="AY261" s="316"/>
      <c r="AZ261" s="317"/>
      <c r="BA261" s="316"/>
      <c r="BB261" s="317"/>
      <c r="BC261" s="316"/>
      <c r="BD261" s="317"/>
      <c r="BE261" s="316"/>
      <c r="BF261" s="317"/>
      <c r="BG261" s="316"/>
      <c r="BH261" s="317"/>
      <c r="BI261" s="316"/>
      <c r="BJ261" s="317"/>
      <c r="BK261" s="316"/>
      <c r="BL261" s="317"/>
      <c r="BM261" s="316"/>
      <c r="BN261" s="318"/>
      <c r="BQ261" s="293"/>
    </row>
    <row r="262" spans="1:69" ht="18" hidden="1" customHeight="1">
      <c r="A262" s="320" t="s">
        <v>465</v>
      </c>
      <c r="B262" s="271" t="s">
        <v>466</v>
      </c>
      <c r="C262" s="315"/>
      <c r="D262" s="304">
        <f>SUMIF($E$4:BN$4,$F$4,E262:BN262)</f>
        <v>0</v>
      </c>
      <c r="E262" s="316"/>
      <c r="F262" s="317"/>
      <c r="G262" s="316"/>
      <c r="H262" s="317"/>
      <c r="I262" s="316"/>
      <c r="J262" s="317"/>
      <c r="K262" s="316"/>
      <c r="L262" s="317"/>
      <c r="M262" s="316"/>
      <c r="N262" s="317"/>
      <c r="O262" s="316"/>
      <c r="P262" s="317"/>
      <c r="Q262" s="316"/>
      <c r="R262" s="317"/>
      <c r="S262" s="316"/>
      <c r="T262" s="317"/>
      <c r="U262" s="316"/>
      <c r="V262" s="317"/>
      <c r="W262" s="316"/>
      <c r="X262" s="317"/>
      <c r="Y262" s="316"/>
      <c r="Z262" s="317"/>
      <c r="AA262" s="316"/>
      <c r="AB262" s="317"/>
      <c r="AC262" s="316"/>
      <c r="AD262" s="317"/>
      <c r="AE262" s="316"/>
      <c r="AF262" s="317"/>
      <c r="AG262" s="316"/>
      <c r="AH262" s="317"/>
      <c r="AI262" s="316"/>
      <c r="AJ262" s="317"/>
      <c r="AK262" s="316"/>
      <c r="AL262" s="317"/>
      <c r="AM262" s="316"/>
      <c r="AN262" s="317"/>
      <c r="AO262" s="316"/>
      <c r="AP262" s="317"/>
      <c r="AQ262" s="316"/>
      <c r="AR262" s="317"/>
      <c r="AS262" s="316"/>
      <c r="AT262" s="317"/>
      <c r="AU262" s="316"/>
      <c r="AV262" s="317"/>
      <c r="AW262" s="316"/>
      <c r="AX262" s="317"/>
      <c r="AY262" s="316"/>
      <c r="AZ262" s="317"/>
      <c r="BA262" s="316"/>
      <c r="BB262" s="317"/>
      <c r="BC262" s="316"/>
      <c r="BD262" s="317"/>
      <c r="BE262" s="316"/>
      <c r="BF262" s="317"/>
      <c r="BG262" s="316"/>
      <c r="BH262" s="317"/>
      <c r="BI262" s="316"/>
      <c r="BJ262" s="317"/>
      <c r="BK262" s="316"/>
      <c r="BL262" s="317"/>
      <c r="BM262" s="316"/>
      <c r="BN262" s="318"/>
      <c r="BQ262" s="293"/>
    </row>
    <row r="263" spans="1:69" ht="18" hidden="1" customHeight="1">
      <c r="A263" s="320" t="s">
        <v>467</v>
      </c>
      <c r="B263" s="271" t="s">
        <v>468</v>
      </c>
      <c r="C263" s="315"/>
      <c r="D263" s="304">
        <f>SUMIF($E$4:BN$4,$F$4,E263:BN263)</f>
        <v>0</v>
      </c>
      <c r="E263" s="316"/>
      <c r="F263" s="317"/>
      <c r="G263" s="316"/>
      <c r="H263" s="317"/>
      <c r="I263" s="316"/>
      <c r="J263" s="317"/>
      <c r="K263" s="316"/>
      <c r="L263" s="317"/>
      <c r="M263" s="316"/>
      <c r="N263" s="317"/>
      <c r="O263" s="316"/>
      <c r="P263" s="317"/>
      <c r="Q263" s="316"/>
      <c r="R263" s="317"/>
      <c r="S263" s="316"/>
      <c r="T263" s="317"/>
      <c r="U263" s="316"/>
      <c r="V263" s="317"/>
      <c r="W263" s="316"/>
      <c r="X263" s="317"/>
      <c r="Y263" s="316"/>
      <c r="Z263" s="317"/>
      <c r="AA263" s="316"/>
      <c r="AB263" s="317"/>
      <c r="AC263" s="316"/>
      <c r="AD263" s="317"/>
      <c r="AE263" s="316"/>
      <c r="AF263" s="317"/>
      <c r="AG263" s="316"/>
      <c r="AH263" s="317"/>
      <c r="AI263" s="316"/>
      <c r="AJ263" s="317"/>
      <c r="AK263" s="316"/>
      <c r="AL263" s="317"/>
      <c r="AM263" s="316"/>
      <c r="AN263" s="317"/>
      <c r="AO263" s="316"/>
      <c r="AP263" s="317"/>
      <c r="AQ263" s="316"/>
      <c r="AR263" s="317"/>
      <c r="AS263" s="316"/>
      <c r="AT263" s="317"/>
      <c r="AU263" s="316"/>
      <c r="AV263" s="317"/>
      <c r="AW263" s="316"/>
      <c r="AX263" s="317"/>
      <c r="AY263" s="316"/>
      <c r="AZ263" s="317"/>
      <c r="BA263" s="316"/>
      <c r="BB263" s="317"/>
      <c r="BC263" s="316"/>
      <c r="BD263" s="317"/>
      <c r="BE263" s="316"/>
      <c r="BF263" s="317"/>
      <c r="BG263" s="316"/>
      <c r="BH263" s="317"/>
      <c r="BI263" s="316"/>
      <c r="BJ263" s="317"/>
      <c r="BK263" s="316"/>
      <c r="BL263" s="317"/>
      <c r="BM263" s="316"/>
      <c r="BN263" s="318"/>
      <c r="BQ263" s="293"/>
    </row>
    <row r="264" spans="1:69" ht="18" hidden="1" customHeight="1">
      <c r="A264" s="320" t="s">
        <v>469</v>
      </c>
      <c r="B264" s="271" t="s">
        <v>470</v>
      </c>
      <c r="C264" s="315"/>
      <c r="D264" s="304">
        <f>SUMIF($E$4:BN$4,$F$4,E264:BN264)</f>
        <v>0</v>
      </c>
      <c r="E264" s="316"/>
      <c r="F264" s="317"/>
      <c r="G264" s="316"/>
      <c r="H264" s="317"/>
      <c r="I264" s="316"/>
      <c r="J264" s="317"/>
      <c r="K264" s="316"/>
      <c r="L264" s="317"/>
      <c r="M264" s="316"/>
      <c r="N264" s="317"/>
      <c r="O264" s="316"/>
      <c r="P264" s="317"/>
      <c r="Q264" s="316"/>
      <c r="R264" s="317"/>
      <c r="S264" s="316"/>
      <c r="T264" s="317"/>
      <c r="U264" s="316"/>
      <c r="V264" s="317"/>
      <c r="W264" s="316"/>
      <c r="X264" s="317"/>
      <c r="Y264" s="316"/>
      <c r="Z264" s="317"/>
      <c r="AA264" s="316"/>
      <c r="AB264" s="317"/>
      <c r="AC264" s="316"/>
      <c r="AD264" s="317"/>
      <c r="AE264" s="316"/>
      <c r="AF264" s="317"/>
      <c r="AG264" s="316"/>
      <c r="AH264" s="317"/>
      <c r="AI264" s="316"/>
      <c r="AJ264" s="317"/>
      <c r="AK264" s="316"/>
      <c r="AL264" s="317"/>
      <c r="AM264" s="316"/>
      <c r="AN264" s="317"/>
      <c r="AO264" s="316"/>
      <c r="AP264" s="317"/>
      <c r="AQ264" s="316"/>
      <c r="AR264" s="317"/>
      <c r="AS264" s="316"/>
      <c r="AT264" s="317"/>
      <c r="AU264" s="316"/>
      <c r="AV264" s="317"/>
      <c r="AW264" s="316"/>
      <c r="AX264" s="317"/>
      <c r="AY264" s="316"/>
      <c r="AZ264" s="317"/>
      <c r="BA264" s="316"/>
      <c r="BB264" s="317"/>
      <c r="BC264" s="316"/>
      <c r="BD264" s="317"/>
      <c r="BE264" s="316"/>
      <c r="BF264" s="317"/>
      <c r="BG264" s="316"/>
      <c r="BH264" s="317"/>
      <c r="BI264" s="316"/>
      <c r="BJ264" s="317"/>
      <c r="BK264" s="316"/>
      <c r="BL264" s="317"/>
      <c r="BM264" s="316"/>
      <c r="BN264" s="318"/>
      <c r="BQ264" s="293"/>
    </row>
    <row r="265" spans="1:69" ht="18" hidden="1" customHeight="1">
      <c r="A265" s="320" t="s">
        <v>471</v>
      </c>
      <c r="B265" s="271" t="s">
        <v>472</v>
      </c>
      <c r="C265" s="315"/>
      <c r="D265" s="304">
        <f>SUMIF($E$4:BN$4,$F$4,E265:BN265)</f>
        <v>0</v>
      </c>
      <c r="E265" s="316"/>
      <c r="F265" s="317"/>
      <c r="G265" s="316"/>
      <c r="H265" s="317"/>
      <c r="I265" s="316"/>
      <c r="J265" s="317"/>
      <c r="K265" s="316"/>
      <c r="L265" s="317"/>
      <c r="M265" s="316"/>
      <c r="N265" s="317"/>
      <c r="O265" s="316"/>
      <c r="P265" s="317"/>
      <c r="Q265" s="316"/>
      <c r="R265" s="317"/>
      <c r="S265" s="316"/>
      <c r="T265" s="317"/>
      <c r="U265" s="316"/>
      <c r="V265" s="317"/>
      <c r="W265" s="316"/>
      <c r="X265" s="317"/>
      <c r="Y265" s="316"/>
      <c r="Z265" s="317"/>
      <c r="AA265" s="316"/>
      <c r="AB265" s="317"/>
      <c r="AC265" s="316"/>
      <c r="AD265" s="317"/>
      <c r="AE265" s="316"/>
      <c r="AF265" s="317"/>
      <c r="AG265" s="316"/>
      <c r="AH265" s="317"/>
      <c r="AI265" s="316"/>
      <c r="AJ265" s="317"/>
      <c r="AK265" s="316"/>
      <c r="AL265" s="317"/>
      <c r="AM265" s="316"/>
      <c r="AN265" s="317"/>
      <c r="AO265" s="316"/>
      <c r="AP265" s="317"/>
      <c r="AQ265" s="316"/>
      <c r="AR265" s="317"/>
      <c r="AS265" s="316"/>
      <c r="AT265" s="317"/>
      <c r="AU265" s="316"/>
      <c r="AV265" s="317"/>
      <c r="AW265" s="316"/>
      <c r="AX265" s="317"/>
      <c r="AY265" s="316"/>
      <c r="AZ265" s="317"/>
      <c r="BA265" s="316"/>
      <c r="BB265" s="317"/>
      <c r="BC265" s="316"/>
      <c r="BD265" s="317"/>
      <c r="BE265" s="316"/>
      <c r="BF265" s="317"/>
      <c r="BG265" s="316"/>
      <c r="BH265" s="317"/>
      <c r="BI265" s="316"/>
      <c r="BJ265" s="317"/>
      <c r="BK265" s="316"/>
      <c r="BL265" s="317"/>
      <c r="BM265" s="316"/>
      <c r="BN265" s="318"/>
      <c r="BQ265" s="293"/>
    </row>
    <row r="266" spans="1:69" ht="18" hidden="1" customHeight="1">
      <c r="A266" s="320" t="s">
        <v>473</v>
      </c>
      <c r="B266" s="271" t="s">
        <v>474</v>
      </c>
      <c r="C266" s="315"/>
      <c r="D266" s="304">
        <f>SUMIF($E$4:BN$4,$F$4,E266:BN266)</f>
        <v>0</v>
      </c>
      <c r="E266" s="316"/>
      <c r="F266" s="317"/>
      <c r="G266" s="316"/>
      <c r="H266" s="317"/>
      <c r="I266" s="316"/>
      <c r="J266" s="317"/>
      <c r="K266" s="316"/>
      <c r="L266" s="317"/>
      <c r="M266" s="316"/>
      <c r="N266" s="317"/>
      <c r="O266" s="316"/>
      <c r="P266" s="317"/>
      <c r="Q266" s="316"/>
      <c r="R266" s="317"/>
      <c r="S266" s="316"/>
      <c r="T266" s="317"/>
      <c r="U266" s="316"/>
      <c r="V266" s="317"/>
      <c r="W266" s="316"/>
      <c r="X266" s="317"/>
      <c r="Y266" s="316"/>
      <c r="Z266" s="317"/>
      <c r="AA266" s="316"/>
      <c r="AB266" s="317"/>
      <c r="AC266" s="316"/>
      <c r="AD266" s="317"/>
      <c r="AE266" s="316"/>
      <c r="AF266" s="317"/>
      <c r="AG266" s="316"/>
      <c r="AH266" s="317"/>
      <c r="AI266" s="316"/>
      <c r="AJ266" s="317"/>
      <c r="AK266" s="316"/>
      <c r="AL266" s="317"/>
      <c r="AM266" s="316"/>
      <c r="AN266" s="317"/>
      <c r="AO266" s="316"/>
      <c r="AP266" s="317"/>
      <c r="AQ266" s="316"/>
      <c r="AR266" s="317"/>
      <c r="AS266" s="316"/>
      <c r="AT266" s="317"/>
      <c r="AU266" s="316"/>
      <c r="AV266" s="317"/>
      <c r="AW266" s="316"/>
      <c r="AX266" s="317"/>
      <c r="AY266" s="316"/>
      <c r="AZ266" s="317"/>
      <c r="BA266" s="316"/>
      <c r="BB266" s="317"/>
      <c r="BC266" s="316"/>
      <c r="BD266" s="317"/>
      <c r="BE266" s="316"/>
      <c r="BF266" s="317"/>
      <c r="BG266" s="316"/>
      <c r="BH266" s="317"/>
      <c r="BI266" s="316"/>
      <c r="BJ266" s="317"/>
      <c r="BK266" s="316"/>
      <c r="BL266" s="317"/>
      <c r="BM266" s="316"/>
      <c r="BN266" s="318"/>
      <c r="BO266" s="289">
        <f ca="1">SUMIF(E$4:$BN191,$E$4,E266:BN266)</f>
        <v>0</v>
      </c>
      <c r="BP266" s="286">
        <f>+VLOOKUP(A266,'Tổng,SUMMARY'!C:K,8,0)</f>
        <v>100</v>
      </c>
      <c r="BQ266" s="293">
        <f t="shared" si="36"/>
        <v>-100</v>
      </c>
    </row>
    <row r="267" spans="1:69" ht="18" hidden="1" customHeight="1">
      <c r="A267" s="320" t="s">
        <v>475</v>
      </c>
      <c r="B267" s="271" t="s">
        <v>476</v>
      </c>
      <c r="C267" s="315"/>
      <c r="D267" s="304">
        <f>SUMIF($E$4:BN$4,$F$4,E267:BN267)</f>
        <v>0</v>
      </c>
      <c r="E267" s="316"/>
      <c r="F267" s="317"/>
      <c r="G267" s="316"/>
      <c r="H267" s="317"/>
      <c r="I267" s="316"/>
      <c r="J267" s="317"/>
      <c r="K267" s="316"/>
      <c r="L267" s="317"/>
      <c r="M267" s="316"/>
      <c r="N267" s="317"/>
      <c r="O267" s="316"/>
      <c r="P267" s="317"/>
      <c r="Q267" s="316"/>
      <c r="R267" s="317"/>
      <c r="S267" s="316"/>
      <c r="T267" s="317"/>
      <c r="U267" s="316"/>
      <c r="V267" s="317"/>
      <c r="W267" s="316"/>
      <c r="X267" s="317"/>
      <c r="Y267" s="316"/>
      <c r="Z267" s="317"/>
      <c r="AA267" s="316"/>
      <c r="AB267" s="317"/>
      <c r="AC267" s="316"/>
      <c r="AD267" s="317"/>
      <c r="AE267" s="316"/>
      <c r="AF267" s="317"/>
      <c r="AG267" s="316"/>
      <c r="AH267" s="317"/>
      <c r="AI267" s="316"/>
      <c r="AJ267" s="317"/>
      <c r="AK267" s="316"/>
      <c r="AL267" s="317"/>
      <c r="AM267" s="316"/>
      <c r="AN267" s="317"/>
      <c r="AO267" s="316"/>
      <c r="AP267" s="317"/>
      <c r="AQ267" s="316"/>
      <c r="AR267" s="317"/>
      <c r="AS267" s="316"/>
      <c r="AT267" s="317"/>
      <c r="AU267" s="316"/>
      <c r="AV267" s="317"/>
      <c r="AW267" s="316"/>
      <c r="AX267" s="317"/>
      <c r="AY267" s="316"/>
      <c r="AZ267" s="317"/>
      <c r="BA267" s="316"/>
      <c r="BB267" s="317"/>
      <c r="BC267" s="316"/>
      <c r="BD267" s="317"/>
      <c r="BE267" s="316"/>
      <c r="BF267" s="317"/>
      <c r="BG267" s="316"/>
      <c r="BH267" s="317"/>
      <c r="BI267" s="316"/>
      <c r="BJ267" s="317"/>
      <c r="BK267" s="316"/>
      <c r="BL267" s="317"/>
      <c r="BM267" s="316"/>
      <c r="BN267" s="318"/>
      <c r="BQ267" s="293"/>
    </row>
    <row r="268" spans="1:69" ht="18" hidden="1" customHeight="1">
      <c r="A268" s="320" t="s">
        <v>477</v>
      </c>
      <c r="B268" s="271" t="s">
        <v>478</v>
      </c>
      <c r="C268" s="315"/>
      <c r="D268" s="304">
        <f>SUMIF($E$4:BN$4,$F$4,E268:BN268)</f>
        <v>0</v>
      </c>
      <c r="E268" s="316"/>
      <c r="F268" s="317"/>
      <c r="G268" s="316"/>
      <c r="H268" s="317"/>
      <c r="I268" s="316"/>
      <c r="J268" s="317"/>
      <c r="K268" s="316"/>
      <c r="L268" s="317"/>
      <c r="M268" s="316"/>
      <c r="N268" s="317"/>
      <c r="O268" s="316"/>
      <c r="P268" s="317"/>
      <c r="Q268" s="316"/>
      <c r="R268" s="317"/>
      <c r="S268" s="316"/>
      <c r="T268" s="317"/>
      <c r="U268" s="316"/>
      <c r="V268" s="317"/>
      <c r="W268" s="316"/>
      <c r="X268" s="317"/>
      <c r="Y268" s="316"/>
      <c r="Z268" s="317"/>
      <c r="AA268" s="316"/>
      <c r="AB268" s="317"/>
      <c r="AC268" s="316"/>
      <c r="AD268" s="317"/>
      <c r="AE268" s="316"/>
      <c r="AF268" s="317"/>
      <c r="AG268" s="316"/>
      <c r="AH268" s="317"/>
      <c r="AI268" s="316"/>
      <c r="AJ268" s="317"/>
      <c r="AK268" s="316"/>
      <c r="AL268" s="317"/>
      <c r="AM268" s="316"/>
      <c r="AN268" s="317"/>
      <c r="AO268" s="316"/>
      <c r="AP268" s="317"/>
      <c r="AQ268" s="316"/>
      <c r="AR268" s="317"/>
      <c r="AS268" s="316"/>
      <c r="AT268" s="317"/>
      <c r="AU268" s="316"/>
      <c r="AV268" s="317"/>
      <c r="AW268" s="316"/>
      <c r="AX268" s="317"/>
      <c r="AY268" s="316"/>
      <c r="AZ268" s="317"/>
      <c r="BA268" s="316"/>
      <c r="BB268" s="317"/>
      <c r="BC268" s="316"/>
      <c r="BD268" s="317"/>
      <c r="BE268" s="316"/>
      <c r="BF268" s="317"/>
      <c r="BG268" s="316"/>
      <c r="BH268" s="317"/>
      <c r="BI268" s="316"/>
      <c r="BJ268" s="317"/>
      <c r="BK268" s="316"/>
      <c r="BL268" s="317"/>
      <c r="BM268" s="316"/>
      <c r="BN268" s="318"/>
      <c r="BQ268" s="293"/>
    </row>
    <row r="269" spans="1:69" ht="18" hidden="1" customHeight="1">
      <c r="A269" s="320" t="s">
        <v>479</v>
      </c>
      <c r="B269" s="271" t="s">
        <v>480</v>
      </c>
      <c r="C269" s="315"/>
      <c r="D269" s="304">
        <f>SUMIF($E$4:BN$4,$F$4,E269:BN269)</f>
        <v>0</v>
      </c>
      <c r="E269" s="316"/>
      <c r="F269" s="317"/>
      <c r="G269" s="316"/>
      <c r="H269" s="317"/>
      <c r="I269" s="316"/>
      <c r="J269" s="317"/>
      <c r="K269" s="316"/>
      <c r="L269" s="317"/>
      <c r="M269" s="316"/>
      <c r="N269" s="317"/>
      <c r="O269" s="316"/>
      <c r="P269" s="317"/>
      <c r="Q269" s="316"/>
      <c r="R269" s="317"/>
      <c r="S269" s="316"/>
      <c r="T269" s="317"/>
      <c r="U269" s="316"/>
      <c r="V269" s="317"/>
      <c r="W269" s="316"/>
      <c r="X269" s="317"/>
      <c r="Y269" s="316"/>
      <c r="Z269" s="317"/>
      <c r="AA269" s="316"/>
      <c r="AB269" s="317"/>
      <c r="AC269" s="316"/>
      <c r="AD269" s="317"/>
      <c r="AE269" s="316"/>
      <c r="AF269" s="317"/>
      <c r="AG269" s="316"/>
      <c r="AH269" s="317"/>
      <c r="AI269" s="316"/>
      <c r="AJ269" s="317"/>
      <c r="AK269" s="316"/>
      <c r="AL269" s="317"/>
      <c r="AM269" s="316"/>
      <c r="AN269" s="317"/>
      <c r="AO269" s="316"/>
      <c r="AP269" s="317"/>
      <c r="AQ269" s="316"/>
      <c r="AR269" s="317"/>
      <c r="AS269" s="316"/>
      <c r="AT269" s="317"/>
      <c r="AU269" s="316"/>
      <c r="AV269" s="317"/>
      <c r="AW269" s="316"/>
      <c r="AX269" s="317"/>
      <c r="AY269" s="316"/>
      <c r="AZ269" s="317"/>
      <c r="BA269" s="316"/>
      <c r="BB269" s="317"/>
      <c r="BC269" s="316"/>
      <c r="BD269" s="317"/>
      <c r="BE269" s="316"/>
      <c r="BF269" s="317"/>
      <c r="BG269" s="316"/>
      <c r="BH269" s="317"/>
      <c r="BI269" s="316"/>
      <c r="BJ269" s="317"/>
      <c r="BK269" s="316"/>
      <c r="BL269" s="317"/>
      <c r="BM269" s="316"/>
      <c r="BN269" s="318"/>
      <c r="BQ269" s="293"/>
    </row>
    <row r="270" spans="1:69" ht="18" customHeight="1">
      <c r="A270" s="320" t="s">
        <v>481</v>
      </c>
      <c r="B270" s="271" t="s">
        <v>482</v>
      </c>
      <c r="C270" s="315"/>
      <c r="D270" s="304">
        <f>SUMIF($E$4:BN$4,$F$4,E270:BN270)</f>
        <v>7800</v>
      </c>
      <c r="E270" s="316"/>
      <c r="F270" s="317"/>
      <c r="G270" s="316"/>
      <c r="H270" s="317"/>
      <c r="I270" s="316"/>
      <c r="J270" s="317">
        <f>1200+1200+1000+200+1000+1200+900</f>
        <v>6700</v>
      </c>
      <c r="K270" s="316"/>
      <c r="L270" s="317">
        <v>1100</v>
      </c>
      <c r="M270" s="316"/>
      <c r="N270" s="317"/>
      <c r="O270" s="316"/>
      <c r="P270" s="317"/>
      <c r="Q270" s="316"/>
      <c r="R270" s="317"/>
      <c r="S270" s="316"/>
      <c r="T270" s="317"/>
      <c r="U270" s="316"/>
      <c r="V270" s="317"/>
      <c r="W270" s="316"/>
      <c r="X270" s="317"/>
      <c r="Y270" s="316"/>
      <c r="Z270" s="317"/>
      <c r="AA270" s="316"/>
      <c r="AB270" s="317"/>
      <c r="AC270" s="316"/>
      <c r="AD270" s="317"/>
      <c r="AE270" s="316"/>
      <c r="AF270" s="317"/>
      <c r="AG270" s="316"/>
      <c r="AH270" s="317"/>
      <c r="AI270" s="316"/>
      <c r="AJ270" s="317"/>
      <c r="AK270" s="316"/>
      <c r="AL270" s="317"/>
      <c r="AM270" s="316"/>
      <c r="AN270" s="317"/>
      <c r="AO270" s="316"/>
      <c r="AP270" s="317"/>
      <c r="AQ270" s="316"/>
      <c r="AR270" s="317"/>
      <c r="AS270" s="316"/>
      <c r="AT270" s="317"/>
      <c r="AU270" s="316"/>
      <c r="AV270" s="317"/>
      <c r="AW270" s="316"/>
      <c r="AX270" s="317"/>
      <c r="AY270" s="316"/>
      <c r="AZ270" s="317"/>
      <c r="BA270" s="316"/>
      <c r="BB270" s="317"/>
      <c r="BC270" s="316"/>
      <c r="BD270" s="317"/>
      <c r="BE270" s="316"/>
      <c r="BF270" s="317"/>
      <c r="BG270" s="316"/>
      <c r="BH270" s="317"/>
      <c r="BI270" s="316"/>
      <c r="BJ270" s="317"/>
      <c r="BK270" s="316"/>
      <c r="BL270" s="317"/>
      <c r="BM270" s="316"/>
      <c r="BN270" s="318"/>
      <c r="BQ270" s="293"/>
    </row>
    <row r="271" spans="1:69" ht="17.25" hidden="1" customHeight="1">
      <c r="A271" s="320" t="s">
        <v>483</v>
      </c>
      <c r="B271" s="271" t="s">
        <v>484</v>
      </c>
      <c r="C271" s="315"/>
      <c r="D271" s="304">
        <f>SUMIF($E$4:BN$4,$F$4,E271:BN271)</f>
        <v>0</v>
      </c>
      <c r="E271" s="316"/>
      <c r="F271" s="317"/>
      <c r="G271" s="316"/>
      <c r="H271" s="317"/>
      <c r="I271" s="316"/>
      <c r="J271" s="317"/>
      <c r="K271" s="316"/>
      <c r="L271" s="317"/>
      <c r="M271" s="316"/>
      <c r="N271" s="317"/>
      <c r="O271" s="316"/>
      <c r="P271" s="317"/>
      <c r="Q271" s="316"/>
      <c r="R271" s="317"/>
      <c r="S271" s="316"/>
      <c r="T271" s="317"/>
      <c r="U271" s="316"/>
      <c r="V271" s="317"/>
      <c r="W271" s="316"/>
      <c r="X271" s="317"/>
      <c r="Y271" s="316"/>
      <c r="Z271" s="317"/>
      <c r="AA271" s="316"/>
      <c r="AB271" s="317"/>
      <c r="AC271" s="316"/>
      <c r="AD271" s="317"/>
      <c r="AE271" s="316"/>
      <c r="AF271" s="317"/>
      <c r="AG271" s="316"/>
      <c r="AH271" s="317"/>
      <c r="AI271" s="316"/>
      <c r="AJ271" s="317"/>
      <c r="AK271" s="316"/>
      <c r="AL271" s="317"/>
      <c r="AM271" s="316"/>
      <c r="AN271" s="317"/>
      <c r="AO271" s="316"/>
      <c r="AP271" s="317"/>
      <c r="AQ271" s="316"/>
      <c r="AR271" s="317"/>
      <c r="AS271" s="316"/>
      <c r="AT271" s="317"/>
      <c r="AU271" s="316"/>
      <c r="AV271" s="317"/>
      <c r="AW271" s="316"/>
      <c r="AX271" s="317"/>
      <c r="AY271" s="316"/>
      <c r="AZ271" s="317"/>
      <c r="BA271" s="316"/>
      <c r="BB271" s="317"/>
      <c r="BC271" s="316"/>
      <c r="BD271" s="317"/>
      <c r="BE271" s="316"/>
      <c r="BF271" s="317"/>
      <c r="BG271" s="316"/>
      <c r="BH271" s="317"/>
      <c r="BI271" s="316"/>
      <c r="BJ271" s="317"/>
      <c r="BK271" s="316"/>
      <c r="BL271" s="317"/>
      <c r="BM271" s="316"/>
      <c r="BN271" s="318"/>
      <c r="BQ271" s="293"/>
    </row>
    <row r="272" spans="1:69" ht="18" hidden="1" customHeight="1">
      <c r="A272" s="320" t="s">
        <v>485</v>
      </c>
      <c r="B272" s="271" t="s">
        <v>486</v>
      </c>
      <c r="C272" s="315"/>
      <c r="D272" s="304">
        <f>SUMIF($E$4:BN$4,$F$4,E272:BN272)</f>
        <v>0</v>
      </c>
      <c r="E272" s="316"/>
      <c r="F272" s="317"/>
      <c r="G272" s="316"/>
      <c r="H272" s="317"/>
      <c r="I272" s="316"/>
      <c r="J272" s="317"/>
      <c r="K272" s="316"/>
      <c r="L272" s="317"/>
      <c r="M272" s="316"/>
      <c r="N272" s="317"/>
      <c r="O272" s="316"/>
      <c r="P272" s="317"/>
      <c r="Q272" s="316"/>
      <c r="R272" s="317"/>
      <c r="S272" s="316"/>
      <c r="T272" s="317"/>
      <c r="U272" s="316"/>
      <c r="V272" s="317"/>
      <c r="W272" s="316"/>
      <c r="X272" s="317"/>
      <c r="Y272" s="316"/>
      <c r="Z272" s="317"/>
      <c r="AA272" s="316"/>
      <c r="AB272" s="317"/>
      <c r="AC272" s="316"/>
      <c r="AD272" s="317"/>
      <c r="AE272" s="316"/>
      <c r="AF272" s="317"/>
      <c r="AG272" s="316"/>
      <c r="AH272" s="317"/>
      <c r="AI272" s="316"/>
      <c r="AJ272" s="317"/>
      <c r="AK272" s="316"/>
      <c r="AL272" s="317"/>
      <c r="AM272" s="316"/>
      <c r="AN272" s="317"/>
      <c r="AO272" s="316"/>
      <c r="AP272" s="317"/>
      <c r="AQ272" s="316"/>
      <c r="AR272" s="317"/>
      <c r="AS272" s="316"/>
      <c r="AT272" s="317"/>
      <c r="AU272" s="316"/>
      <c r="AV272" s="317"/>
      <c r="AW272" s="316"/>
      <c r="AX272" s="317"/>
      <c r="AY272" s="316"/>
      <c r="AZ272" s="317"/>
      <c r="BA272" s="316"/>
      <c r="BB272" s="317"/>
      <c r="BC272" s="316"/>
      <c r="BD272" s="317"/>
      <c r="BE272" s="316"/>
      <c r="BF272" s="317"/>
      <c r="BG272" s="316"/>
      <c r="BH272" s="317"/>
      <c r="BI272" s="316"/>
      <c r="BJ272" s="317"/>
      <c r="BK272" s="316"/>
      <c r="BL272" s="317"/>
      <c r="BM272" s="316"/>
      <c r="BN272" s="318"/>
      <c r="BQ272" s="293"/>
    </row>
    <row r="273" spans="1:69" ht="18" hidden="1" customHeight="1">
      <c r="A273" s="320" t="s">
        <v>487</v>
      </c>
      <c r="B273" s="271" t="s">
        <v>488</v>
      </c>
      <c r="C273" s="315"/>
      <c r="D273" s="304">
        <f>SUMIF($E$4:BN$4,$F$4,E273:BN273)</f>
        <v>0</v>
      </c>
      <c r="E273" s="316"/>
      <c r="F273" s="317"/>
      <c r="G273" s="316"/>
      <c r="H273" s="317"/>
      <c r="I273" s="316"/>
      <c r="J273" s="317"/>
      <c r="K273" s="316"/>
      <c r="L273" s="317"/>
      <c r="M273" s="316"/>
      <c r="N273" s="317"/>
      <c r="O273" s="316"/>
      <c r="P273" s="317"/>
      <c r="Q273" s="316"/>
      <c r="R273" s="317"/>
      <c r="S273" s="316"/>
      <c r="T273" s="317"/>
      <c r="U273" s="316"/>
      <c r="V273" s="317"/>
      <c r="W273" s="316"/>
      <c r="X273" s="317"/>
      <c r="Y273" s="316"/>
      <c r="Z273" s="317"/>
      <c r="AA273" s="316"/>
      <c r="AB273" s="317"/>
      <c r="AC273" s="316"/>
      <c r="AD273" s="317"/>
      <c r="AE273" s="316"/>
      <c r="AF273" s="317"/>
      <c r="AG273" s="316"/>
      <c r="AH273" s="317"/>
      <c r="AI273" s="316"/>
      <c r="AJ273" s="317"/>
      <c r="AK273" s="316"/>
      <c r="AL273" s="317"/>
      <c r="AM273" s="316"/>
      <c r="AN273" s="317"/>
      <c r="AO273" s="316"/>
      <c r="AP273" s="317"/>
      <c r="AQ273" s="316"/>
      <c r="AR273" s="317"/>
      <c r="AS273" s="316"/>
      <c r="AT273" s="317"/>
      <c r="AU273" s="316"/>
      <c r="AV273" s="317"/>
      <c r="AW273" s="316"/>
      <c r="AX273" s="317"/>
      <c r="AY273" s="316"/>
      <c r="AZ273" s="317"/>
      <c r="BA273" s="316"/>
      <c r="BB273" s="317"/>
      <c r="BC273" s="316"/>
      <c r="BD273" s="317"/>
      <c r="BE273" s="316"/>
      <c r="BF273" s="317"/>
      <c r="BG273" s="316"/>
      <c r="BH273" s="317"/>
      <c r="BI273" s="316"/>
      <c r="BJ273" s="317"/>
      <c r="BK273" s="316"/>
      <c r="BL273" s="317"/>
      <c r="BM273" s="316"/>
      <c r="BN273" s="318"/>
      <c r="BQ273" s="293"/>
    </row>
    <row r="274" spans="1:69" ht="18" hidden="1" customHeight="1">
      <c r="A274" s="320" t="s">
        <v>489</v>
      </c>
      <c r="B274" s="271" t="s">
        <v>490</v>
      </c>
      <c r="C274" s="315"/>
      <c r="D274" s="304">
        <f>SUMIF($E$4:BN$4,$F$4,E274:BN274)</f>
        <v>0</v>
      </c>
      <c r="E274" s="316"/>
      <c r="F274" s="317"/>
      <c r="G274" s="316"/>
      <c r="H274" s="317"/>
      <c r="I274" s="316"/>
      <c r="J274" s="317"/>
      <c r="K274" s="316"/>
      <c r="L274" s="317"/>
      <c r="M274" s="316"/>
      <c r="N274" s="317"/>
      <c r="O274" s="316"/>
      <c r="P274" s="317"/>
      <c r="Q274" s="316"/>
      <c r="R274" s="317"/>
      <c r="S274" s="316"/>
      <c r="T274" s="317"/>
      <c r="U274" s="316"/>
      <c r="V274" s="317"/>
      <c r="W274" s="316"/>
      <c r="X274" s="317"/>
      <c r="Y274" s="316"/>
      <c r="Z274" s="317"/>
      <c r="AA274" s="316"/>
      <c r="AB274" s="317"/>
      <c r="AC274" s="316"/>
      <c r="AD274" s="317"/>
      <c r="AE274" s="316"/>
      <c r="AF274" s="317"/>
      <c r="AG274" s="316"/>
      <c r="AH274" s="317"/>
      <c r="AI274" s="316"/>
      <c r="AJ274" s="317"/>
      <c r="AK274" s="316"/>
      <c r="AL274" s="317"/>
      <c r="AM274" s="316"/>
      <c r="AN274" s="317"/>
      <c r="AO274" s="316"/>
      <c r="AP274" s="317"/>
      <c r="AQ274" s="316"/>
      <c r="AR274" s="317"/>
      <c r="AS274" s="316"/>
      <c r="AT274" s="317"/>
      <c r="AU274" s="316"/>
      <c r="AV274" s="317"/>
      <c r="AW274" s="316"/>
      <c r="AX274" s="317"/>
      <c r="AY274" s="316"/>
      <c r="AZ274" s="317"/>
      <c r="BA274" s="316"/>
      <c r="BB274" s="317"/>
      <c r="BC274" s="316"/>
      <c r="BD274" s="317"/>
      <c r="BE274" s="316"/>
      <c r="BF274" s="317"/>
      <c r="BG274" s="316"/>
      <c r="BH274" s="317"/>
      <c r="BI274" s="316"/>
      <c r="BJ274" s="317"/>
      <c r="BK274" s="316"/>
      <c r="BL274" s="317"/>
      <c r="BM274" s="316"/>
      <c r="BN274" s="318"/>
      <c r="BQ274" s="293"/>
    </row>
    <row r="275" spans="1:69" s="284" customFormat="1" ht="27.75" customHeight="1">
      <c r="A275" s="375"/>
      <c r="B275" s="376"/>
      <c r="C275" s="331">
        <f>SUM(C5:C90)</f>
        <v>0</v>
      </c>
      <c r="D275" s="331">
        <f t="shared" ref="D275:AI275" si="40">SUM(D5:D274)</f>
        <v>53520</v>
      </c>
      <c r="E275" s="331">
        <f t="shared" si="40"/>
        <v>0</v>
      </c>
      <c r="F275" s="331">
        <f t="shared" si="40"/>
        <v>0</v>
      </c>
      <c r="G275" s="331">
        <f t="shared" si="40"/>
        <v>0</v>
      </c>
      <c r="H275" s="331">
        <f t="shared" si="40"/>
        <v>0</v>
      </c>
      <c r="I275" s="331">
        <f t="shared" si="40"/>
        <v>0</v>
      </c>
      <c r="J275" s="331">
        <f t="shared" si="40"/>
        <v>28040</v>
      </c>
      <c r="K275" s="331">
        <f t="shared" si="40"/>
        <v>0</v>
      </c>
      <c r="L275" s="331">
        <f t="shared" si="40"/>
        <v>25480</v>
      </c>
      <c r="M275" s="331">
        <f t="shared" si="40"/>
        <v>0</v>
      </c>
      <c r="N275" s="331">
        <f t="shared" si="40"/>
        <v>0</v>
      </c>
      <c r="O275" s="331">
        <f t="shared" si="40"/>
        <v>0</v>
      </c>
      <c r="P275" s="331">
        <f t="shared" si="40"/>
        <v>0</v>
      </c>
      <c r="Q275" s="331">
        <f t="shared" si="40"/>
        <v>0</v>
      </c>
      <c r="R275" s="331">
        <f t="shared" si="40"/>
        <v>0</v>
      </c>
      <c r="S275" s="331">
        <f t="shared" si="40"/>
        <v>0</v>
      </c>
      <c r="T275" s="331">
        <f t="shared" si="40"/>
        <v>0</v>
      </c>
      <c r="U275" s="331">
        <f t="shared" si="40"/>
        <v>0</v>
      </c>
      <c r="V275" s="331">
        <f t="shared" si="40"/>
        <v>0</v>
      </c>
      <c r="W275" s="331">
        <f t="shared" si="40"/>
        <v>0</v>
      </c>
      <c r="X275" s="331">
        <f t="shared" si="40"/>
        <v>0</v>
      </c>
      <c r="Y275" s="331">
        <f t="shared" si="40"/>
        <v>0</v>
      </c>
      <c r="Z275" s="331">
        <f t="shared" si="40"/>
        <v>0</v>
      </c>
      <c r="AA275" s="331">
        <f t="shared" si="40"/>
        <v>0</v>
      </c>
      <c r="AB275" s="331">
        <f t="shared" si="40"/>
        <v>0</v>
      </c>
      <c r="AC275" s="331">
        <f t="shared" si="40"/>
        <v>0</v>
      </c>
      <c r="AD275" s="331">
        <f t="shared" si="40"/>
        <v>0</v>
      </c>
      <c r="AE275" s="331">
        <f t="shared" si="40"/>
        <v>0</v>
      </c>
      <c r="AF275" s="331">
        <f t="shared" si="40"/>
        <v>0</v>
      </c>
      <c r="AG275" s="331">
        <f t="shared" si="40"/>
        <v>0</v>
      </c>
      <c r="AH275" s="331">
        <f t="shared" si="40"/>
        <v>0</v>
      </c>
      <c r="AI275" s="331">
        <f t="shared" si="40"/>
        <v>0</v>
      </c>
      <c r="AJ275" s="331">
        <f t="shared" ref="AJ275:BN275" si="41">SUM(AJ5:AJ274)</f>
        <v>0</v>
      </c>
      <c r="AK275" s="331">
        <f t="shared" si="41"/>
        <v>0</v>
      </c>
      <c r="AL275" s="331">
        <f t="shared" si="41"/>
        <v>0</v>
      </c>
      <c r="AM275" s="331">
        <f t="shared" si="41"/>
        <v>0</v>
      </c>
      <c r="AN275" s="331">
        <f t="shared" si="41"/>
        <v>0</v>
      </c>
      <c r="AO275" s="331">
        <f t="shared" si="41"/>
        <v>0</v>
      </c>
      <c r="AP275" s="331">
        <f t="shared" si="41"/>
        <v>0</v>
      </c>
      <c r="AQ275" s="331">
        <f t="shared" si="41"/>
        <v>0</v>
      </c>
      <c r="AR275" s="331">
        <f t="shared" si="41"/>
        <v>0</v>
      </c>
      <c r="AS275" s="331">
        <f t="shared" si="41"/>
        <v>0</v>
      </c>
      <c r="AT275" s="331">
        <f t="shared" si="41"/>
        <v>0</v>
      </c>
      <c r="AU275" s="331">
        <f t="shared" si="41"/>
        <v>0</v>
      </c>
      <c r="AV275" s="331">
        <f t="shared" si="41"/>
        <v>0</v>
      </c>
      <c r="AW275" s="331">
        <f t="shared" si="41"/>
        <v>0</v>
      </c>
      <c r="AX275" s="331">
        <f t="shared" si="41"/>
        <v>0</v>
      </c>
      <c r="AY275" s="331">
        <f t="shared" si="41"/>
        <v>0</v>
      </c>
      <c r="AZ275" s="331">
        <f t="shared" si="41"/>
        <v>0</v>
      </c>
      <c r="BA275" s="331">
        <f t="shared" si="41"/>
        <v>0</v>
      </c>
      <c r="BB275" s="331">
        <f t="shared" si="41"/>
        <v>0</v>
      </c>
      <c r="BC275" s="331">
        <f t="shared" si="41"/>
        <v>0</v>
      </c>
      <c r="BD275" s="331">
        <f t="shared" si="41"/>
        <v>0</v>
      </c>
      <c r="BE275" s="331">
        <f t="shared" si="41"/>
        <v>0</v>
      </c>
      <c r="BF275" s="331">
        <f t="shared" si="41"/>
        <v>0</v>
      </c>
      <c r="BG275" s="331">
        <f t="shared" si="41"/>
        <v>0</v>
      </c>
      <c r="BH275" s="331">
        <f t="shared" si="41"/>
        <v>0</v>
      </c>
      <c r="BI275" s="331">
        <f t="shared" si="41"/>
        <v>0</v>
      </c>
      <c r="BJ275" s="331">
        <f t="shared" si="41"/>
        <v>0</v>
      </c>
      <c r="BK275" s="331">
        <f t="shared" si="41"/>
        <v>0</v>
      </c>
      <c r="BL275" s="331">
        <f t="shared" si="41"/>
        <v>0</v>
      </c>
      <c r="BM275" s="331">
        <f t="shared" si="41"/>
        <v>0</v>
      </c>
      <c r="BN275" s="332">
        <f t="shared" si="41"/>
        <v>0</v>
      </c>
      <c r="BO275" s="333">
        <f t="shared" ref="BO275" ca="1" si="42">SUM(BO5:BO266)</f>
        <v>0</v>
      </c>
    </row>
    <row r="276" spans="1:69" ht="15" hidden="1" customHeight="1">
      <c r="D276" s="293"/>
      <c r="F276" s="293"/>
      <c r="J276" s="293"/>
      <c r="L276" s="293"/>
      <c r="N276" s="293"/>
      <c r="P276" s="293"/>
      <c r="T276" s="293"/>
      <c r="V276" s="293"/>
      <c r="X276" s="293"/>
      <c r="Z276" s="293"/>
      <c r="AD276" s="293"/>
      <c r="AL276" s="293" t="s">
        <v>491</v>
      </c>
      <c r="AV276" s="293"/>
      <c r="BD276" s="293"/>
    </row>
    <row r="277" spans="1:69" ht="15" hidden="1" customHeight="1">
      <c r="D277" s="293"/>
      <c r="L277" s="286" t="s">
        <v>491</v>
      </c>
      <c r="T277" s="286" t="s">
        <v>492</v>
      </c>
      <c r="AB277" s="286" t="s">
        <v>492</v>
      </c>
      <c r="AT277" s="293"/>
      <c r="AV277" s="293"/>
      <c r="AX277" s="286" t="s">
        <v>493</v>
      </c>
      <c r="AZ277" s="286" t="s">
        <v>494</v>
      </c>
      <c r="BD277" s="286" t="s">
        <v>491</v>
      </c>
      <c r="BH277" s="286" t="s">
        <v>491</v>
      </c>
    </row>
    <row r="278" spans="1:69" ht="7.5" customHeight="1">
      <c r="D278" s="293"/>
      <c r="AH278" s="286" t="s">
        <v>495</v>
      </c>
      <c r="AP278" s="286" t="s">
        <v>496</v>
      </c>
      <c r="AT278" s="286" t="s">
        <v>491</v>
      </c>
      <c r="AV278" s="293"/>
    </row>
    <row r="279" spans="1:69">
      <c r="AI279" s="334"/>
      <c r="AK279" s="334"/>
    </row>
    <row r="281" spans="1:69">
      <c r="AK281" s="294"/>
    </row>
    <row r="282" spans="1:69">
      <c r="AC282" s="286" t="s">
        <v>491</v>
      </c>
    </row>
    <row r="285" spans="1:69">
      <c r="O285" s="286" t="s">
        <v>494</v>
      </c>
    </row>
    <row r="286" spans="1:69">
      <c r="Z286" s="286" t="s">
        <v>497</v>
      </c>
    </row>
    <row r="287" spans="1:69">
      <c r="Q287" s="286" t="s">
        <v>498</v>
      </c>
    </row>
    <row r="288" spans="1:69">
      <c r="Y288" s="286" t="s">
        <v>499</v>
      </c>
    </row>
    <row r="293" spans="17:17">
      <c r="Q293" s="286" t="s">
        <v>500</v>
      </c>
    </row>
  </sheetData>
  <autoFilter ref="A4:BQ278">
    <filterColumn colId="3">
      <filters>
        <filter val="1,150"/>
        <filter val="1,450"/>
        <filter val="2,400"/>
        <filter val="2,600"/>
        <filter val="3,600"/>
        <filter val="4,000"/>
        <filter val="4,620"/>
        <filter val="4,700"/>
        <filter val="4,800"/>
        <filter val="53,520"/>
        <filter val="7,800"/>
        <filter val="8,000"/>
        <filter val="8,400"/>
      </filters>
    </filterColumn>
  </autoFilter>
  <mergeCells count="37">
    <mergeCell ref="BO3:BO4"/>
    <mergeCell ref="BM3:BN3"/>
    <mergeCell ref="A275:B275"/>
    <mergeCell ref="A2:A4"/>
    <mergeCell ref="B2:B4"/>
    <mergeCell ref="C2:C4"/>
    <mergeCell ref="D2:D4"/>
    <mergeCell ref="BC3:BD3"/>
    <mergeCell ref="BE3:BF3"/>
    <mergeCell ref="BG3:BH3"/>
    <mergeCell ref="BI3:BJ3"/>
    <mergeCell ref="BK3:BL3"/>
    <mergeCell ref="AS3:AT3"/>
    <mergeCell ref="AU3:AV3"/>
    <mergeCell ref="AW3:AX3"/>
    <mergeCell ref="AY3:AZ3"/>
    <mergeCell ref="BA3:BB3"/>
    <mergeCell ref="AI3:AJ3"/>
    <mergeCell ref="AK3:AL3"/>
    <mergeCell ref="AM3:AN3"/>
    <mergeCell ref="AO3:AP3"/>
    <mergeCell ref="AQ3:AR3"/>
    <mergeCell ref="Y3:Z3"/>
    <mergeCell ref="AA3:AB3"/>
    <mergeCell ref="AC3:AD3"/>
    <mergeCell ref="AE3:AF3"/>
    <mergeCell ref="AG3:AH3"/>
    <mergeCell ref="O3:P3"/>
    <mergeCell ref="Q3:R3"/>
    <mergeCell ref="S3:T3"/>
    <mergeCell ref="U3:V3"/>
    <mergeCell ref="W3:X3"/>
    <mergeCell ref="E3:F3"/>
    <mergeCell ref="G3:H3"/>
    <mergeCell ref="I3:J3"/>
    <mergeCell ref="K3:L3"/>
    <mergeCell ref="M3:N3"/>
  </mergeCells>
  <phoneticPr fontId="73" type="noConversion"/>
  <conditionalFormatting sqref="A1:A1048576">
    <cfRule type="duplicateValues" dxfId="273" priority="1"/>
  </conditionalFormatting>
  <conditionalFormatting sqref="A14">
    <cfRule type="duplicateValues" dxfId="272" priority="39"/>
  </conditionalFormatting>
  <conditionalFormatting sqref="A39">
    <cfRule type="duplicateValues" dxfId="271" priority="62"/>
  </conditionalFormatting>
  <conditionalFormatting sqref="A42">
    <cfRule type="duplicateValues" dxfId="270" priority="60"/>
  </conditionalFormatting>
  <conditionalFormatting sqref="A44">
    <cfRule type="duplicateValues" dxfId="269" priority="50"/>
  </conditionalFormatting>
  <conditionalFormatting sqref="A45">
    <cfRule type="duplicateValues" dxfId="268" priority="58"/>
  </conditionalFormatting>
  <conditionalFormatting sqref="A81:A83">
    <cfRule type="duplicateValues" dxfId="267" priority="54"/>
  </conditionalFormatting>
  <conditionalFormatting sqref="A85">
    <cfRule type="duplicateValues" dxfId="266" priority="41"/>
  </conditionalFormatting>
  <conditionalFormatting sqref="A88">
    <cfRule type="duplicateValues" dxfId="265" priority="48"/>
  </conditionalFormatting>
  <conditionalFormatting sqref="A89">
    <cfRule type="duplicateValues" dxfId="264" priority="46"/>
  </conditionalFormatting>
  <conditionalFormatting sqref="A105">
    <cfRule type="duplicateValues" dxfId="263" priority="37"/>
  </conditionalFormatting>
  <conditionalFormatting sqref="A108">
    <cfRule type="duplicateValues" dxfId="262" priority="35"/>
  </conditionalFormatting>
  <conditionalFormatting sqref="A116:A140">
    <cfRule type="duplicateValues" dxfId="261" priority="31"/>
  </conditionalFormatting>
  <conditionalFormatting sqref="A141:A201">
    <cfRule type="duplicateValues" dxfId="260" priority="76063"/>
  </conditionalFormatting>
  <conditionalFormatting sqref="A202">
    <cfRule type="duplicateValues" dxfId="259" priority="16"/>
  </conditionalFormatting>
  <conditionalFormatting sqref="A212:A213">
    <cfRule type="duplicateValues" dxfId="258" priority="11"/>
  </conditionalFormatting>
  <conditionalFormatting sqref="A218:A231">
    <cfRule type="duplicateValues" dxfId="257" priority="126968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filterMode="1">
    <tabColor theme="3" tint="0.59999389629810485"/>
  </sheetPr>
  <dimension ref="A1:XFB296"/>
  <sheetViews>
    <sheetView topLeftCell="B1" zoomScale="85" zoomScaleNormal="85" workbookViewId="0">
      <pane ySplit="3" topLeftCell="A4" activePane="bottomLeft" state="frozen"/>
      <selection pane="bottomLeft" activeCell="L59" sqref="L59:L270"/>
    </sheetView>
  </sheetViews>
  <sheetFormatPr defaultColWidth="9.125" defaultRowHeight="15"/>
  <cols>
    <col min="1" max="1" width="4" style="1" customWidth="1"/>
    <col min="2" max="2" width="11" style="240" customWidth="1"/>
    <col min="3" max="3" width="12.875" style="241" customWidth="1"/>
    <col min="4" max="4" width="11.75" style="241" customWidth="1"/>
    <col min="5" max="35" width="6.375" style="241" customWidth="1"/>
    <col min="36" max="36" width="9.375" style="241" customWidth="1"/>
    <col min="37" max="16384" width="9.125" style="241"/>
  </cols>
  <sheetData>
    <row r="1" spans="1:37 16382:16382" ht="30" customHeight="1">
      <c r="A1" s="389" t="s">
        <v>501</v>
      </c>
      <c r="B1" s="389"/>
      <c r="C1" s="389"/>
      <c r="D1" s="242">
        <f>SUM(E1:AI1)</f>
        <v>28400</v>
      </c>
      <c r="E1" s="243">
        <f>+E274</f>
        <v>0</v>
      </c>
      <c r="F1" s="243">
        <f t="shared" ref="F1:AI1" si="0">+F274</f>
        <v>0</v>
      </c>
      <c r="G1" s="243">
        <f t="shared" si="0"/>
        <v>8000</v>
      </c>
      <c r="H1" s="243">
        <f t="shared" si="0"/>
        <v>20400</v>
      </c>
      <c r="I1" s="243">
        <f t="shared" si="0"/>
        <v>0</v>
      </c>
      <c r="J1" s="243">
        <f t="shared" si="0"/>
        <v>0</v>
      </c>
      <c r="K1" s="243">
        <f t="shared" si="0"/>
        <v>0</v>
      </c>
      <c r="L1" s="243">
        <f t="shared" si="0"/>
        <v>0</v>
      </c>
      <c r="M1" s="243">
        <f t="shared" si="0"/>
        <v>0</v>
      </c>
      <c r="N1" s="243">
        <f t="shared" si="0"/>
        <v>0</v>
      </c>
      <c r="O1" s="243">
        <f t="shared" si="0"/>
        <v>0</v>
      </c>
      <c r="P1" s="243">
        <f t="shared" si="0"/>
        <v>0</v>
      </c>
      <c r="Q1" s="243">
        <f t="shared" si="0"/>
        <v>0</v>
      </c>
      <c r="R1" s="243">
        <f t="shared" si="0"/>
        <v>0</v>
      </c>
      <c r="S1" s="243">
        <f t="shared" si="0"/>
        <v>0</v>
      </c>
      <c r="T1" s="243">
        <f t="shared" si="0"/>
        <v>0</v>
      </c>
      <c r="U1" s="243">
        <f t="shared" si="0"/>
        <v>0</v>
      </c>
      <c r="V1" s="243">
        <f t="shared" si="0"/>
        <v>0</v>
      </c>
      <c r="W1" s="243">
        <f t="shared" si="0"/>
        <v>0</v>
      </c>
      <c r="X1" s="243">
        <f t="shared" si="0"/>
        <v>0</v>
      </c>
      <c r="Y1" s="243">
        <f t="shared" si="0"/>
        <v>0</v>
      </c>
      <c r="Z1" s="243">
        <f t="shared" si="0"/>
        <v>0</v>
      </c>
      <c r="AA1" s="243">
        <f t="shared" si="0"/>
        <v>0</v>
      </c>
      <c r="AB1" s="243">
        <f t="shared" si="0"/>
        <v>0</v>
      </c>
      <c r="AC1" s="243">
        <f t="shared" si="0"/>
        <v>0</v>
      </c>
      <c r="AD1" s="243">
        <f t="shared" si="0"/>
        <v>0</v>
      </c>
      <c r="AE1" s="243">
        <f t="shared" si="0"/>
        <v>0</v>
      </c>
      <c r="AF1" s="243">
        <f t="shared" si="0"/>
        <v>0</v>
      </c>
      <c r="AG1" s="243">
        <f t="shared" si="0"/>
        <v>0</v>
      </c>
      <c r="AH1" s="243">
        <f t="shared" si="0"/>
        <v>0</v>
      </c>
      <c r="AI1" s="243">
        <f t="shared" si="0"/>
        <v>0</v>
      </c>
    </row>
    <row r="2" spans="1:37 16382:16382" s="237" customFormat="1" ht="16.5" customHeight="1">
      <c r="A2" s="1"/>
      <c r="B2" s="392" t="s">
        <v>0</v>
      </c>
      <c r="C2" s="394" t="s">
        <v>502</v>
      </c>
      <c r="D2" s="244" t="s">
        <v>503</v>
      </c>
      <c r="E2" s="245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 t="s">
        <v>504</v>
      </c>
      <c r="T2" s="246"/>
      <c r="U2" s="246"/>
      <c r="V2" s="246"/>
      <c r="W2" s="246"/>
      <c r="X2" s="246"/>
      <c r="Y2" s="246"/>
      <c r="Z2" s="246"/>
      <c r="AA2" s="246"/>
      <c r="AB2" s="246"/>
      <c r="AC2" s="246"/>
      <c r="AD2" s="246"/>
      <c r="AE2" s="246"/>
      <c r="AF2" s="246"/>
      <c r="AG2" s="246"/>
      <c r="AH2" s="246"/>
      <c r="AI2" s="247"/>
    </row>
    <row r="3" spans="1:37 16382:16382" s="238" customFormat="1" ht="12.75" customHeight="1">
      <c r="A3" s="1"/>
      <c r="B3" s="393"/>
      <c r="C3" s="395"/>
      <c r="D3" s="248"/>
      <c r="E3" s="249">
        <v>1</v>
      </c>
      <c r="F3" s="249">
        <f>+E3+1</f>
        <v>2</v>
      </c>
      <c r="G3" s="249">
        <f>+F3+1</f>
        <v>3</v>
      </c>
      <c r="H3" s="249">
        <f>+G3+1</f>
        <v>4</v>
      </c>
      <c r="I3" s="249">
        <f>+H3+1</f>
        <v>5</v>
      </c>
      <c r="J3" s="249">
        <f t="shared" ref="J3:AI3" si="1">+I3+1</f>
        <v>6</v>
      </c>
      <c r="K3" s="249">
        <f t="shared" si="1"/>
        <v>7</v>
      </c>
      <c r="L3" s="249">
        <f t="shared" si="1"/>
        <v>8</v>
      </c>
      <c r="M3" s="249">
        <f t="shared" si="1"/>
        <v>9</v>
      </c>
      <c r="N3" s="249">
        <f t="shared" si="1"/>
        <v>10</v>
      </c>
      <c r="O3" s="249">
        <f t="shared" si="1"/>
        <v>11</v>
      </c>
      <c r="P3" s="249">
        <f t="shared" si="1"/>
        <v>12</v>
      </c>
      <c r="Q3" s="249">
        <f t="shared" si="1"/>
        <v>13</v>
      </c>
      <c r="R3" s="249">
        <f t="shared" si="1"/>
        <v>14</v>
      </c>
      <c r="S3" s="249">
        <f t="shared" si="1"/>
        <v>15</v>
      </c>
      <c r="T3" s="249">
        <f t="shared" si="1"/>
        <v>16</v>
      </c>
      <c r="U3" s="249">
        <f t="shared" si="1"/>
        <v>17</v>
      </c>
      <c r="V3" s="249">
        <f t="shared" si="1"/>
        <v>18</v>
      </c>
      <c r="W3" s="249">
        <f t="shared" si="1"/>
        <v>19</v>
      </c>
      <c r="X3" s="249">
        <f t="shared" si="1"/>
        <v>20</v>
      </c>
      <c r="Y3" s="249">
        <f t="shared" si="1"/>
        <v>21</v>
      </c>
      <c r="Z3" s="249">
        <f t="shared" si="1"/>
        <v>22</v>
      </c>
      <c r="AA3" s="249">
        <f t="shared" si="1"/>
        <v>23</v>
      </c>
      <c r="AB3" s="249">
        <f t="shared" si="1"/>
        <v>24</v>
      </c>
      <c r="AC3" s="249">
        <f t="shared" si="1"/>
        <v>25</v>
      </c>
      <c r="AD3" s="249">
        <f t="shared" si="1"/>
        <v>26</v>
      </c>
      <c r="AE3" s="249">
        <f t="shared" si="1"/>
        <v>27</v>
      </c>
      <c r="AF3" s="249">
        <f t="shared" si="1"/>
        <v>28</v>
      </c>
      <c r="AG3" s="249">
        <f t="shared" si="1"/>
        <v>29</v>
      </c>
      <c r="AH3" s="249">
        <f t="shared" si="1"/>
        <v>30</v>
      </c>
      <c r="AI3" s="250">
        <f t="shared" si="1"/>
        <v>31</v>
      </c>
      <c r="XFB3" s="238">
        <f>SUM(A3:XFA3)</f>
        <v>496</v>
      </c>
    </row>
    <row r="4" spans="1:37 16382:16382" ht="18" hidden="1" customHeight="1">
      <c r="B4" s="251" t="s">
        <v>7</v>
      </c>
      <c r="C4" s="252" t="s">
        <v>8</v>
      </c>
      <c r="D4" s="253">
        <f>SUM(E4:AI4)</f>
        <v>0</v>
      </c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  <c r="AB4" s="254"/>
      <c r="AC4" s="254"/>
      <c r="AD4" s="254"/>
      <c r="AE4" s="254"/>
      <c r="AF4" s="254"/>
      <c r="AG4" s="254"/>
      <c r="AH4" s="254"/>
      <c r="AI4" s="255"/>
      <c r="AK4" s="256">
        <f>+D4-AJ4</f>
        <v>0</v>
      </c>
    </row>
    <row r="5" spans="1:37 16382:16382" ht="18" hidden="1" customHeight="1">
      <c r="B5" s="251" t="s">
        <v>9</v>
      </c>
      <c r="C5" s="252" t="s">
        <v>10</v>
      </c>
      <c r="D5" s="253">
        <f>SUM(E5:AI5)</f>
        <v>0</v>
      </c>
      <c r="E5" s="254"/>
      <c r="F5" s="254"/>
      <c r="G5" s="254"/>
      <c r="H5" s="254"/>
      <c r="I5" s="254"/>
      <c r="J5" s="254"/>
      <c r="K5" s="254"/>
      <c r="L5" s="254"/>
      <c r="M5" s="254"/>
      <c r="N5" s="254"/>
      <c r="O5" s="254"/>
      <c r="P5" s="254"/>
      <c r="Q5" s="254"/>
      <c r="R5" s="254"/>
      <c r="S5" s="254"/>
      <c r="T5" s="254"/>
      <c r="U5" s="254"/>
      <c r="V5" s="254"/>
      <c r="W5" s="254"/>
      <c r="X5" s="254"/>
      <c r="Y5" s="254"/>
      <c r="Z5" s="254"/>
      <c r="AA5" s="254"/>
      <c r="AB5" s="254"/>
      <c r="AC5" s="254"/>
      <c r="AD5" s="254"/>
      <c r="AE5" s="254"/>
      <c r="AF5" s="254"/>
      <c r="AG5" s="254"/>
      <c r="AH5" s="254"/>
      <c r="AI5" s="255"/>
      <c r="AK5" s="256">
        <f t="shared" ref="AK5:AK68" si="2">+D5-AJ5</f>
        <v>0</v>
      </c>
    </row>
    <row r="6" spans="1:37 16382:16382" ht="18" hidden="1" customHeight="1">
      <c r="B6" s="251" t="s">
        <v>11</v>
      </c>
      <c r="C6" s="257" t="s">
        <v>12</v>
      </c>
      <c r="D6" s="253">
        <f t="shared" ref="D6:D69" si="3">SUM(E6:AI6)</f>
        <v>0</v>
      </c>
      <c r="E6" s="258"/>
      <c r="F6" s="258"/>
      <c r="G6" s="258"/>
      <c r="H6" s="258"/>
      <c r="I6" s="258"/>
      <c r="J6" s="258"/>
      <c r="K6" s="258"/>
      <c r="L6" s="258"/>
      <c r="M6" s="258"/>
      <c r="N6" s="258"/>
      <c r="O6" s="258"/>
      <c r="P6" s="258"/>
      <c r="Q6" s="258"/>
      <c r="R6" s="258"/>
      <c r="S6" s="258"/>
      <c r="T6" s="258"/>
      <c r="U6" s="258"/>
      <c r="V6" s="258"/>
      <c r="W6" s="258"/>
      <c r="X6" s="258"/>
      <c r="Y6" s="258"/>
      <c r="Z6" s="258"/>
      <c r="AA6" s="258"/>
      <c r="AB6" s="258"/>
      <c r="AC6" s="258"/>
      <c r="AD6" s="258"/>
      <c r="AE6" s="258"/>
      <c r="AF6" s="258"/>
      <c r="AG6" s="258"/>
      <c r="AH6" s="258"/>
      <c r="AI6" s="259"/>
      <c r="AK6" s="256">
        <f t="shared" si="2"/>
        <v>0</v>
      </c>
    </row>
    <row r="7" spans="1:37 16382:16382" ht="18" hidden="1" customHeight="1">
      <c r="B7" s="251" t="s">
        <v>13</v>
      </c>
      <c r="C7" s="257" t="s">
        <v>14</v>
      </c>
      <c r="D7" s="253">
        <f t="shared" si="3"/>
        <v>0</v>
      </c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8"/>
      <c r="T7" s="258"/>
      <c r="U7" s="258"/>
      <c r="V7" s="258"/>
      <c r="W7" s="258"/>
      <c r="X7" s="258"/>
      <c r="Y7" s="258"/>
      <c r="Z7" s="258"/>
      <c r="AA7" s="258"/>
      <c r="AB7" s="258"/>
      <c r="AC7" s="258"/>
      <c r="AD7" s="258"/>
      <c r="AE7" s="258"/>
      <c r="AF7" s="258"/>
      <c r="AG7" s="258"/>
      <c r="AH7" s="258"/>
      <c r="AI7" s="259"/>
      <c r="AK7" s="256">
        <f t="shared" si="2"/>
        <v>0</v>
      </c>
    </row>
    <row r="8" spans="1:37 16382:16382" ht="18" hidden="1" customHeight="1">
      <c r="B8" s="251" t="s">
        <v>15</v>
      </c>
      <c r="C8" s="257" t="s">
        <v>14</v>
      </c>
      <c r="D8" s="253">
        <f t="shared" si="3"/>
        <v>0</v>
      </c>
      <c r="E8" s="258"/>
      <c r="F8" s="258"/>
      <c r="G8" s="258"/>
      <c r="H8" s="258"/>
      <c r="I8" s="258"/>
      <c r="J8" s="258"/>
      <c r="K8" s="258"/>
      <c r="L8" s="258"/>
      <c r="M8" s="258"/>
      <c r="N8" s="258"/>
      <c r="O8" s="258"/>
      <c r="P8" s="258"/>
      <c r="Q8" s="258"/>
      <c r="R8" s="258"/>
      <c r="S8" s="258"/>
      <c r="T8" s="258"/>
      <c r="U8" s="258"/>
      <c r="V8" s="258"/>
      <c r="W8" s="258"/>
      <c r="X8" s="258"/>
      <c r="Y8" s="258"/>
      <c r="Z8" s="258"/>
      <c r="AA8" s="258"/>
      <c r="AB8" s="258"/>
      <c r="AC8" s="258"/>
      <c r="AD8" s="258"/>
      <c r="AE8" s="258"/>
      <c r="AF8" s="258"/>
      <c r="AG8" s="258"/>
      <c r="AH8" s="258"/>
      <c r="AI8" s="259"/>
      <c r="AK8" s="256">
        <f t="shared" si="2"/>
        <v>0</v>
      </c>
    </row>
    <row r="9" spans="1:37 16382:16382" ht="18" hidden="1" customHeight="1">
      <c r="B9" s="251" t="s">
        <v>16</v>
      </c>
      <c r="C9" s="257" t="s">
        <v>17</v>
      </c>
      <c r="D9" s="253">
        <f t="shared" si="3"/>
        <v>0</v>
      </c>
      <c r="E9" s="258"/>
      <c r="F9" s="258"/>
      <c r="G9" s="258"/>
      <c r="H9" s="258"/>
      <c r="I9" s="258"/>
      <c r="J9" s="258"/>
      <c r="K9" s="258"/>
      <c r="L9" s="258"/>
      <c r="M9" s="258"/>
      <c r="N9" s="258"/>
      <c r="O9" s="258"/>
      <c r="P9" s="258"/>
      <c r="Q9" s="258"/>
      <c r="R9" s="258"/>
      <c r="S9" s="258"/>
      <c r="T9" s="258"/>
      <c r="U9" s="258"/>
      <c r="V9" s="258"/>
      <c r="W9" s="258"/>
      <c r="X9" s="258"/>
      <c r="Y9" s="258"/>
      <c r="Z9" s="258"/>
      <c r="AA9" s="258"/>
      <c r="AB9" s="258"/>
      <c r="AC9" s="258"/>
      <c r="AD9" s="258"/>
      <c r="AE9" s="258"/>
      <c r="AF9" s="258"/>
      <c r="AG9" s="258"/>
      <c r="AH9" s="258"/>
      <c r="AI9" s="259"/>
      <c r="AK9" s="256">
        <f t="shared" si="2"/>
        <v>0</v>
      </c>
    </row>
    <row r="10" spans="1:37 16382:16382" ht="18" hidden="1" customHeight="1">
      <c r="B10" s="251" t="s">
        <v>18</v>
      </c>
      <c r="C10" s="257" t="s">
        <v>19</v>
      </c>
      <c r="D10" s="253">
        <f t="shared" si="3"/>
        <v>0</v>
      </c>
      <c r="E10" s="258"/>
      <c r="F10" s="258"/>
      <c r="G10" s="258"/>
      <c r="H10" s="258"/>
      <c r="I10" s="260"/>
      <c r="J10" s="258"/>
      <c r="K10" s="260"/>
      <c r="L10" s="260"/>
      <c r="M10" s="260"/>
      <c r="N10" s="260"/>
      <c r="O10" s="260"/>
      <c r="P10" s="260"/>
      <c r="Q10" s="260"/>
      <c r="R10" s="260"/>
      <c r="S10" s="260"/>
      <c r="T10" s="260"/>
      <c r="U10" s="260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59"/>
      <c r="AK10" s="256">
        <f t="shared" si="2"/>
        <v>0</v>
      </c>
    </row>
    <row r="11" spans="1:37 16382:16382" ht="18" hidden="1" customHeight="1">
      <c r="B11" s="251" t="s">
        <v>20</v>
      </c>
      <c r="C11" s="252" t="s">
        <v>19</v>
      </c>
      <c r="D11" s="253">
        <f t="shared" si="3"/>
        <v>0</v>
      </c>
      <c r="E11" s="260"/>
      <c r="F11" s="260"/>
      <c r="G11" s="260"/>
      <c r="H11" s="260"/>
      <c r="I11" s="260"/>
      <c r="J11" s="260"/>
      <c r="K11" s="260"/>
      <c r="L11" s="260"/>
      <c r="M11" s="260"/>
      <c r="N11" s="260"/>
      <c r="O11" s="260"/>
      <c r="P11" s="260"/>
      <c r="Q11" s="260"/>
      <c r="R11" s="260"/>
      <c r="S11" s="260"/>
      <c r="T11" s="260"/>
      <c r="U11" s="260"/>
      <c r="V11" s="260"/>
      <c r="W11" s="260"/>
      <c r="X11" s="260"/>
      <c r="Y11" s="260"/>
      <c r="Z11" s="260"/>
      <c r="AA11" s="260"/>
      <c r="AB11" s="260"/>
      <c r="AC11" s="260"/>
      <c r="AD11" s="260"/>
      <c r="AE11" s="260"/>
      <c r="AF11" s="260"/>
      <c r="AG11" s="260"/>
      <c r="AH11" s="260"/>
      <c r="AI11" s="259"/>
      <c r="AK11" s="256">
        <f t="shared" si="2"/>
        <v>0</v>
      </c>
    </row>
    <row r="12" spans="1:37 16382:16382" ht="18" hidden="1" customHeight="1">
      <c r="B12" s="261" t="s">
        <v>21</v>
      </c>
      <c r="C12" s="252" t="s">
        <v>22</v>
      </c>
      <c r="D12" s="253">
        <f t="shared" si="3"/>
        <v>0</v>
      </c>
      <c r="E12" s="260"/>
      <c r="F12" s="260"/>
      <c r="G12" s="260"/>
      <c r="H12" s="260"/>
      <c r="I12" s="260"/>
      <c r="J12" s="260"/>
      <c r="K12" s="260"/>
      <c r="L12" s="260"/>
      <c r="M12" s="260"/>
      <c r="N12" s="260"/>
      <c r="O12" s="260"/>
      <c r="P12" s="260"/>
      <c r="Q12" s="260"/>
      <c r="R12" s="260"/>
      <c r="S12" s="260"/>
      <c r="T12" s="260"/>
      <c r="U12" s="260"/>
      <c r="V12" s="260"/>
      <c r="W12" s="260"/>
      <c r="X12" s="260"/>
      <c r="Y12" s="260"/>
      <c r="Z12" s="260"/>
      <c r="AA12" s="260"/>
      <c r="AB12" s="260"/>
      <c r="AC12" s="260"/>
      <c r="AD12" s="260"/>
      <c r="AE12" s="260"/>
      <c r="AF12" s="260"/>
      <c r="AG12" s="260"/>
      <c r="AH12" s="260"/>
      <c r="AI12" s="259"/>
      <c r="AK12" s="256">
        <f t="shared" si="2"/>
        <v>0</v>
      </c>
    </row>
    <row r="13" spans="1:37 16382:16382" ht="18" hidden="1" customHeight="1">
      <c r="B13" s="262" t="s">
        <v>23</v>
      </c>
      <c r="C13" s="263" t="s">
        <v>24</v>
      </c>
      <c r="D13" s="253">
        <f t="shared" si="3"/>
        <v>0</v>
      </c>
      <c r="E13" s="260"/>
      <c r="F13" s="260"/>
      <c r="G13" s="260"/>
      <c r="H13" s="260"/>
      <c r="I13" s="260"/>
      <c r="J13" s="260"/>
      <c r="K13" s="260"/>
      <c r="L13" s="260"/>
      <c r="M13" s="260"/>
      <c r="N13" s="260"/>
      <c r="O13" s="260"/>
      <c r="P13" s="260"/>
      <c r="Q13" s="260"/>
      <c r="R13" s="260"/>
      <c r="S13" s="260"/>
      <c r="T13" s="260"/>
      <c r="U13" s="260"/>
      <c r="V13" s="260"/>
      <c r="W13" s="260"/>
      <c r="X13" s="260"/>
      <c r="Y13" s="260"/>
      <c r="Z13" s="260"/>
      <c r="AA13" s="260"/>
      <c r="AB13" s="260"/>
      <c r="AC13" s="260"/>
      <c r="AD13" s="260"/>
      <c r="AE13" s="260"/>
      <c r="AF13" s="260"/>
      <c r="AG13" s="260"/>
      <c r="AH13" s="260"/>
      <c r="AI13" s="264"/>
      <c r="AK13" s="256">
        <f t="shared" si="2"/>
        <v>0</v>
      </c>
    </row>
    <row r="14" spans="1:37 16382:16382" ht="18" hidden="1" customHeight="1">
      <c r="B14" s="261" t="s">
        <v>25</v>
      </c>
      <c r="C14" s="257" t="s">
        <v>26</v>
      </c>
      <c r="D14" s="253">
        <f t="shared" si="3"/>
        <v>0</v>
      </c>
      <c r="E14" s="260"/>
      <c r="F14" s="260"/>
      <c r="G14" s="260"/>
      <c r="H14" s="260"/>
      <c r="I14" s="260"/>
      <c r="J14" s="260"/>
      <c r="K14" s="260"/>
      <c r="L14" s="260"/>
      <c r="M14" s="260"/>
      <c r="N14" s="260"/>
      <c r="O14" s="260"/>
      <c r="P14" s="260"/>
      <c r="Q14" s="260"/>
      <c r="R14" s="260"/>
      <c r="S14" s="260"/>
      <c r="T14" s="260"/>
      <c r="U14" s="260"/>
      <c r="V14" s="260"/>
      <c r="W14" s="260"/>
      <c r="X14" s="260"/>
      <c r="Y14" s="260"/>
      <c r="Z14" s="260"/>
      <c r="AA14" s="260"/>
      <c r="AB14" s="260"/>
      <c r="AC14" s="260"/>
      <c r="AD14" s="260"/>
      <c r="AE14" s="260"/>
      <c r="AF14" s="260"/>
      <c r="AG14" s="260"/>
      <c r="AH14" s="260"/>
      <c r="AI14" s="259"/>
      <c r="AK14" s="256">
        <f t="shared" si="2"/>
        <v>0</v>
      </c>
    </row>
    <row r="15" spans="1:37 16382:16382" ht="18" hidden="1" customHeight="1">
      <c r="B15" s="261" t="s">
        <v>27</v>
      </c>
      <c r="C15" s="257" t="s">
        <v>26</v>
      </c>
      <c r="D15" s="253">
        <f t="shared" si="3"/>
        <v>0</v>
      </c>
      <c r="E15" s="260"/>
      <c r="F15" s="260"/>
      <c r="G15" s="260"/>
      <c r="H15" s="260"/>
      <c r="I15" s="260"/>
      <c r="J15" s="260"/>
      <c r="K15" s="260"/>
      <c r="L15" s="260"/>
      <c r="M15" s="260"/>
      <c r="N15" s="260"/>
      <c r="O15" s="260"/>
      <c r="P15" s="260"/>
      <c r="Q15" s="260"/>
      <c r="R15" s="260"/>
      <c r="S15" s="260"/>
      <c r="T15" s="260"/>
      <c r="U15" s="260"/>
      <c r="V15" s="260"/>
      <c r="W15" s="260"/>
      <c r="X15" s="260"/>
      <c r="Y15" s="260"/>
      <c r="Z15" s="260"/>
      <c r="AA15" s="260"/>
      <c r="AB15" s="260"/>
      <c r="AC15" s="260"/>
      <c r="AD15" s="260"/>
      <c r="AE15" s="260"/>
      <c r="AF15" s="260"/>
      <c r="AG15" s="260"/>
      <c r="AH15" s="260"/>
      <c r="AI15" s="259"/>
      <c r="AK15" s="256">
        <f t="shared" si="2"/>
        <v>0</v>
      </c>
    </row>
    <row r="16" spans="1:37 16382:16382" ht="18" hidden="1" customHeight="1">
      <c r="B16" s="261" t="s">
        <v>28</v>
      </c>
      <c r="C16" s="257" t="s">
        <v>29</v>
      </c>
      <c r="D16" s="253">
        <f t="shared" si="3"/>
        <v>0</v>
      </c>
      <c r="E16" s="260"/>
      <c r="F16" s="260"/>
      <c r="G16" s="260"/>
      <c r="H16" s="260"/>
      <c r="I16" s="260"/>
      <c r="J16" s="260"/>
      <c r="K16" s="260"/>
      <c r="L16" s="260"/>
      <c r="M16" s="260"/>
      <c r="N16" s="260"/>
      <c r="O16" s="260"/>
      <c r="P16" s="260"/>
      <c r="Q16" s="260"/>
      <c r="R16" s="260"/>
      <c r="S16" s="260"/>
      <c r="T16" s="260"/>
      <c r="U16" s="260"/>
      <c r="V16" s="260"/>
      <c r="W16" s="260"/>
      <c r="X16" s="260"/>
      <c r="Y16" s="260"/>
      <c r="Z16" s="260"/>
      <c r="AA16" s="260"/>
      <c r="AB16" s="260"/>
      <c r="AC16" s="260"/>
      <c r="AD16" s="260"/>
      <c r="AE16" s="260"/>
      <c r="AF16" s="260"/>
      <c r="AG16" s="260"/>
      <c r="AH16" s="260"/>
      <c r="AI16" s="259"/>
      <c r="AK16" s="256">
        <f t="shared" si="2"/>
        <v>0</v>
      </c>
    </row>
    <row r="17" spans="2:37" ht="18" hidden="1" customHeight="1">
      <c r="B17" s="261" t="s">
        <v>30</v>
      </c>
      <c r="C17" s="257" t="s">
        <v>31</v>
      </c>
      <c r="D17" s="253">
        <f t="shared" si="3"/>
        <v>0</v>
      </c>
      <c r="E17" s="260"/>
      <c r="F17" s="260"/>
      <c r="G17" s="260"/>
      <c r="H17" s="260"/>
      <c r="I17" s="260"/>
      <c r="J17" s="260"/>
      <c r="K17" s="260"/>
      <c r="L17" s="260"/>
      <c r="M17" s="260"/>
      <c r="N17" s="260"/>
      <c r="O17" s="260"/>
      <c r="P17" s="260"/>
      <c r="Q17" s="260"/>
      <c r="R17" s="260"/>
      <c r="S17" s="260"/>
      <c r="T17" s="260"/>
      <c r="U17" s="260"/>
      <c r="V17" s="260"/>
      <c r="W17" s="260"/>
      <c r="X17" s="260"/>
      <c r="Y17" s="260"/>
      <c r="Z17" s="260"/>
      <c r="AA17" s="260"/>
      <c r="AB17" s="260"/>
      <c r="AC17" s="260"/>
      <c r="AD17" s="260"/>
      <c r="AE17" s="260"/>
      <c r="AF17" s="260"/>
      <c r="AG17" s="260"/>
      <c r="AH17" s="260"/>
      <c r="AI17" s="259"/>
      <c r="AK17" s="256">
        <f t="shared" si="2"/>
        <v>0</v>
      </c>
    </row>
    <row r="18" spans="2:37" ht="18" hidden="1" customHeight="1">
      <c r="B18" s="261" t="s">
        <v>34</v>
      </c>
      <c r="C18" s="257" t="s">
        <v>33</v>
      </c>
      <c r="D18" s="253">
        <f t="shared" si="3"/>
        <v>0</v>
      </c>
      <c r="E18" s="260"/>
      <c r="F18" s="260"/>
      <c r="G18" s="260"/>
      <c r="H18" s="260"/>
      <c r="I18" s="260"/>
      <c r="J18" s="260"/>
      <c r="K18" s="260"/>
      <c r="L18" s="260"/>
      <c r="M18" s="260"/>
      <c r="N18" s="260"/>
      <c r="O18" s="260"/>
      <c r="P18" s="260"/>
      <c r="Q18" s="260"/>
      <c r="R18" s="260"/>
      <c r="S18" s="260"/>
      <c r="T18" s="260"/>
      <c r="U18" s="260"/>
      <c r="V18" s="260"/>
      <c r="W18" s="260"/>
      <c r="X18" s="260"/>
      <c r="Y18" s="260"/>
      <c r="Z18" s="260"/>
      <c r="AA18" s="260"/>
      <c r="AB18" s="260"/>
      <c r="AC18" s="260"/>
      <c r="AD18" s="260"/>
      <c r="AE18" s="260"/>
      <c r="AF18" s="260"/>
      <c r="AG18" s="260"/>
      <c r="AH18" s="260"/>
      <c r="AI18" s="259"/>
      <c r="AK18" s="256">
        <f t="shared" si="2"/>
        <v>0</v>
      </c>
    </row>
    <row r="19" spans="2:37" ht="18" hidden="1" customHeight="1">
      <c r="B19" s="261" t="s">
        <v>32</v>
      </c>
      <c r="C19" s="257" t="s">
        <v>33</v>
      </c>
      <c r="D19" s="253">
        <f t="shared" si="3"/>
        <v>0</v>
      </c>
      <c r="E19" s="260"/>
      <c r="F19" s="260"/>
      <c r="G19" s="260"/>
      <c r="H19" s="260"/>
      <c r="I19" s="260"/>
      <c r="J19" s="260"/>
      <c r="K19" s="260"/>
      <c r="L19" s="260"/>
      <c r="M19" s="260"/>
      <c r="N19" s="260"/>
      <c r="O19" s="260"/>
      <c r="P19" s="260"/>
      <c r="Q19" s="260"/>
      <c r="R19" s="260"/>
      <c r="S19" s="260"/>
      <c r="T19" s="260"/>
      <c r="U19" s="260"/>
      <c r="V19" s="260"/>
      <c r="W19" s="260"/>
      <c r="X19" s="260"/>
      <c r="Y19" s="260"/>
      <c r="Z19" s="260"/>
      <c r="AA19" s="260"/>
      <c r="AB19" s="260"/>
      <c r="AC19" s="260"/>
      <c r="AD19" s="260"/>
      <c r="AE19" s="260"/>
      <c r="AF19" s="260"/>
      <c r="AG19" s="260"/>
      <c r="AH19" s="260"/>
      <c r="AI19" s="259"/>
      <c r="AK19" s="256">
        <f t="shared" si="2"/>
        <v>0</v>
      </c>
    </row>
    <row r="20" spans="2:37" ht="18" hidden="1" customHeight="1">
      <c r="B20" s="261" t="s">
        <v>36</v>
      </c>
      <c r="C20" s="257" t="s">
        <v>37</v>
      </c>
      <c r="D20" s="253">
        <f t="shared" si="3"/>
        <v>0</v>
      </c>
      <c r="E20" s="260"/>
      <c r="F20" s="260"/>
      <c r="G20" s="260"/>
      <c r="H20" s="260"/>
      <c r="I20" s="260"/>
      <c r="J20" s="260"/>
      <c r="K20" s="260"/>
      <c r="L20" s="260"/>
      <c r="M20" s="260"/>
      <c r="N20" s="260"/>
      <c r="O20" s="260"/>
      <c r="P20" s="260"/>
      <c r="Q20" s="260"/>
      <c r="R20" s="260"/>
      <c r="S20" s="260"/>
      <c r="T20" s="260"/>
      <c r="U20" s="260"/>
      <c r="V20" s="260"/>
      <c r="W20" s="260"/>
      <c r="X20" s="260"/>
      <c r="Y20" s="260"/>
      <c r="Z20" s="260"/>
      <c r="AA20" s="260"/>
      <c r="AB20" s="260"/>
      <c r="AC20" s="260"/>
      <c r="AD20" s="260"/>
      <c r="AE20" s="260"/>
      <c r="AF20" s="260"/>
      <c r="AG20" s="260"/>
      <c r="AH20" s="260"/>
      <c r="AI20" s="259"/>
      <c r="AK20" s="256">
        <f t="shared" si="2"/>
        <v>0</v>
      </c>
    </row>
    <row r="21" spans="2:37" ht="18" hidden="1" customHeight="1">
      <c r="B21" s="261" t="s">
        <v>38</v>
      </c>
      <c r="C21" s="257" t="s">
        <v>39</v>
      </c>
      <c r="D21" s="253">
        <f t="shared" si="3"/>
        <v>0</v>
      </c>
      <c r="E21" s="260"/>
      <c r="F21" s="260"/>
      <c r="G21" s="260"/>
      <c r="H21" s="260"/>
      <c r="I21" s="260"/>
      <c r="J21" s="260"/>
      <c r="K21" s="260"/>
      <c r="L21" s="260"/>
      <c r="M21" s="260"/>
      <c r="N21" s="260"/>
      <c r="O21" s="260"/>
      <c r="P21" s="260"/>
      <c r="Q21" s="260"/>
      <c r="R21" s="260"/>
      <c r="S21" s="260"/>
      <c r="T21" s="260"/>
      <c r="U21" s="260"/>
      <c r="V21" s="260"/>
      <c r="W21" s="260"/>
      <c r="X21" s="260"/>
      <c r="Y21" s="260"/>
      <c r="Z21" s="260"/>
      <c r="AA21" s="260"/>
      <c r="AB21" s="260"/>
      <c r="AC21" s="260"/>
      <c r="AD21" s="260"/>
      <c r="AE21" s="260"/>
      <c r="AF21" s="260"/>
      <c r="AG21" s="260"/>
      <c r="AH21" s="260"/>
      <c r="AI21" s="259"/>
      <c r="AK21" s="256">
        <f t="shared" si="2"/>
        <v>0</v>
      </c>
    </row>
    <row r="22" spans="2:37" ht="18" hidden="1" customHeight="1">
      <c r="B22" s="261" t="s">
        <v>40</v>
      </c>
      <c r="C22" s="257" t="s">
        <v>39</v>
      </c>
      <c r="D22" s="253">
        <f t="shared" si="3"/>
        <v>0</v>
      </c>
      <c r="E22" s="260"/>
      <c r="F22" s="260"/>
      <c r="G22" s="260"/>
      <c r="H22" s="260"/>
      <c r="I22" s="260"/>
      <c r="J22" s="260"/>
      <c r="K22" s="260"/>
      <c r="L22" s="260"/>
      <c r="M22" s="260"/>
      <c r="N22" s="260"/>
      <c r="O22" s="260"/>
      <c r="P22" s="260"/>
      <c r="Q22" s="260"/>
      <c r="R22" s="260"/>
      <c r="S22" s="260"/>
      <c r="T22" s="260"/>
      <c r="U22" s="260"/>
      <c r="V22" s="260"/>
      <c r="W22" s="260"/>
      <c r="X22" s="260"/>
      <c r="Y22" s="260"/>
      <c r="Z22" s="260"/>
      <c r="AA22" s="260"/>
      <c r="AB22" s="260"/>
      <c r="AC22" s="260"/>
      <c r="AD22" s="260"/>
      <c r="AE22" s="260"/>
      <c r="AF22" s="260"/>
      <c r="AG22" s="260"/>
      <c r="AH22" s="260"/>
      <c r="AI22" s="264"/>
      <c r="AK22" s="256">
        <f t="shared" si="2"/>
        <v>0</v>
      </c>
    </row>
    <row r="23" spans="2:37" ht="18" hidden="1" customHeight="1">
      <c r="B23" s="261" t="s">
        <v>41</v>
      </c>
      <c r="C23" s="257" t="s">
        <v>42</v>
      </c>
      <c r="D23" s="253">
        <f t="shared" si="3"/>
        <v>0</v>
      </c>
      <c r="E23" s="260"/>
      <c r="F23" s="260"/>
      <c r="G23" s="260"/>
      <c r="H23" s="260"/>
      <c r="I23" s="260"/>
      <c r="J23" s="260"/>
      <c r="K23" s="260"/>
      <c r="L23" s="260"/>
      <c r="M23" s="260"/>
      <c r="N23" s="260"/>
      <c r="O23" s="260"/>
      <c r="P23" s="260"/>
      <c r="Q23" s="260"/>
      <c r="R23" s="260"/>
      <c r="S23" s="260"/>
      <c r="T23" s="260"/>
      <c r="U23" s="260"/>
      <c r="V23" s="260"/>
      <c r="W23" s="260"/>
      <c r="X23" s="260"/>
      <c r="Y23" s="260"/>
      <c r="Z23" s="260"/>
      <c r="AA23" s="260"/>
      <c r="AB23" s="260"/>
      <c r="AC23" s="260"/>
      <c r="AD23" s="260"/>
      <c r="AE23" s="260"/>
      <c r="AF23" s="260"/>
      <c r="AG23" s="260"/>
      <c r="AH23" s="260"/>
      <c r="AI23" s="264"/>
      <c r="AK23" s="256">
        <f t="shared" si="2"/>
        <v>0</v>
      </c>
    </row>
    <row r="24" spans="2:37" ht="18" hidden="1" customHeight="1">
      <c r="B24" s="261" t="s">
        <v>43</v>
      </c>
      <c r="C24" s="257" t="s">
        <v>42</v>
      </c>
      <c r="D24" s="253">
        <f t="shared" si="3"/>
        <v>0</v>
      </c>
      <c r="E24" s="260"/>
      <c r="F24" s="260"/>
      <c r="G24" s="260"/>
      <c r="H24" s="260"/>
      <c r="I24" s="260"/>
      <c r="J24" s="260"/>
      <c r="K24" s="260"/>
      <c r="L24" s="260"/>
      <c r="M24" s="260"/>
      <c r="N24" s="260"/>
      <c r="O24" s="260"/>
      <c r="P24" s="260"/>
      <c r="Q24" s="260"/>
      <c r="R24" s="260"/>
      <c r="S24" s="260"/>
      <c r="T24" s="260"/>
      <c r="U24" s="260"/>
      <c r="V24" s="260"/>
      <c r="W24" s="260"/>
      <c r="X24" s="260"/>
      <c r="Y24" s="260"/>
      <c r="Z24" s="260"/>
      <c r="AA24" s="260"/>
      <c r="AB24" s="260"/>
      <c r="AC24" s="260"/>
      <c r="AD24" s="260"/>
      <c r="AE24" s="260"/>
      <c r="AF24" s="260"/>
      <c r="AG24" s="260"/>
      <c r="AH24" s="260"/>
      <c r="AI24" s="264"/>
      <c r="AK24" s="256">
        <f t="shared" si="2"/>
        <v>0</v>
      </c>
    </row>
    <row r="25" spans="2:37" ht="18" hidden="1" customHeight="1">
      <c r="B25" s="251" t="s">
        <v>44</v>
      </c>
      <c r="C25" s="263" t="s">
        <v>45</v>
      </c>
      <c r="D25" s="253">
        <f t="shared" si="3"/>
        <v>0</v>
      </c>
      <c r="E25" s="260"/>
      <c r="F25" s="260"/>
      <c r="G25" s="260"/>
      <c r="H25" s="260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Y25" s="260"/>
      <c r="Z25" s="260"/>
      <c r="AA25" s="260"/>
      <c r="AB25" s="260"/>
      <c r="AC25" s="260"/>
      <c r="AD25" s="260"/>
      <c r="AE25" s="260"/>
      <c r="AF25" s="260"/>
      <c r="AG25" s="260"/>
      <c r="AH25" s="260"/>
      <c r="AI25" s="264"/>
      <c r="AK25" s="256">
        <f t="shared" si="2"/>
        <v>0</v>
      </c>
    </row>
    <row r="26" spans="2:37" ht="18" hidden="1" customHeight="1">
      <c r="B26" s="265" t="s">
        <v>46</v>
      </c>
      <c r="C26" s="263" t="s">
        <v>47</v>
      </c>
      <c r="D26" s="253">
        <f t="shared" si="3"/>
        <v>0</v>
      </c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260"/>
      <c r="S26" s="260"/>
      <c r="T26" s="260"/>
      <c r="U26" s="260"/>
      <c r="V26" s="260"/>
      <c r="W26" s="260"/>
      <c r="X26" s="260"/>
      <c r="Y26" s="260"/>
      <c r="Z26" s="260"/>
      <c r="AA26" s="260"/>
      <c r="AB26" s="260"/>
      <c r="AC26" s="260"/>
      <c r="AD26" s="260"/>
      <c r="AE26" s="260"/>
      <c r="AF26" s="260"/>
      <c r="AG26" s="260"/>
      <c r="AH26" s="260"/>
      <c r="AI26" s="264"/>
      <c r="AK26" s="256">
        <f t="shared" si="2"/>
        <v>0</v>
      </c>
    </row>
    <row r="27" spans="2:37" ht="18" hidden="1" customHeight="1">
      <c r="B27" s="265" t="s">
        <v>48</v>
      </c>
      <c r="C27" s="263" t="s">
        <v>47</v>
      </c>
      <c r="D27" s="253">
        <f t="shared" si="3"/>
        <v>0</v>
      </c>
      <c r="E27" s="260"/>
      <c r="F27" s="260"/>
      <c r="G27" s="260"/>
      <c r="H27" s="260"/>
      <c r="I27" s="260"/>
      <c r="J27" s="260"/>
      <c r="K27" s="260"/>
      <c r="L27" s="260"/>
      <c r="M27" s="260"/>
      <c r="N27" s="260"/>
      <c r="O27" s="260"/>
      <c r="P27" s="260"/>
      <c r="Q27" s="260"/>
      <c r="R27" s="260"/>
      <c r="S27" s="260"/>
      <c r="T27" s="260"/>
      <c r="U27" s="260"/>
      <c r="V27" s="260"/>
      <c r="W27" s="260"/>
      <c r="X27" s="260"/>
      <c r="Y27" s="260"/>
      <c r="Z27" s="260"/>
      <c r="AA27" s="260"/>
      <c r="AB27" s="260"/>
      <c r="AC27" s="260"/>
      <c r="AD27" s="260"/>
      <c r="AE27" s="260"/>
      <c r="AF27" s="260"/>
      <c r="AG27" s="260"/>
      <c r="AH27" s="260"/>
      <c r="AI27" s="264"/>
      <c r="AK27" s="256">
        <f t="shared" si="2"/>
        <v>0</v>
      </c>
    </row>
    <row r="28" spans="2:37" ht="18" hidden="1" customHeight="1">
      <c r="B28" s="265" t="s">
        <v>49</v>
      </c>
      <c r="C28" s="266" t="s">
        <v>50</v>
      </c>
      <c r="D28" s="253">
        <f t="shared" si="3"/>
        <v>0</v>
      </c>
      <c r="E28" s="260"/>
      <c r="F28" s="260"/>
      <c r="G28" s="260"/>
      <c r="H28" s="260"/>
      <c r="I28" s="260"/>
      <c r="J28" s="260"/>
      <c r="K28" s="260"/>
      <c r="L28" s="260"/>
      <c r="M28" s="260"/>
      <c r="N28" s="260"/>
      <c r="O28" s="260"/>
      <c r="P28" s="260"/>
      <c r="Q28" s="260"/>
      <c r="R28" s="260"/>
      <c r="S28" s="260"/>
      <c r="T28" s="260"/>
      <c r="U28" s="260"/>
      <c r="V28" s="260"/>
      <c r="W28" s="260"/>
      <c r="X28" s="260"/>
      <c r="Y28" s="260"/>
      <c r="Z28" s="260"/>
      <c r="AA28" s="260"/>
      <c r="AB28" s="260"/>
      <c r="AC28" s="260"/>
      <c r="AD28" s="260"/>
      <c r="AE28" s="260"/>
      <c r="AF28" s="260"/>
      <c r="AG28" s="260"/>
      <c r="AH28" s="260"/>
      <c r="AI28" s="264"/>
      <c r="AK28" s="256">
        <f t="shared" si="2"/>
        <v>0</v>
      </c>
    </row>
    <row r="29" spans="2:37" ht="18" hidden="1" customHeight="1">
      <c r="B29" s="267" t="s">
        <v>51</v>
      </c>
      <c r="C29" s="266" t="s">
        <v>50</v>
      </c>
      <c r="D29" s="253">
        <f t="shared" si="3"/>
        <v>0</v>
      </c>
      <c r="E29" s="260"/>
      <c r="F29" s="260"/>
      <c r="G29" s="260"/>
      <c r="H29" s="260"/>
      <c r="I29" s="260"/>
      <c r="J29" s="260"/>
      <c r="K29" s="260"/>
      <c r="L29" s="260"/>
      <c r="M29" s="260"/>
      <c r="N29" s="260"/>
      <c r="O29" s="260"/>
      <c r="P29" s="260"/>
      <c r="Q29" s="260"/>
      <c r="R29" s="260"/>
      <c r="S29" s="260"/>
      <c r="T29" s="260"/>
      <c r="U29" s="260"/>
      <c r="V29" s="260"/>
      <c r="W29" s="260"/>
      <c r="X29" s="260"/>
      <c r="Y29" s="260"/>
      <c r="Z29" s="260"/>
      <c r="AA29" s="260"/>
      <c r="AB29" s="260"/>
      <c r="AC29" s="260"/>
      <c r="AD29" s="260"/>
      <c r="AE29" s="260"/>
      <c r="AF29" s="260"/>
      <c r="AG29" s="260"/>
      <c r="AH29" s="260"/>
      <c r="AI29" s="264"/>
      <c r="AK29" s="256">
        <f t="shared" si="2"/>
        <v>0</v>
      </c>
    </row>
    <row r="30" spans="2:37" ht="18" hidden="1" customHeight="1">
      <c r="B30" s="267" t="s">
        <v>60</v>
      </c>
      <c r="C30" s="266" t="s">
        <v>505</v>
      </c>
      <c r="D30" s="253">
        <f t="shared" si="3"/>
        <v>0</v>
      </c>
      <c r="E30" s="260"/>
      <c r="F30" s="260"/>
      <c r="G30" s="260"/>
      <c r="H30" s="260"/>
      <c r="I30" s="260"/>
      <c r="J30" s="260"/>
      <c r="K30" s="260"/>
      <c r="L30" s="260"/>
      <c r="M30" s="260"/>
      <c r="N30" s="260"/>
      <c r="O30" s="260"/>
      <c r="P30" s="260"/>
      <c r="Q30" s="260"/>
      <c r="R30" s="260"/>
      <c r="S30" s="260"/>
      <c r="T30" s="260"/>
      <c r="U30" s="260"/>
      <c r="V30" s="260"/>
      <c r="W30" s="260"/>
      <c r="X30" s="260"/>
      <c r="Y30" s="260"/>
      <c r="Z30" s="260"/>
      <c r="AA30" s="260"/>
      <c r="AB30" s="260"/>
      <c r="AC30" s="260"/>
      <c r="AD30" s="260"/>
      <c r="AE30" s="260"/>
      <c r="AF30" s="260"/>
      <c r="AG30" s="260"/>
      <c r="AH30" s="260"/>
      <c r="AI30" s="264"/>
      <c r="AK30" s="256">
        <f t="shared" si="2"/>
        <v>0</v>
      </c>
    </row>
    <row r="31" spans="2:37" ht="18" hidden="1" customHeight="1">
      <c r="B31" s="267" t="s">
        <v>52</v>
      </c>
      <c r="C31" s="263" t="s">
        <v>53</v>
      </c>
      <c r="D31" s="253">
        <f t="shared" si="3"/>
        <v>0</v>
      </c>
      <c r="E31" s="260"/>
      <c r="F31" s="260"/>
      <c r="G31" s="260"/>
      <c r="H31" s="260"/>
      <c r="I31" s="260"/>
      <c r="J31" s="260"/>
      <c r="K31" s="260"/>
      <c r="L31" s="260"/>
      <c r="M31" s="260"/>
      <c r="N31" s="260"/>
      <c r="O31" s="260"/>
      <c r="P31" s="260"/>
      <c r="Q31" s="260"/>
      <c r="R31" s="260"/>
      <c r="S31" s="260"/>
      <c r="T31" s="260"/>
      <c r="U31" s="260"/>
      <c r="V31" s="260"/>
      <c r="W31" s="260"/>
      <c r="X31" s="260"/>
      <c r="Y31" s="260"/>
      <c r="Z31" s="260"/>
      <c r="AA31" s="260"/>
      <c r="AB31" s="260"/>
      <c r="AC31" s="260"/>
      <c r="AD31" s="260"/>
      <c r="AE31" s="260"/>
      <c r="AF31" s="260"/>
      <c r="AG31" s="260"/>
      <c r="AH31" s="260"/>
      <c r="AI31" s="264"/>
      <c r="AK31" s="256">
        <f t="shared" si="2"/>
        <v>0</v>
      </c>
    </row>
    <row r="32" spans="2:37" ht="18" hidden="1" customHeight="1">
      <c r="B32" s="262" t="s">
        <v>54</v>
      </c>
      <c r="C32" s="268" t="s">
        <v>55</v>
      </c>
      <c r="D32" s="253">
        <f t="shared" si="3"/>
        <v>0</v>
      </c>
      <c r="E32" s="260"/>
      <c r="F32" s="260"/>
      <c r="G32" s="260"/>
      <c r="H32" s="260"/>
      <c r="I32" s="260"/>
      <c r="J32" s="260"/>
      <c r="K32" s="260"/>
      <c r="L32" s="260"/>
      <c r="M32" s="260"/>
      <c r="N32" s="260"/>
      <c r="O32" s="260"/>
      <c r="P32" s="260"/>
      <c r="Q32" s="260"/>
      <c r="R32" s="260"/>
      <c r="S32" s="260"/>
      <c r="T32" s="260"/>
      <c r="U32" s="260"/>
      <c r="V32" s="260"/>
      <c r="W32" s="260"/>
      <c r="X32" s="260"/>
      <c r="Y32" s="260"/>
      <c r="Z32" s="260"/>
      <c r="AA32" s="260"/>
      <c r="AB32" s="260"/>
      <c r="AC32" s="260"/>
      <c r="AD32" s="260"/>
      <c r="AE32" s="260"/>
      <c r="AF32" s="260"/>
      <c r="AG32" s="260"/>
      <c r="AH32" s="260"/>
      <c r="AI32" s="264"/>
      <c r="AK32" s="256">
        <f t="shared" si="2"/>
        <v>0</v>
      </c>
    </row>
    <row r="33" spans="2:37" ht="18" hidden="1" customHeight="1">
      <c r="B33" s="251" t="s">
        <v>56</v>
      </c>
      <c r="C33" s="263" t="s">
        <v>57</v>
      </c>
      <c r="D33" s="253">
        <f t="shared" si="3"/>
        <v>0</v>
      </c>
      <c r="E33" s="260"/>
      <c r="F33" s="260"/>
      <c r="G33" s="260"/>
      <c r="H33" s="260"/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Y33" s="260"/>
      <c r="Z33" s="260"/>
      <c r="AA33" s="260"/>
      <c r="AB33" s="260"/>
      <c r="AC33" s="260"/>
      <c r="AD33" s="260"/>
      <c r="AE33" s="260"/>
      <c r="AF33" s="260"/>
      <c r="AG33" s="260"/>
      <c r="AH33" s="260"/>
      <c r="AI33" s="264"/>
      <c r="AK33" s="256">
        <f t="shared" si="2"/>
        <v>0</v>
      </c>
    </row>
    <row r="34" spans="2:37" ht="18" hidden="1" customHeight="1">
      <c r="B34" s="265" t="s">
        <v>58</v>
      </c>
      <c r="C34" s="269" t="s">
        <v>59</v>
      </c>
      <c r="D34" s="253">
        <f t="shared" si="3"/>
        <v>0</v>
      </c>
      <c r="E34" s="260"/>
      <c r="F34" s="260"/>
      <c r="G34" s="260"/>
      <c r="H34" s="260"/>
      <c r="I34" s="260"/>
      <c r="J34" s="260"/>
      <c r="K34" s="260"/>
      <c r="L34" s="260"/>
      <c r="M34" s="260"/>
      <c r="N34" s="260"/>
      <c r="O34" s="260"/>
      <c r="P34" s="260"/>
      <c r="Q34" s="260"/>
      <c r="R34" s="260"/>
      <c r="S34" s="260"/>
      <c r="T34" s="260"/>
      <c r="U34" s="260"/>
      <c r="V34" s="260"/>
      <c r="W34" s="260"/>
      <c r="X34" s="260"/>
      <c r="Y34" s="260"/>
      <c r="Z34" s="260"/>
      <c r="AA34" s="260"/>
      <c r="AB34" s="260"/>
      <c r="AC34" s="260"/>
      <c r="AD34" s="260"/>
      <c r="AE34" s="260"/>
      <c r="AF34" s="260"/>
      <c r="AG34" s="260"/>
      <c r="AH34" s="260"/>
      <c r="AI34" s="264"/>
      <c r="AK34" s="256">
        <f t="shared" si="2"/>
        <v>0</v>
      </c>
    </row>
    <row r="35" spans="2:37" ht="18" hidden="1" customHeight="1">
      <c r="B35" s="265" t="s">
        <v>62</v>
      </c>
      <c r="C35" s="269" t="s">
        <v>63</v>
      </c>
      <c r="D35" s="253">
        <f t="shared" si="3"/>
        <v>0</v>
      </c>
      <c r="E35" s="260"/>
      <c r="F35" s="260"/>
      <c r="G35" s="260"/>
      <c r="H35" s="260"/>
      <c r="I35" s="260"/>
      <c r="J35" s="260"/>
      <c r="K35" s="260"/>
      <c r="L35" s="260"/>
      <c r="M35" s="260"/>
      <c r="N35" s="260"/>
      <c r="O35" s="260"/>
      <c r="P35" s="260"/>
      <c r="Q35" s="260"/>
      <c r="R35" s="260"/>
      <c r="S35" s="260"/>
      <c r="T35" s="260"/>
      <c r="U35" s="260"/>
      <c r="V35" s="260"/>
      <c r="W35" s="260"/>
      <c r="X35" s="260"/>
      <c r="Y35" s="260"/>
      <c r="Z35" s="260"/>
      <c r="AA35" s="260"/>
      <c r="AB35" s="260"/>
      <c r="AC35" s="260"/>
      <c r="AD35" s="260"/>
      <c r="AE35" s="260"/>
      <c r="AF35" s="260"/>
      <c r="AG35" s="260"/>
      <c r="AH35" s="260"/>
      <c r="AI35" s="264"/>
      <c r="AK35" s="256">
        <f t="shared" si="2"/>
        <v>0</v>
      </c>
    </row>
    <row r="36" spans="2:37" ht="18" hidden="1" customHeight="1">
      <c r="B36" s="265" t="s">
        <v>64</v>
      </c>
      <c r="C36" s="269" t="s">
        <v>65</v>
      </c>
      <c r="D36" s="253">
        <f t="shared" si="3"/>
        <v>0</v>
      </c>
      <c r="E36" s="260"/>
      <c r="F36" s="260"/>
      <c r="G36" s="260"/>
      <c r="H36" s="260"/>
      <c r="I36" s="260"/>
      <c r="J36" s="260"/>
      <c r="K36" s="260"/>
      <c r="L36" s="260"/>
      <c r="M36" s="260"/>
      <c r="N36" s="260"/>
      <c r="O36" s="260"/>
      <c r="P36" s="260"/>
      <c r="Q36" s="260"/>
      <c r="R36" s="260"/>
      <c r="S36" s="260"/>
      <c r="T36" s="260"/>
      <c r="U36" s="260"/>
      <c r="V36" s="260"/>
      <c r="W36" s="260"/>
      <c r="X36" s="260"/>
      <c r="Y36" s="260"/>
      <c r="Z36" s="260"/>
      <c r="AA36" s="260"/>
      <c r="AB36" s="260"/>
      <c r="AC36" s="260"/>
      <c r="AD36" s="260"/>
      <c r="AE36" s="260"/>
      <c r="AF36" s="260"/>
      <c r="AG36" s="260"/>
      <c r="AH36" s="260"/>
      <c r="AI36" s="264"/>
      <c r="AK36" s="256">
        <f t="shared" si="2"/>
        <v>0</v>
      </c>
    </row>
    <row r="37" spans="2:37" ht="18" hidden="1" customHeight="1">
      <c r="B37" s="265" t="s">
        <v>66</v>
      </c>
      <c r="C37" s="269" t="s">
        <v>67</v>
      </c>
      <c r="D37" s="253">
        <f t="shared" si="3"/>
        <v>0</v>
      </c>
      <c r="E37" s="260"/>
      <c r="F37" s="260"/>
      <c r="G37" s="260"/>
      <c r="H37" s="260"/>
      <c r="I37" s="260"/>
      <c r="J37" s="260"/>
      <c r="K37" s="260"/>
      <c r="L37" s="260"/>
      <c r="M37" s="260"/>
      <c r="N37" s="260"/>
      <c r="O37" s="260"/>
      <c r="P37" s="260"/>
      <c r="Q37" s="260"/>
      <c r="R37" s="260"/>
      <c r="S37" s="260"/>
      <c r="T37" s="260"/>
      <c r="U37" s="260"/>
      <c r="V37" s="260"/>
      <c r="W37" s="260"/>
      <c r="X37" s="260"/>
      <c r="Y37" s="260"/>
      <c r="Z37" s="260"/>
      <c r="AA37" s="260"/>
      <c r="AB37" s="260"/>
      <c r="AC37" s="260"/>
      <c r="AD37" s="260"/>
      <c r="AE37" s="260"/>
      <c r="AF37" s="260"/>
      <c r="AG37" s="260"/>
      <c r="AH37" s="260"/>
      <c r="AI37" s="264"/>
      <c r="AK37" s="256">
        <f t="shared" si="2"/>
        <v>0</v>
      </c>
    </row>
    <row r="38" spans="2:37" ht="18" hidden="1" customHeight="1">
      <c r="B38" s="265" t="s">
        <v>68</v>
      </c>
      <c r="C38" s="269" t="s">
        <v>69</v>
      </c>
      <c r="D38" s="253">
        <f t="shared" si="3"/>
        <v>0</v>
      </c>
      <c r="E38" s="260"/>
      <c r="F38" s="260"/>
      <c r="G38" s="260"/>
      <c r="H38" s="260"/>
      <c r="I38" s="260"/>
      <c r="J38" s="260"/>
      <c r="K38" s="260"/>
      <c r="L38" s="260"/>
      <c r="M38" s="260"/>
      <c r="N38" s="260"/>
      <c r="O38" s="260"/>
      <c r="P38" s="260"/>
      <c r="Q38" s="260"/>
      <c r="R38" s="260"/>
      <c r="S38" s="260"/>
      <c r="T38" s="260"/>
      <c r="U38" s="260"/>
      <c r="V38" s="260"/>
      <c r="W38" s="260"/>
      <c r="X38" s="260"/>
      <c r="Y38" s="260"/>
      <c r="Z38" s="260"/>
      <c r="AA38" s="260"/>
      <c r="AB38" s="260"/>
      <c r="AC38" s="260"/>
      <c r="AD38" s="260"/>
      <c r="AE38" s="260"/>
      <c r="AF38" s="260"/>
      <c r="AG38" s="260"/>
      <c r="AH38" s="260"/>
      <c r="AI38" s="264"/>
      <c r="AK38" s="256">
        <f t="shared" si="2"/>
        <v>0</v>
      </c>
    </row>
    <row r="39" spans="2:37" ht="18" hidden="1" customHeight="1">
      <c r="B39" s="265" t="s">
        <v>70</v>
      </c>
      <c r="C39" s="269" t="s">
        <v>69</v>
      </c>
      <c r="D39" s="253">
        <f t="shared" si="3"/>
        <v>0</v>
      </c>
      <c r="E39" s="260"/>
      <c r="F39" s="260"/>
      <c r="G39" s="260"/>
      <c r="H39" s="260"/>
      <c r="I39" s="260"/>
      <c r="J39" s="260"/>
      <c r="K39" s="260"/>
      <c r="L39" s="260"/>
      <c r="M39" s="260"/>
      <c r="N39" s="260"/>
      <c r="O39" s="260"/>
      <c r="P39" s="260"/>
      <c r="Q39" s="260"/>
      <c r="R39" s="260"/>
      <c r="S39" s="260"/>
      <c r="T39" s="260"/>
      <c r="U39" s="260"/>
      <c r="V39" s="260"/>
      <c r="W39" s="260"/>
      <c r="X39" s="260"/>
      <c r="Y39" s="260"/>
      <c r="Z39" s="260"/>
      <c r="AA39" s="260"/>
      <c r="AB39" s="260"/>
      <c r="AC39" s="260"/>
      <c r="AD39" s="260"/>
      <c r="AE39" s="260"/>
      <c r="AF39" s="260"/>
      <c r="AG39" s="260"/>
      <c r="AH39" s="260"/>
      <c r="AI39" s="264"/>
      <c r="AK39" s="256"/>
    </row>
    <row r="40" spans="2:37" ht="18" hidden="1" customHeight="1">
      <c r="B40" s="265" t="s">
        <v>71</v>
      </c>
      <c r="C40" s="269" t="s">
        <v>72</v>
      </c>
      <c r="D40" s="253">
        <f t="shared" si="3"/>
        <v>0</v>
      </c>
      <c r="E40" s="260"/>
      <c r="F40" s="260"/>
      <c r="G40" s="260"/>
      <c r="H40" s="260"/>
      <c r="I40" s="260"/>
      <c r="J40" s="260"/>
      <c r="K40" s="260"/>
      <c r="L40" s="260"/>
      <c r="M40" s="260"/>
      <c r="N40" s="260"/>
      <c r="O40" s="260"/>
      <c r="P40" s="260"/>
      <c r="Q40" s="260"/>
      <c r="R40" s="260"/>
      <c r="S40" s="260"/>
      <c r="T40" s="260"/>
      <c r="U40" s="260"/>
      <c r="V40" s="260"/>
      <c r="W40" s="260"/>
      <c r="X40" s="260"/>
      <c r="Y40" s="260"/>
      <c r="Z40" s="260"/>
      <c r="AA40" s="260"/>
      <c r="AB40" s="260"/>
      <c r="AC40" s="260"/>
      <c r="AD40" s="260"/>
      <c r="AE40" s="260"/>
      <c r="AF40" s="260"/>
      <c r="AG40" s="260"/>
      <c r="AH40" s="260"/>
      <c r="AI40" s="264"/>
      <c r="AK40" s="256">
        <f t="shared" si="2"/>
        <v>0</v>
      </c>
    </row>
    <row r="41" spans="2:37" ht="18" hidden="1" customHeight="1">
      <c r="B41" s="265" t="s">
        <v>73</v>
      </c>
      <c r="C41" s="269" t="s">
        <v>74</v>
      </c>
      <c r="D41" s="253">
        <f t="shared" si="3"/>
        <v>0</v>
      </c>
      <c r="E41" s="260"/>
      <c r="F41" s="260"/>
      <c r="G41" s="260"/>
      <c r="H41" s="260"/>
      <c r="I41" s="260"/>
      <c r="J41" s="260"/>
      <c r="K41" s="260"/>
      <c r="L41" s="260"/>
      <c r="M41" s="260"/>
      <c r="N41" s="260"/>
      <c r="O41" s="260"/>
      <c r="P41" s="260"/>
      <c r="Q41" s="260"/>
      <c r="R41" s="260"/>
      <c r="S41" s="260"/>
      <c r="T41" s="260"/>
      <c r="U41" s="260"/>
      <c r="V41" s="260"/>
      <c r="W41" s="260"/>
      <c r="X41" s="260"/>
      <c r="Y41" s="260"/>
      <c r="Z41" s="260"/>
      <c r="AA41" s="260"/>
      <c r="AB41" s="260"/>
      <c r="AC41" s="260"/>
      <c r="AD41" s="260"/>
      <c r="AE41" s="260"/>
      <c r="AF41" s="260"/>
      <c r="AG41" s="260"/>
      <c r="AH41" s="260"/>
      <c r="AI41" s="264"/>
      <c r="AK41" s="256">
        <f t="shared" si="2"/>
        <v>0</v>
      </c>
    </row>
    <row r="42" spans="2:37" ht="18" hidden="1" customHeight="1">
      <c r="B42" s="265" t="s">
        <v>75</v>
      </c>
      <c r="C42" s="269" t="s">
        <v>76</v>
      </c>
      <c r="D42" s="253">
        <f t="shared" si="3"/>
        <v>0</v>
      </c>
      <c r="E42" s="260"/>
      <c r="F42" s="260"/>
      <c r="G42" s="260"/>
      <c r="H42" s="260"/>
      <c r="I42" s="260"/>
      <c r="J42" s="260"/>
      <c r="K42" s="260"/>
      <c r="L42" s="260"/>
      <c r="M42" s="260"/>
      <c r="N42" s="260"/>
      <c r="O42" s="260"/>
      <c r="P42" s="260"/>
      <c r="Q42" s="260"/>
      <c r="R42" s="260"/>
      <c r="S42" s="260"/>
      <c r="T42" s="260"/>
      <c r="U42" s="260"/>
      <c r="V42" s="260"/>
      <c r="W42" s="260"/>
      <c r="X42" s="260"/>
      <c r="Y42" s="260"/>
      <c r="Z42" s="260"/>
      <c r="AA42" s="260"/>
      <c r="AB42" s="260"/>
      <c r="AC42" s="260"/>
      <c r="AD42" s="260"/>
      <c r="AE42" s="260"/>
      <c r="AF42" s="260"/>
      <c r="AG42" s="260"/>
      <c r="AH42" s="260"/>
      <c r="AI42" s="264"/>
      <c r="AK42" s="256">
        <f t="shared" si="2"/>
        <v>0</v>
      </c>
    </row>
    <row r="43" spans="2:37" ht="18" hidden="1" customHeight="1">
      <c r="B43" s="265" t="s">
        <v>77</v>
      </c>
      <c r="C43" s="269" t="s">
        <v>78</v>
      </c>
      <c r="D43" s="253">
        <f t="shared" si="3"/>
        <v>0</v>
      </c>
      <c r="E43" s="260"/>
      <c r="F43" s="260"/>
      <c r="G43" s="260"/>
      <c r="H43" s="260"/>
      <c r="I43" s="260"/>
      <c r="J43" s="260"/>
      <c r="K43" s="260"/>
      <c r="L43" s="260"/>
      <c r="M43" s="260"/>
      <c r="N43" s="260"/>
      <c r="O43" s="260"/>
      <c r="P43" s="260"/>
      <c r="Q43" s="260"/>
      <c r="R43" s="260"/>
      <c r="S43" s="260"/>
      <c r="T43" s="260"/>
      <c r="U43" s="260"/>
      <c r="V43" s="260"/>
      <c r="W43" s="260"/>
      <c r="X43" s="260"/>
      <c r="Y43" s="260"/>
      <c r="Z43" s="260"/>
      <c r="AA43" s="260"/>
      <c r="AB43" s="260"/>
      <c r="AC43" s="260"/>
      <c r="AD43" s="260"/>
      <c r="AE43" s="260"/>
      <c r="AF43" s="260"/>
      <c r="AG43" s="260"/>
      <c r="AH43" s="260"/>
      <c r="AI43" s="264"/>
      <c r="AK43" s="256">
        <f t="shared" si="2"/>
        <v>0</v>
      </c>
    </row>
    <row r="44" spans="2:37" ht="18" hidden="1" customHeight="1">
      <c r="B44" s="265" t="s">
        <v>79</v>
      </c>
      <c r="C44" s="269" t="s">
        <v>78</v>
      </c>
      <c r="D44" s="253">
        <f t="shared" si="3"/>
        <v>0</v>
      </c>
      <c r="E44" s="260"/>
      <c r="F44" s="260"/>
      <c r="G44" s="260"/>
      <c r="H44" s="260"/>
      <c r="I44" s="260"/>
      <c r="J44" s="260"/>
      <c r="K44" s="260"/>
      <c r="L44" s="260"/>
      <c r="M44" s="260"/>
      <c r="N44" s="260"/>
      <c r="O44" s="260"/>
      <c r="P44" s="260"/>
      <c r="Q44" s="260"/>
      <c r="R44" s="260"/>
      <c r="S44" s="260"/>
      <c r="T44" s="260"/>
      <c r="U44" s="260"/>
      <c r="V44" s="260"/>
      <c r="W44" s="260"/>
      <c r="X44" s="260"/>
      <c r="Y44" s="260"/>
      <c r="Z44" s="260"/>
      <c r="AA44" s="260"/>
      <c r="AB44" s="260"/>
      <c r="AC44" s="260"/>
      <c r="AD44" s="260"/>
      <c r="AE44" s="260"/>
      <c r="AF44" s="260"/>
      <c r="AG44" s="260"/>
      <c r="AH44" s="260"/>
      <c r="AI44" s="264"/>
      <c r="AK44" s="256">
        <f t="shared" si="2"/>
        <v>0</v>
      </c>
    </row>
    <row r="45" spans="2:37" ht="18" customHeight="1">
      <c r="B45" s="265" t="s">
        <v>80</v>
      </c>
      <c r="C45" s="269" t="s">
        <v>81</v>
      </c>
      <c r="D45" s="253">
        <f t="shared" si="3"/>
        <v>8000</v>
      </c>
      <c r="E45" s="260"/>
      <c r="F45" s="260"/>
      <c r="G45" s="260">
        <v>8000</v>
      </c>
      <c r="H45" s="260"/>
      <c r="I45" s="260"/>
      <c r="J45" s="260"/>
      <c r="K45" s="260"/>
      <c r="L45" s="260"/>
      <c r="M45" s="260"/>
      <c r="N45" s="260"/>
      <c r="O45" s="260"/>
      <c r="P45" s="260"/>
      <c r="Q45" s="260"/>
      <c r="R45" s="260"/>
      <c r="S45" s="260"/>
      <c r="T45" s="260"/>
      <c r="U45" s="260"/>
      <c r="V45" s="260"/>
      <c r="W45" s="260"/>
      <c r="X45" s="260"/>
      <c r="Y45" s="260"/>
      <c r="Z45" s="260"/>
      <c r="AA45" s="260"/>
      <c r="AB45" s="260"/>
      <c r="AC45" s="260"/>
      <c r="AD45" s="260"/>
      <c r="AE45" s="260"/>
      <c r="AF45" s="260"/>
      <c r="AG45" s="260"/>
      <c r="AH45" s="260"/>
      <c r="AI45" s="264"/>
      <c r="AK45" s="256">
        <f t="shared" si="2"/>
        <v>8000</v>
      </c>
    </row>
    <row r="46" spans="2:37" ht="18" hidden="1" customHeight="1">
      <c r="B46" s="270" t="s">
        <v>82</v>
      </c>
      <c r="C46" s="269" t="s">
        <v>81</v>
      </c>
      <c r="D46" s="253">
        <f t="shared" si="3"/>
        <v>0</v>
      </c>
      <c r="E46" s="260"/>
      <c r="F46" s="260"/>
      <c r="G46" s="260"/>
      <c r="H46" s="260"/>
      <c r="I46" s="260"/>
      <c r="J46" s="260"/>
      <c r="K46" s="260"/>
      <c r="L46" s="260"/>
      <c r="M46" s="260"/>
      <c r="N46" s="260"/>
      <c r="O46" s="260"/>
      <c r="P46" s="260"/>
      <c r="Q46" s="260"/>
      <c r="R46" s="260"/>
      <c r="S46" s="260"/>
      <c r="T46" s="260"/>
      <c r="U46" s="260"/>
      <c r="V46" s="260"/>
      <c r="W46" s="260"/>
      <c r="X46" s="260"/>
      <c r="Y46" s="260"/>
      <c r="Z46" s="260"/>
      <c r="AA46" s="260"/>
      <c r="AB46" s="260"/>
      <c r="AC46" s="260"/>
      <c r="AD46" s="260"/>
      <c r="AE46" s="260"/>
      <c r="AF46" s="260"/>
      <c r="AG46" s="260"/>
      <c r="AH46" s="260"/>
      <c r="AI46" s="264"/>
      <c r="AK46" s="256">
        <f t="shared" si="2"/>
        <v>0</v>
      </c>
    </row>
    <row r="47" spans="2:37" ht="18" hidden="1" customHeight="1">
      <c r="B47" s="265" t="s">
        <v>83</v>
      </c>
      <c r="C47" s="269" t="s">
        <v>84</v>
      </c>
      <c r="D47" s="253">
        <f t="shared" si="3"/>
        <v>0</v>
      </c>
      <c r="E47" s="260"/>
      <c r="F47" s="260"/>
      <c r="G47" s="260"/>
      <c r="H47" s="260"/>
      <c r="I47" s="260"/>
      <c r="J47" s="260"/>
      <c r="K47" s="260"/>
      <c r="L47" s="260"/>
      <c r="M47" s="260"/>
      <c r="N47" s="260"/>
      <c r="O47" s="260"/>
      <c r="P47" s="260"/>
      <c r="Q47" s="260"/>
      <c r="R47" s="260"/>
      <c r="S47" s="260"/>
      <c r="T47" s="260"/>
      <c r="U47" s="260"/>
      <c r="V47" s="260"/>
      <c r="W47" s="260"/>
      <c r="X47" s="260"/>
      <c r="Y47" s="260"/>
      <c r="Z47" s="260"/>
      <c r="AA47" s="260"/>
      <c r="AB47" s="260"/>
      <c r="AC47" s="260"/>
      <c r="AD47" s="260"/>
      <c r="AE47" s="260"/>
      <c r="AF47" s="260"/>
      <c r="AG47" s="260"/>
      <c r="AH47" s="260"/>
      <c r="AI47" s="264"/>
      <c r="AK47" s="256">
        <f t="shared" si="2"/>
        <v>0</v>
      </c>
    </row>
    <row r="48" spans="2:37" ht="18" customHeight="1">
      <c r="B48" s="265" t="s">
        <v>85</v>
      </c>
      <c r="C48" s="269" t="s">
        <v>86</v>
      </c>
      <c r="D48" s="253">
        <f t="shared" si="3"/>
        <v>10000</v>
      </c>
      <c r="E48" s="260"/>
      <c r="F48" s="260"/>
      <c r="G48" s="260"/>
      <c r="H48" s="260">
        <v>10000</v>
      </c>
      <c r="I48" s="260"/>
      <c r="J48" s="260"/>
      <c r="K48" s="260"/>
      <c r="L48" s="260"/>
      <c r="M48" s="260"/>
      <c r="N48" s="260"/>
      <c r="O48" s="260"/>
      <c r="P48" s="260"/>
      <c r="Q48" s="260"/>
      <c r="R48" s="260"/>
      <c r="S48" s="260"/>
      <c r="T48" s="260"/>
      <c r="U48" s="260"/>
      <c r="V48" s="260"/>
      <c r="W48" s="260"/>
      <c r="X48" s="260"/>
      <c r="Y48" s="260"/>
      <c r="Z48" s="260"/>
      <c r="AA48" s="260"/>
      <c r="AB48" s="260"/>
      <c r="AC48" s="260"/>
      <c r="AD48" s="260"/>
      <c r="AE48" s="260"/>
      <c r="AF48" s="260"/>
      <c r="AG48" s="260"/>
      <c r="AH48" s="260"/>
      <c r="AI48" s="264"/>
      <c r="AK48" s="256">
        <f t="shared" si="2"/>
        <v>10000</v>
      </c>
    </row>
    <row r="49" spans="2:37" ht="18" hidden="1" customHeight="1">
      <c r="B49" s="265" t="s">
        <v>87</v>
      </c>
      <c r="C49" s="269" t="s">
        <v>88</v>
      </c>
      <c r="D49" s="253">
        <f t="shared" si="3"/>
        <v>0</v>
      </c>
      <c r="E49" s="260"/>
      <c r="F49" s="260"/>
      <c r="G49" s="260"/>
      <c r="H49" s="260"/>
      <c r="I49" s="260"/>
      <c r="J49" s="260"/>
      <c r="K49" s="260"/>
      <c r="L49" s="260"/>
      <c r="M49" s="260"/>
      <c r="N49" s="260"/>
      <c r="O49" s="260"/>
      <c r="P49" s="260"/>
      <c r="Q49" s="260"/>
      <c r="R49" s="260"/>
      <c r="S49" s="260"/>
      <c r="T49" s="260"/>
      <c r="U49" s="260"/>
      <c r="V49" s="260"/>
      <c r="W49" s="260"/>
      <c r="X49" s="260"/>
      <c r="Y49" s="260"/>
      <c r="Z49" s="260"/>
      <c r="AA49" s="260"/>
      <c r="AB49" s="260"/>
      <c r="AC49" s="260"/>
      <c r="AD49" s="260"/>
      <c r="AE49" s="260"/>
      <c r="AF49" s="260"/>
      <c r="AG49" s="260"/>
      <c r="AH49" s="260"/>
      <c r="AI49" s="264"/>
      <c r="AK49" s="256">
        <f t="shared" si="2"/>
        <v>0</v>
      </c>
    </row>
    <row r="50" spans="2:37" ht="18" hidden="1" customHeight="1">
      <c r="B50" s="265" t="s">
        <v>89</v>
      </c>
      <c r="C50" s="269" t="s">
        <v>90</v>
      </c>
      <c r="D50" s="253">
        <f t="shared" si="3"/>
        <v>0</v>
      </c>
      <c r="E50" s="260"/>
      <c r="F50" s="260"/>
      <c r="G50" s="260"/>
      <c r="H50" s="260"/>
      <c r="I50" s="260"/>
      <c r="J50" s="260"/>
      <c r="K50" s="260"/>
      <c r="L50" s="260"/>
      <c r="M50" s="260"/>
      <c r="N50" s="260"/>
      <c r="O50" s="260"/>
      <c r="P50" s="260"/>
      <c r="Q50" s="260"/>
      <c r="R50" s="260"/>
      <c r="S50" s="260"/>
      <c r="T50" s="260"/>
      <c r="U50" s="260"/>
      <c r="V50" s="260"/>
      <c r="W50" s="260"/>
      <c r="X50" s="260"/>
      <c r="Y50" s="260"/>
      <c r="Z50" s="260"/>
      <c r="AA50" s="260"/>
      <c r="AB50" s="260"/>
      <c r="AC50" s="260"/>
      <c r="AD50" s="260"/>
      <c r="AE50" s="260"/>
      <c r="AF50" s="260"/>
      <c r="AG50" s="260"/>
      <c r="AH50" s="260"/>
      <c r="AI50" s="264"/>
      <c r="AK50" s="256">
        <f t="shared" si="2"/>
        <v>0</v>
      </c>
    </row>
    <row r="51" spans="2:37" ht="18" hidden="1" customHeight="1">
      <c r="B51" s="265" t="s">
        <v>91</v>
      </c>
      <c r="C51" s="269" t="s">
        <v>92</v>
      </c>
      <c r="D51" s="253">
        <f t="shared" si="3"/>
        <v>0</v>
      </c>
      <c r="E51" s="260"/>
      <c r="F51" s="260"/>
      <c r="G51" s="260"/>
      <c r="H51" s="260"/>
      <c r="I51" s="260"/>
      <c r="J51" s="260"/>
      <c r="K51" s="260"/>
      <c r="L51" s="260"/>
      <c r="M51" s="260"/>
      <c r="N51" s="260"/>
      <c r="O51" s="260"/>
      <c r="P51" s="260"/>
      <c r="Q51" s="260"/>
      <c r="R51" s="260"/>
      <c r="S51" s="260"/>
      <c r="T51" s="260"/>
      <c r="U51" s="260"/>
      <c r="V51" s="260"/>
      <c r="W51" s="260"/>
      <c r="X51" s="260"/>
      <c r="Y51" s="260"/>
      <c r="Z51" s="260"/>
      <c r="AA51" s="260"/>
      <c r="AB51" s="260"/>
      <c r="AC51" s="260"/>
      <c r="AD51" s="260"/>
      <c r="AE51" s="260"/>
      <c r="AF51" s="260"/>
      <c r="AG51" s="260"/>
      <c r="AH51" s="260"/>
      <c r="AI51" s="264"/>
      <c r="AK51" s="256">
        <f t="shared" si="2"/>
        <v>0</v>
      </c>
    </row>
    <row r="52" spans="2:37" ht="18" hidden="1" customHeight="1">
      <c r="B52" s="265" t="s">
        <v>93</v>
      </c>
      <c r="C52" s="269" t="s">
        <v>92</v>
      </c>
      <c r="D52" s="253">
        <f t="shared" si="3"/>
        <v>0</v>
      </c>
      <c r="E52" s="260"/>
      <c r="F52" s="260"/>
      <c r="G52" s="260"/>
      <c r="H52" s="260"/>
      <c r="I52" s="260"/>
      <c r="J52" s="260"/>
      <c r="K52" s="260"/>
      <c r="L52" s="260"/>
      <c r="M52" s="260"/>
      <c r="N52" s="260"/>
      <c r="O52" s="260"/>
      <c r="P52" s="260"/>
      <c r="Q52" s="260"/>
      <c r="R52" s="260"/>
      <c r="S52" s="260"/>
      <c r="T52" s="260"/>
      <c r="U52" s="260"/>
      <c r="V52" s="260"/>
      <c r="W52" s="260"/>
      <c r="X52" s="260"/>
      <c r="Y52" s="260"/>
      <c r="Z52" s="260"/>
      <c r="AA52" s="260"/>
      <c r="AB52" s="260"/>
      <c r="AC52" s="260"/>
      <c r="AD52" s="260"/>
      <c r="AE52" s="260"/>
      <c r="AF52" s="260"/>
      <c r="AG52" s="260"/>
      <c r="AH52" s="260"/>
      <c r="AI52" s="264"/>
      <c r="AK52" s="256">
        <f t="shared" si="2"/>
        <v>0</v>
      </c>
    </row>
    <row r="53" spans="2:37" ht="18" hidden="1" customHeight="1">
      <c r="B53" s="265" t="s">
        <v>94</v>
      </c>
      <c r="C53" s="269" t="s">
        <v>95</v>
      </c>
      <c r="D53" s="253">
        <f t="shared" si="3"/>
        <v>0</v>
      </c>
      <c r="E53" s="260"/>
      <c r="F53" s="260"/>
      <c r="G53" s="260"/>
      <c r="H53" s="260"/>
      <c r="I53" s="260"/>
      <c r="J53" s="260"/>
      <c r="K53" s="260"/>
      <c r="L53" s="260"/>
      <c r="M53" s="260"/>
      <c r="N53" s="260"/>
      <c r="O53" s="260"/>
      <c r="P53" s="260"/>
      <c r="Q53" s="260"/>
      <c r="R53" s="260"/>
      <c r="S53" s="260"/>
      <c r="T53" s="260"/>
      <c r="U53" s="260"/>
      <c r="V53" s="260"/>
      <c r="W53" s="260"/>
      <c r="X53" s="260"/>
      <c r="Y53" s="260"/>
      <c r="Z53" s="260"/>
      <c r="AA53" s="260"/>
      <c r="AB53" s="260"/>
      <c r="AC53" s="260"/>
      <c r="AD53" s="260"/>
      <c r="AE53" s="260"/>
      <c r="AF53" s="260"/>
      <c r="AG53" s="260"/>
      <c r="AH53" s="260"/>
      <c r="AI53" s="264"/>
      <c r="AK53" s="256">
        <f t="shared" si="2"/>
        <v>0</v>
      </c>
    </row>
    <row r="54" spans="2:37" ht="18" hidden="1" customHeight="1">
      <c r="B54" s="265" t="s">
        <v>96</v>
      </c>
      <c r="C54" s="269" t="s">
        <v>97</v>
      </c>
      <c r="D54" s="253">
        <f t="shared" si="3"/>
        <v>0</v>
      </c>
      <c r="E54" s="260"/>
      <c r="F54" s="260"/>
      <c r="G54" s="260"/>
      <c r="H54" s="260"/>
      <c r="I54" s="260"/>
      <c r="J54" s="260"/>
      <c r="K54" s="260"/>
      <c r="L54" s="260"/>
      <c r="M54" s="260"/>
      <c r="N54" s="260"/>
      <c r="O54" s="260"/>
      <c r="P54" s="260"/>
      <c r="Q54" s="260"/>
      <c r="R54" s="260"/>
      <c r="S54" s="260"/>
      <c r="T54" s="260"/>
      <c r="U54" s="260"/>
      <c r="V54" s="260"/>
      <c r="W54" s="260"/>
      <c r="X54" s="260"/>
      <c r="Y54" s="260"/>
      <c r="Z54" s="260"/>
      <c r="AA54" s="260"/>
      <c r="AB54" s="260"/>
      <c r="AC54" s="260"/>
      <c r="AD54" s="260"/>
      <c r="AE54" s="260"/>
      <c r="AF54" s="260"/>
      <c r="AG54" s="260"/>
      <c r="AH54" s="260"/>
      <c r="AI54" s="264"/>
      <c r="AK54" s="256">
        <f t="shared" si="2"/>
        <v>0</v>
      </c>
    </row>
    <row r="55" spans="2:37" ht="18" hidden="1" customHeight="1">
      <c r="B55" s="265" t="s">
        <v>98</v>
      </c>
      <c r="C55" s="269" t="s">
        <v>99</v>
      </c>
      <c r="D55" s="253">
        <f t="shared" si="3"/>
        <v>0</v>
      </c>
      <c r="E55" s="260"/>
      <c r="F55" s="260"/>
      <c r="G55" s="260"/>
      <c r="H55" s="260"/>
      <c r="I55" s="260"/>
      <c r="J55" s="260"/>
      <c r="K55" s="260"/>
      <c r="L55" s="260"/>
      <c r="M55" s="260"/>
      <c r="N55" s="260"/>
      <c r="O55" s="260"/>
      <c r="P55" s="260"/>
      <c r="Q55" s="260"/>
      <c r="R55" s="260"/>
      <c r="S55" s="260"/>
      <c r="T55" s="260"/>
      <c r="U55" s="260"/>
      <c r="V55" s="260"/>
      <c r="W55" s="260"/>
      <c r="X55" s="260"/>
      <c r="Y55" s="260"/>
      <c r="Z55" s="260"/>
      <c r="AA55" s="260"/>
      <c r="AB55" s="260"/>
      <c r="AC55" s="260"/>
      <c r="AD55" s="260"/>
      <c r="AE55" s="260"/>
      <c r="AF55" s="260"/>
      <c r="AG55" s="260"/>
      <c r="AH55" s="260"/>
      <c r="AI55" s="264"/>
      <c r="AK55" s="256">
        <f t="shared" si="2"/>
        <v>0</v>
      </c>
    </row>
    <row r="56" spans="2:37" ht="18" hidden="1" customHeight="1">
      <c r="B56" s="265" t="s">
        <v>100</v>
      </c>
      <c r="C56" s="269" t="s">
        <v>101</v>
      </c>
      <c r="D56" s="253">
        <f t="shared" si="3"/>
        <v>0</v>
      </c>
      <c r="E56" s="260"/>
      <c r="F56" s="260"/>
      <c r="G56" s="260"/>
      <c r="H56" s="260"/>
      <c r="I56" s="260"/>
      <c r="J56" s="260"/>
      <c r="K56" s="260"/>
      <c r="L56" s="260"/>
      <c r="M56" s="260"/>
      <c r="N56" s="260"/>
      <c r="O56" s="260"/>
      <c r="P56" s="260"/>
      <c r="Q56" s="260"/>
      <c r="R56" s="260"/>
      <c r="S56" s="260"/>
      <c r="T56" s="260"/>
      <c r="U56" s="260"/>
      <c r="V56" s="260"/>
      <c r="W56" s="260"/>
      <c r="X56" s="260"/>
      <c r="Y56" s="260"/>
      <c r="Z56" s="260"/>
      <c r="AA56" s="260"/>
      <c r="AB56" s="260"/>
      <c r="AC56" s="260"/>
      <c r="AD56" s="260"/>
      <c r="AE56" s="260"/>
      <c r="AF56" s="260"/>
      <c r="AG56" s="260"/>
      <c r="AH56" s="260"/>
      <c r="AI56" s="264"/>
      <c r="AK56" s="256">
        <f t="shared" si="2"/>
        <v>0</v>
      </c>
    </row>
    <row r="57" spans="2:37" ht="18" hidden="1" customHeight="1">
      <c r="B57" s="265" t="s">
        <v>102</v>
      </c>
      <c r="C57" s="269" t="s">
        <v>101</v>
      </c>
      <c r="D57" s="253">
        <f t="shared" si="3"/>
        <v>0</v>
      </c>
      <c r="E57" s="260"/>
      <c r="F57" s="260"/>
      <c r="G57" s="260"/>
      <c r="H57" s="260"/>
      <c r="I57" s="260"/>
      <c r="J57" s="260"/>
      <c r="K57" s="260"/>
      <c r="L57" s="260"/>
      <c r="M57" s="260"/>
      <c r="N57" s="260"/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4"/>
      <c r="AK57" s="256">
        <f t="shared" si="2"/>
        <v>0</v>
      </c>
    </row>
    <row r="58" spans="2:37" ht="18" hidden="1" customHeight="1">
      <c r="B58" s="265" t="s">
        <v>103</v>
      </c>
      <c r="C58" s="269" t="s">
        <v>104</v>
      </c>
      <c r="D58" s="253">
        <f t="shared" si="3"/>
        <v>0</v>
      </c>
      <c r="E58" s="260"/>
      <c r="F58" s="260"/>
      <c r="G58" s="260"/>
      <c r="H58" s="260"/>
      <c r="I58" s="260"/>
      <c r="J58" s="260"/>
      <c r="K58" s="260"/>
      <c r="L58" s="260"/>
      <c r="M58" s="260"/>
      <c r="N58" s="260"/>
      <c r="O58" s="260"/>
      <c r="P58" s="260"/>
      <c r="Q58" s="260"/>
      <c r="R58" s="260"/>
      <c r="S58" s="260"/>
      <c r="T58" s="260"/>
      <c r="U58" s="260"/>
      <c r="V58" s="260"/>
      <c r="W58" s="260"/>
      <c r="X58" s="260"/>
      <c r="Y58" s="260"/>
      <c r="Z58" s="260"/>
      <c r="AA58" s="260"/>
      <c r="AB58" s="260"/>
      <c r="AC58" s="260"/>
      <c r="AD58" s="260"/>
      <c r="AE58" s="260"/>
      <c r="AF58" s="260"/>
      <c r="AG58" s="260"/>
      <c r="AH58" s="260"/>
      <c r="AI58" s="264"/>
      <c r="AK58" s="256">
        <f t="shared" si="2"/>
        <v>0</v>
      </c>
    </row>
    <row r="59" spans="2:37" ht="18" hidden="1" customHeight="1">
      <c r="B59" s="265" t="s">
        <v>105</v>
      </c>
      <c r="C59" s="269" t="s">
        <v>104</v>
      </c>
      <c r="D59" s="253">
        <f t="shared" si="3"/>
        <v>0</v>
      </c>
      <c r="E59" s="260"/>
      <c r="F59" s="260"/>
      <c r="G59" s="260"/>
      <c r="H59" s="260"/>
      <c r="I59" s="260"/>
      <c r="J59" s="260"/>
      <c r="K59" s="260"/>
      <c r="L59" s="260"/>
      <c r="M59" s="260"/>
      <c r="N59" s="260"/>
      <c r="O59" s="260"/>
      <c r="P59" s="260"/>
      <c r="Q59" s="260"/>
      <c r="R59" s="260"/>
      <c r="S59" s="260"/>
      <c r="T59" s="260"/>
      <c r="U59" s="260"/>
      <c r="V59" s="260"/>
      <c r="W59" s="260"/>
      <c r="X59" s="260"/>
      <c r="Y59" s="260"/>
      <c r="Z59" s="260"/>
      <c r="AA59" s="260"/>
      <c r="AB59" s="260"/>
      <c r="AC59" s="260"/>
      <c r="AD59" s="260"/>
      <c r="AE59" s="260"/>
      <c r="AF59" s="260"/>
      <c r="AG59" s="260"/>
      <c r="AH59" s="260"/>
      <c r="AI59" s="264"/>
      <c r="AK59" s="256">
        <f t="shared" si="2"/>
        <v>0</v>
      </c>
    </row>
    <row r="60" spans="2:37" ht="18" hidden="1" customHeight="1">
      <c r="B60" s="265" t="s">
        <v>106</v>
      </c>
      <c r="C60" s="269" t="s">
        <v>107</v>
      </c>
      <c r="D60" s="253">
        <f t="shared" si="3"/>
        <v>0</v>
      </c>
      <c r="E60" s="260"/>
      <c r="F60" s="260"/>
      <c r="G60" s="260"/>
      <c r="H60" s="260"/>
      <c r="I60" s="260"/>
      <c r="J60" s="260"/>
      <c r="K60" s="260"/>
      <c r="L60" s="260"/>
      <c r="M60" s="260"/>
      <c r="N60" s="260"/>
      <c r="O60" s="260"/>
      <c r="P60" s="260"/>
      <c r="Q60" s="260"/>
      <c r="R60" s="260"/>
      <c r="S60" s="260"/>
      <c r="T60" s="260"/>
      <c r="U60" s="260"/>
      <c r="V60" s="260"/>
      <c r="W60" s="260"/>
      <c r="X60" s="260"/>
      <c r="Y60" s="260"/>
      <c r="Z60" s="260"/>
      <c r="AA60" s="260"/>
      <c r="AB60" s="260"/>
      <c r="AC60" s="260"/>
      <c r="AD60" s="260"/>
      <c r="AE60" s="260"/>
      <c r="AF60" s="260"/>
      <c r="AG60" s="260"/>
      <c r="AH60" s="260"/>
      <c r="AI60" s="264"/>
      <c r="AK60" s="256">
        <f t="shared" si="2"/>
        <v>0</v>
      </c>
    </row>
    <row r="61" spans="2:37" ht="18" hidden="1" customHeight="1">
      <c r="B61" s="265" t="s">
        <v>108</v>
      </c>
      <c r="C61" s="269" t="s">
        <v>109</v>
      </c>
      <c r="D61" s="253">
        <f t="shared" si="3"/>
        <v>0</v>
      </c>
      <c r="E61" s="260"/>
      <c r="F61" s="260"/>
      <c r="G61" s="260"/>
      <c r="H61" s="260"/>
      <c r="I61" s="260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60"/>
      <c r="Z61" s="260"/>
      <c r="AA61" s="260"/>
      <c r="AB61" s="260"/>
      <c r="AC61" s="260"/>
      <c r="AD61" s="260"/>
      <c r="AE61" s="260"/>
      <c r="AF61" s="260"/>
      <c r="AG61" s="260"/>
      <c r="AH61" s="260"/>
      <c r="AI61" s="264"/>
      <c r="AK61" s="256">
        <f t="shared" si="2"/>
        <v>0</v>
      </c>
    </row>
    <row r="62" spans="2:37" ht="18" hidden="1" customHeight="1">
      <c r="B62" s="265" t="s">
        <v>110</v>
      </c>
      <c r="C62" s="269" t="s">
        <v>111</v>
      </c>
      <c r="D62" s="253">
        <f t="shared" si="3"/>
        <v>0</v>
      </c>
      <c r="E62" s="260"/>
      <c r="F62" s="260"/>
      <c r="G62" s="260"/>
      <c r="H62" s="260"/>
      <c r="I62" s="260"/>
      <c r="J62" s="260"/>
      <c r="K62" s="260"/>
      <c r="L62" s="260"/>
      <c r="M62" s="260"/>
      <c r="N62" s="260"/>
      <c r="O62" s="260"/>
      <c r="P62" s="260"/>
      <c r="Q62" s="260"/>
      <c r="R62" s="260"/>
      <c r="S62" s="260"/>
      <c r="T62" s="260"/>
      <c r="U62" s="260"/>
      <c r="V62" s="260"/>
      <c r="W62" s="260"/>
      <c r="X62" s="260"/>
      <c r="Y62" s="260"/>
      <c r="Z62" s="260"/>
      <c r="AA62" s="260"/>
      <c r="AB62" s="260"/>
      <c r="AC62" s="260"/>
      <c r="AD62" s="260"/>
      <c r="AE62" s="260"/>
      <c r="AF62" s="260"/>
      <c r="AG62" s="260"/>
      <c r="AH62" s="260"/>
      <c r="AI62" s="264"/>
      <c r="AK62" s="256">
        <f t="shared" si="2"/>
        <v>0</v>
      </c>
    </row>
    <row r="63" spans="2:37" ht="18" hidden="1" customHeight="1">
      <c r="B63" s="265" t="s">
        <v>112</v>
      </c>
      <c r="C63" s="269" t="s">
        <v>113</v>
      </c>
      <c r="D63" s="253">
        <f t="shared" si="3"/>
        <v>0</v>
      </c>
      <c r="E63" s="260"/>
      <c r="F63" s="260"/>
      <c r="G63" s="260"/>
      <c r="H63" s="260"/>
      <c r="I63" s="260"/>
      <c r="J63" s="260"/>
      <c r="K63" s="260"/>
      <c r="L63" s="260"/>
      <c r="M63" s="260"/>
      <c r="N63" s="260"/>
      <c r="O63" s="260"/>
      <c r="P63" s="260"/>
      <c r="Q63" s="260"/>
      <c r="R63" s="260"/>
      <c r="S63" s="260"/>
      <c r="T63" s="260"/>
      <c r="U63" s="260"/>
      <c r="V63" s="260"/>
      <c r="W63" s="260"/>
      <c r="X63" s="260"/>
      <c r="Y63" s="260"/>
      <c r="Z63" s="260"/>
      <c r="AA63" s="260"/>
      <c r="AB63" s="260"/>
      <c r="AC63" s="260"/>
      <c r="AD63" s="260"/>
      <c r="AE63" s="260"/>
      <c r="AF63" s="260"/>
      <c r="AG63" s="260"/>
      <c r="AH63" s="260"/>
      <c r="AI63" s="264"/>
      <c r="AK63" s="256">
        <f t="shared" si="2"/>
        <v>0</v>
      </c>
    </row>
    <row r="64" spans="2:37" ht="18" hidden="1" customHeight="1">
      <c r="B64" s="265" t="s">
        <v>114</v>
      </c>
      <c r="C64" s="269" t="s">
        <v>115</v>
      </c>
      <c r="D64" s="253">
        <f t="shared" si="3"/>
        <v>0</v>
      </c>
      <c r="E64" s="260"/>
      <c r="F64" s="260"/>
      <c r="G64" s="260"/>
      <c r="H64" s="260"/>
      <c r="I64" s="260"/>
      <c r="J64" s="260"/>
      <c r="K64" s="260"/>
      <c r="L64" s="260"/>
      <c r="M64" s="260"/>
      <c r="N64" s="260"/>
      <c r="O64" s="260"/>
      <c r="P64" s="260"/>
      <c r="Q64" s="260"/>
      <c r="R64" s="260"/>
      <c r="S64" s="260"/>
      <c r="T64" s="260"/>
      <c r="U64" s="260"/>
      <c r="V64" s="260"/>
      <c r="W64" s="260"/>
      <c r="X64" s="260"/>
      <c r="Y64" s="260"/>
      <c r="Z64" s="260"/>
      <c r="AA64" s="260"/>
      <c r="AB64" s="260"/>
      <c r="AC64" s="260"/>
      <c r="AD64" s="260"/>
      <c r="AE64" s="260"/>
      <c r="AF64" s="260"/>
      <c r="AG64" s="260"/>
      <c r="AH64" s="260"/>
      <c r="AI64" s="264"/>
      <c r="AK64" s="256">
        <f t="shared" si="2"/>
        <v>0</v>
      </c>
    </row>
    <row r="65" spans="2:37" ht="18" hidden="1" customHeight="1">
      <c r="B65" s="265" t="s">
        <v>116</v>
      </c>
      <c r="C65" s="269" t="s">
        <v>117</v>
      </c>
      <c r="D65" s="253">
        <f t="shared" si="3"/>
        <v>0</v>
      </c>
      <c r="E65" s="260"/>
      <c r="F65" s="260"/>
      <c r="G65" s="260"/>
      <c r="H65" s="260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Y65" s="260"/>
      <c r="Z65" s="260"/>
      <c r="AA65" s="260"/>
      <c r="AB65" s="260"/>
      <c r="AC65" s="260"/>
      <c r="AD65" s="260"/>
      <c r="AE65" s="260"/>
      <c r="AF65" s="260"/>
      <c r="AG65" s="260"/>
      <c r="AH65" s="260"/>
      <c r="AI65" s="264"/>
      <c r="AK65" s="256">
        <f t="shared" si="2"/>
        <v>0</v>
      </c>
    </row>
    <row r="66" spans="2:37" ht="18" hidden="1" customHeight="1">
      <c r="B66" s="265" t="s">
        <v>118</v>
      </c>
      <c r="C66" s="269" t="s">
        <v>119</v>
      </c>
      <c r="D66" s="253">
        <f t="shared" si="3"/>
        <v>0</v>
      </c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0"/>
      <c r="Q66" s="260"/>
      <c r="R66" s="260"/>
      <c r="S66" s="260"/>
      <c r="T66" s="260"/>
      <c r="U66" s="260"/>
      <c r="V66" s="260"/>
      <c r="W66" s="260"/>
      <c r="X66" s="260"/>
      <c r="Y66" s="260"/>
      <c r="Z66" s="260"/>
      <c r="AA66" s="260"/>
      <c r="AB66" s="260"/>
      <c r="AC66" s="260"/>
      <c r="AD66" s="260"/>
      <c r="AE66" s="260"/>
      <c r="AF66" s="260"/>
      <c r="AG66" s="260"/>
      <c r="AH66" s="260"/>
      <c r="AI66" s="264"/>
      <c r="AK66" s="256">
        <f t="shared" si="2"/>
        <v>0</v>
      </c>
    </row>
    <row r="67" spans="2:37" ht="18" hidden="1" customHeight="1">
      <c r="B67" s="265" t="s">
        <v>120</v>
      </c>
      <c r="C67" s="269" t="s">
        <v>119</v>
      </c>
      <c r="D67" s="253">
        <f t="shared" si="3"/>
        <v>0</v>
      </c>
      <c r="E67" s="260"/>
      <c r="F67" s="260"/>
      <c r="G67" s="260"/>
      <c r="H67" s="260"/>
      <c r="I67" s="260"/>
      <c r="J67" s="260"/>
      <c r="K67" s="260"/>
      <c r="L67" s="260"/>
      <c r="M67" s="260"/>
      <c r="N67" s="260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B67" s="260"/>
      <c r="AC67" s="260"/>
      <c r="AD67" s="260"/>
      <c r="AE67" s="260"/>
      <c r="AF67" s="260"/>
      <c r="AG67" s="260"/>
      <c r="AH67" s="260"/>
      <c r="AI67" s="264"/>
      <c r="AK67" s="256">
        <f t="shared" si="2"/>
        <v>0</v>
      </c>
    </row>
    <row r="68" spans="2:37" ht="18" hidden="1" customHeight="1">
      <c r="B68" s="265" t="s">
        <v>121</v>
      </c>
      <c r="C68" s="269" t="s">
        <v>122</v>
      </c>
      <c r="D68" s="253">
        <f t="shared" si="3"/>
        <v>0</v>
      </c>
      <c r="E68" s="260"/>
      <c r="F68" s="260"/>
      <c r="G68" s="260"/>
      <c r="H68" s="260"/>
      <c r="I68" s="260"/>
      <c r="J68" s="260"/>
      <c r="K68" s="260"/>
      <c r="L68" s="260"/>
      <c r="M68" s="260"/>
      <c r="N68" s="260"/>
      <c r="O68" s="260"/>
      <c r="P68" s="260"/>
      <c r="Q68" s="260"/>
      <c r="R68" s="260"/>
      <c r="S68" s="260"/>
      <c r="T68" s="260"/>
      <c r="U68" s="260"/>
      <c r="V68" s="260"/>
      <c r="W68" s="260"/>
      <c r="X68" s="260"/>
      <c r="Y68" s="260"/>
      <c r="Z68" s="260"/>
      <c r="AA68" s="260"/>
      <c r="AB68" s="260"/>
      <c r="AC68" s="260"/>
      <c r="AD68" s="260"/>
      <c r="AE68" s="260"/>
      <c r="AF68" s="260"/>
      <c r="AG68" s="260"/>
      <c r="AH68" s="260"/>
      <c r="AI68" s="264"/>
      <c r="AK68" s="256">
        <f t="shared" si="2"/>
        <v>0</v>
      </c>
    </row>
    <row r="69" spans="2:37" ht="18" hidden="1" customHeight="1">
      <c r="B69" s="265" t="s">
        <v>123</v>
      </c>
      <c r="C69" s="269" t="s">
        <v>124</v>
      </c>
      <c r="D69" s="253">
        <f t="shared" si="3"/>
        <v>0</v>
      </c>
      <c r="E69" s="260"/>
      <c r="F69" s="260"/>
      <c r="G69" s="260"/>
      <c r="H69" s="260"/>
      <c r="I69" s="260"/>
      <c r="J69" s="260"/>
      <c r="K69" s="260"/>
      <c r="L69" s="260"/>
      <c r="M69" s="260"/>
      <c r="N69" s="260"/>
      <c r="O69" s="260"/>
      <c r="P69" s="260"/>
      <c r="Q69" s="260"/>
      <c r="R69" s="260"/>
      <c r="S69" s="260"/>
      <c r="T69" s="260"/>
      <c r="U69" s="260"/>
      <c r="V69" s="260"/>
      <c r="W69" s="260"/>
      <c r="X69" s="260"/>
      <c r="Y69" s="260"/>
      <c r="Z69" s="260"/>
      <c r="AA69" s="260"/>
      <c r="AB69" s="260"/>
      <c r="AC69" s="260"/>
      <c r="AD69" s="260"/>
      <c r="AE69" s="260"/>
      <c r="AF69" s="260"/>
      <c r="AG69" s="260"/>
      <c r="AH69" s="260"/>
      <c r="AI69" s="264"/>
      <c r="AK69" s="256">
        <f t="shared" ref="AK69:AK134" si="4">+D69-AJ69</f>
        <v>0</v>
      </c>
    </row>
    <row r="70" spans="2:37" ht="18" hidden="1" customHeight="1">
      <c r="B70" s="265" t="s">
        <v>125</v>
      </c>
      <c r="C70" s="269" t="s">
        <v>126</v>
      </c>
      <c r="D70" s="253">
        <f t="shared" ref="D70:D133" si="5">SUM(E70:AI70)</f>
        <v>0</v>
      </c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60"/>
      <c r="X70" s="260"/>
      <c r="Y70" s="260"/>
      <c r="Z70" s="260"/>
      <c r="AA70" s="260"/>
      <c r="AB70" s="260"/>
      <c r="AC70" s="260"/>
      <c r="AD70" s="260"/>
      <c r="AE70" s="260"/>
      <c r="AF70" s="260"/>
      <c r="AG70" s="260"/>
      <c r="AH70" s="260"/>
      <c r="AI70" s="264"/>
      <c r="AK70" s="256">
        <f t="shared" si="4"/>
        <v>0</v>
      </c>
    </row>
    <row r="71" spans="2:37" ht="18" hidden="1" customHeight="1">
      <c r="B71" s="265" t="s">
        <v>127</v>
      </c>
      <c r="C71" s="269" t="s">
        <v>128</v>
      </c>
      <c r="D71" s="253">
        <f t="shared" si="5"/>
        <v>0</v>
      </c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60"/>
      <c r="X71" s="260"/>
      <c r="Y71" s="260"/>
      <c r="Z71" s="260"/>
      <c r="AA71" s="260"/>
      <c r="AB71" s="260"/>
      <c r="AC71" s="260"/>
      <c r="AD71" s="260"/>
      <c r="AE71" s="260"/>
      <c r="AF71" s="260"/>
      <c r="AG71" s="260"/>
      <c r="AH71" s="260"/>
      <c r="AI71" s="264"/>
      <c r="AK71" s="256">
        <f t="shared" si="4"/>
        <v>0</v>
      </c>
    </row>
    <row r="72" spans="2:37" ht="18" hidden="1" customHeight="1">
      <c r="B72" s="265" t="s">
        <v>129</v>
      </c>
      <c r="C72" s="269" t="s">
        <v>130</v>
      </c>
      <c r="D72" s="253">
        <f t="shared" si="5"/>
        <v>0</v>
      </c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0"/>
      <c r="Q72" s="260"/>
      <c r="R72" s="260"/>
      <c r="S72" s="260"/>
      <c r="T72" s="260"/>
      <c r="U72" s="260"/>
      <c r="V72" s="260"/>
      <c r="W72" s="260"/>
      <c r="X72" s="260"/>
      <c r="Y72" s="260"/>
      <c r="Z72" s="260"/>
      <c r="AA72" s="260"/>
      <c r="AB72" s="260"/>
      <c r="AC72" s="260"/>
      <c r="AD72" s="260"/>
      <c r="AE72" s="260"/>
      <c r="AF72" s="260"/>
      <c r="AG72" s="260"/>
      <c r="AH72" s="260"/>
      <c r="AI72" s="264"/>
      <c r="AK72" s="256">
        <f t="shared" si="4"/>
        <v>0</v>
      </c>
    </row>
    <row r="73" spans="2:37" ht="18" hidden="1" customHeight="1">
      <c r="B73" s="265" t="s">
        <v>131</v>
      </c>
      <c r="C73" s="269" t="s">
        <v>132</v>
      </c>
      <c r="D73" s="253">
        <f t="shared" si="5"/>
        <v>0</v>
      </c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60"/>
      <c r="P73" s="260"/>
      <c r="Q73" s="260"/>
      <c r="R73" s="260"/>
      <c r="S73" s="260"/>
      <c r="T73" s="260"/>
      <c r="U73" s="260"/>
      <c r="V73" s="260"/>
      <c r="W73" s="260"/>
      <c r="X73" s="260"/>
      <c r="Y73" s="260"/>
      <c r="Z73" s="260"/>
      <c r="AA73" s="260"/>
      <c r="AB73" s="260"/>
      <c r="AC73" s="260"/>
      <c r="AD73" s="260"/>
      <c r="AE73" s="260"/>
      <c r="AF73" s="260"/>
      <c r="AG73" s="260"/>
      <c r="AH73" s="260"/>
      <c r="AI73" s="264"/>
      <c r="AK73" s="256">
        <f t="shared" si="4"/>
        <v>0</v>
      </c>
    </row>
    <row r="74" spans="2:37" ht="18" hidden="1" customHeight="1">
      <c r="B74" s="265" t="s">
        <v>133</v>
      </c>
      <c r="C74" s="269" t="s">
        <v>134</v>
      </c>
      <c r="D74" s="253">
        <f t="shared" si="5"/>
        <v>0</v>
      </c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60"/>
      <c r="Q74" s="260"/>
      <c r="R74" s="260"/>
      <c r="S74" s="260"/>
      <c r="T74" s="260"/>
      <c r="U74" s="260"/>
      <c r="V74" s="260"/>
      <c r="W74" s="260"/>
      <c r="X74" s="260"/>
      <c r="Y74" s="260"/>
      <c r="Z74" s="260"/>
      <c r="AA74" s="260"/>
      <c r="AB74" s="260"/>
      <c r="AC74" s="260"/>
      <c r="AD74" s="260"/>
      <c r="AE74" s="260"/>
      <c r="AF74" s="260"/>
      <c r="AG74" s="260"/>
      <c r="AH74" s="260"/>
      <c r="AI74" s="264"/>
      <c r="AK74" s="256">
        <f t="shared" si="4"/>
        <v>0</v>
      </c>
    </row>
    <row r="75" spans="2:37" ht="18" hidden="1" customHeight="1">
      <c r="B75" s="265" t="s">
        <v>135</v>
      </c>
      <c r="C75" s="269" t="s">
        <v>136</v>
      </c>
      <c r="D75" s="253">
        <f t="shared" si="5"/>
        <v>0</v>
      </c>
      <c r="E75" s="260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60"/>
      <c r="X75" s="260"/>
      <c r="Y75" s="260"/>
      <c r="Z75" s="260"/>
      <c r="AA75" s="260"/>
      <c r="AB75" s="260"/>
      <c r="AC75" s="260"/>
      <c r="AD75" s="260"/>
      <c r="AE75" s="260"/>
      <c r="AF75" s="260"/>
      <c r="AG75" s="260"/>
      <c r="AH75" s="260"/>
      <c r="AI75" s="264"/>
      <c r="AK75" s="256">
        <f t="shared" si="4"/>
        <v>0</v>
      </c>
    </row>
    <row r="76" spans="2:37" ht="18" hidden="1" customHeight="1">
      <c r="B76" s="265" t="s">
        <v>137</v>
      </c>
      <c r="C76" s="269" t="s">
        <v>138</v>
      </c>
      <c r="D76" s="253">
        <f t="shared" si="5"/>
        <v>0</v>
      </c>
      <c r="E76" s="260"/>
      <c r="F76" s="260"/>
      <c r="G76" s="260"/>
      <c r="H76" s="260"/>
      <c r="I76" s="260"/>
      <c r="J76" s="260"/>
      <c r="K76" s="260"/>
      <c r="L76" s="260"/>
      <c r="M76" s="260"/>
      <c r="N76" s="260"/>
      <c r="O76" s="260"/>
      <c r="P76" s="260"/>
      <c r="Q76" s="260"/>
      <c r="R76" s="260"/>
      <c r="S76" s="260"/>
      <c r="T76" s="260"/>
      <c r="U76" s="260"/>
      <c r="V76" s="260"/>
      <c r="W76" s="260"/>
      <c r="X76" s="260"/>
      <c r="Y76" s="260"/>
      <c r="Z76" s="260"/>
      <c r="AA76" s="260"/>
      <c r="AB76" s="260"/>
      <c r="AC76" s="260"/>
      <c r="AD76" s="260"/>
      <c r="AE76" s="260"/>
      <c r="AF76" s="260"/>
      <c r="AG76" s="260"/>
      <c r="AH76" s="260"/>
      <c r="AI76" s="264"/>
      <c r="AK76" s="256">
        <f t="shared" si="4"/>
        <v>0</v>
      </c>
    </row>
    <row r="77" spans="2:37" ht="18" hidden="1" customHeight="1">
      <c r="B77" s="265" t="s">
        <v>139</v>
      </c>
      <c r="C77" s="269" t="s">
        <v>140</v>
      </c>
      <c r="D77" s="253">
        <f t="shared" si="5"/>
        <v>0</v>
      </c>
      <c r="E77" s="260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260"/>
      <c r="W77" s="260"/>
      <c r="X77" s="260"/>
      <c r="Y77" s="260"/>
      <c r="Z77" s="260"/>
      <c r="AA77" s="260"/>
      <c r="AB77" s="260"/>
      <c r="AC77" s="260"/>
      <c r="AD77" s="260"/>
      <c r="AE77" s="260"/>
      <c r="AF77" s="260"/>
      <c r="AG77" s="260"/>
      <c r="AH77" s="260"/>
      <c r="AI77" s="264"/>
      <c r="AK77" s="256">
        <f t="shared" si="4"/>
        <v>0</v>
      </c>
    </row>
    <row r="78" spans="2:37" ht="18" hidden="1" customHeight="1">
      <c r="B78" s="265" t="s">
        <v>141</v>
      </c>
      <c r="C78" s="269" t="s">
        <v>142</v>
      </c>
      <c r="D78" s="253">
        <f t="shared" si="5"/>
        <v>0</v>
      </c>
      <c r="E78" s="260"/>
      <c r="F78" s="260"/>
      <c r="G78" s="260"/>
      <c r="H78" s="260"/>
      <c r="I78" s="260"/>
      <c r="J78" s="260"/>
      <c r="K78" s="260"/>
      <c r="L78" s="260"/>
      <c r="M78" s="260"/>
      <c r="N78" s="260"/>
      <c r="O78" s="260"/>
      <c r="P78" s="260"/>
      <c r="Q78" s="260"/>
      <c r="R78" s="260"/>
      <c r="S78" s="260"/>
      <c r="T78" s="260"/>
      <c r="U78" s="260"/>
      <c r="V78" s="260"/>
      <c r="W78" s="260"/>
      <c r="X78" s="260"/>
      <c r="Y78" s="260"/>
      <c r="Z78" s="260"/>
      <c r="AA78" s="260"/>
      <c r="AB78" s="260"/>
      <c r="AC78" s="260"/>
      <c r="AD78" s="260"/>
      <c r="AE78" s="260"/>
      <c r="AF78" s="260"/>
      <c r="AG78" s="260"/>
      <c r="AH78" s="260"/>
      <c r="AI78" s="264"/>
      <c r="AK78" s="256">
        <f t="shared" si="4"/>
        <v>0</v>
      </c>
    </row>
    <row r="79" spans="2:37" ht="18" hidden="1" customHeight="1">
      <c r="B79" s="265" t="s">
        <v>143</v>
      </c>
      <c r="C79" s="269" t="s">
        <v>144</v>
      </c>
      <c r="D79" s="253">
        <f t="shared" si="5"/>
        <v>0</v>
      </c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60"/>
      <c r="X79" s="260"/>
      <c r="Y79" s="260"/>
      <c r="Z79" s="260"/>
      <c r="AA79" s="260"/>
      <c r="AB79" s="260"/>
      <c r="AC79" s="260"/>
      <c r="AD79" s="260"/>
      <c r="AE79" s="260"/>
      <c r="AF79" s="260"/>
      <c r="AG79" s="260"/>
      <c r="AH79" s="260"/>
      <c r="AI79" s="264"/>
      <c r="AK79" s="256">
        <f t="shared" si="4"/>
        <v>0</v>
      </c>
    </row>
    <row r="80" spans="2:37" ht="18" hidden="1" customHeight="1">
      <c r="B80" s="265" t="s">
        <v>145</v>
      </c>
      <c r="C80" s="269" t="s">
        <v>144</v>
      </c>
      <c r="D80" s="253">
        <f t="shared" si="5"/>
        <v>0</v>
      </c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60"/>
      <c r="X80" s="260"/>
      <c r="Y80" s="260"/>
      <c r="Z80" s="260"/>
      <c r="AA80" s="260"/>
      <c r="AB80" s="260"/>
      <c r="AC80" s="260"/>
      <c r="AD80" s="260"/>
      <c r="AE80" s="260"/>
      <c r="AF80" s="260"/>
      <c r="AG80" s="260"/>
      <c r="AH80" s="260"/>
      <c r="AI80" s="264"/>
      <c r="AK80" s="256">
        <f t="shared" si="4"/>
        <v>0</v>
      </c>
    </row>
    <row r="81" spans="2:37" ht="18" hidden="1" customHeight="1">
      <c r="B81" s="265" t="s">
        <v>146</v>
      </c>
      <c r="C81" s="269" t="s">
        <v>147</v>
      </c>
      <c r="D81" s="253">
        <f t="shared" si="5"/>
        <v>0</v>
      </c>
      <c r="E81" s="260"/>
      <c r="F81" s="260"/>
      <c r="G81" s="260"/>
      <c r="H81" s="260"/>
      <c r="I81" s="260"/>
      <c r="J81" s="260"/>
      <c r="K81" s="260"/>
      <c r="L81" s="260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60"/>
      <c r="X81" s="260"/>
      <c r="Y81" s="260"/>
      <c r="Z81" s="260"/>
      <c r="AA81" s="260"/>
      <c r="AB81" s="260"/>
      <c r="AC81" s="260"/>
      <c r="AD81" s="260"/>
      <c r="AE81" s="260"/>
      <c r="AF81" s="260"/>
      <c r="AG81" s="260"/>
      <c r="AH81" s="260"/>
      <c r="AI81" s="264"/>
      <c r="AK81" s="256">
        <f t="shared" si="4"/>
        <v>0</v>
      </c>
    </row>
    <row r="82" spans="2:37" ht="18" hidden="1" customHeight="1">
      <c r="B82" s="265" t="s">
        <v>148</v>
      </c>
      <c r="C82" s="269" t="s">
        <v>149</v>
      </c>
      <c r="D82" s="253">
        <f t="shared" si="5"/>
        <v>0</v>
      </c>
      <c r="E82" s="260"/>
      <c r="F82" s="260"/>
      <c r="G82" s="260"/>
      <c r="H82" s="260"/>
      <c r="I82" s="260"/>
      <c r="J82" s="260"/>
      <c r="K82" s="260"/>
      <c r="L82" s="260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60"/>
      <c r="X82" s="260"/>
      <c r="Y82" s="260"/>
      <c r="Z82" s="260"/>
      <c r="AA82" s="260"/>
      <c r="AB82" s="260"/>
      <c r="AC82" s="260"/>
      <c r="AD82" s="260"/>
      <c r="AE82" s="260"/>
      <c r="AF82" s="260"/>
      <c r="AG82" s="260"/>
      <c r="AH82" s="260"/>
      <c r="AI82" s="264"/>
      <c r="AK82" s="256">
        <f t="shared" si="4"/>
        <v>0</v>
      </c>
    </row>
    <row r="83" spans="2:37" ht="18" hidden="1" customHeight="1">
      <c r="B83" s="270" t="s">
        <v>150</v>
      </c>
      <c r="C83" s="269" t="s">
        <v>149</v>
      </c>
      <c r="D83" s="253">
        <f t="shared" si="5"/>
        <v>0</v>
      </c>
      <c r="E83" s="260"/>
      <c r="F83" s="260"/>
      <c r="G83" s="260"/>
      <c r="H83" s="260"/>
      <c r="I83" s="260"/>
      <c r="J83" s="260"/>
      <c r="K83" s="260"/>
      <c r="L83" s="260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60"/>
      <c r="X83" s="260"/>
      <c r="Y83" s="260"/>
      <c r="Z83" s="260"/>
      <c r="AA83" s="260"/>
      <c r="AB83" s="260"/>
      <c r="AC83" s="260"/>
      <c r="AD83" s="260"/>
      <c r="AE83" s="260"/>
      <c r="AF83" s="260"/>
      <c r="AG83" s="260"/>
      <c r="AH83" s="260"/>
      <c r="AI83" s="264"/>
      <c r="AK83" s="256">
        <f t="shared" si="4"/>
        <v>0</v>
      </c>
    </row>
    <row r="84" spans="2:37" ht="18" hidden="1" customHeight="1">
      <c r="B84" s="265" t="s">
        <v>151</v>
      </c>
      <c r="C84" s="269" t="s">
        <v>152</v>
      </c>
      <c r="D84" s="253">
        <f t="shared" si="5"/>
        <v>0</v>
      </c>
      <c r="E84" s="260"/>
      <c r="F84" s="260"/>
      <c r="G84" s="260"/>
      <c r="H84" s="260"/>
      <c r="I84" s="260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60"/>
      <c r="X84" s="260"/>
      <c r="Y84" s="260"/>
      <c r="Z84" s="260"/>
      <c r="AA84" s="260"/>
      <c r="AB84" s="260"/>
      <c r="AC84" s="260"/>
      <c r="AD84" s="260"/>
      <c r="AE84" s="260"/>
      <c r="AF84" s="260"/>
      <c r="AG84" s="260"/>
      <c r="AH84" s="260"/>
      <c r="AI84" s="264"/>
      <c r="AK84" s="256">
        <f t="shared" si="4"/>
        <v>0</v>
      </c>
    </row>
    <row r="85" spans="2:37" ht="18" hidden="1" customHeight="1">
      <c r="B85" s="265" t="s">
        <v>153</v>
      </c>
      <c r="C85" s="269" t="s">
        <v>154</v>
      </c>
      <c r="D85" s="253">
        <f t="shared" si="5"/>
        <v>0</v>
      </c>
      <c r="E85" s="260"/>
      <c r="F85" s="260"/>
      <c r="G85" s="260"/>
      <c r="H85" s="260"/>
      <c r="I85" s="260"/>
      <c r="J85" s="260"/>
      <c r="K85" s="260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60"/>
      <c r="X85" s="260"/>
      <c r="Y85" s="260"/>
      <c r="Z85" s="260"/>
      <c r="AA85" s="260"/>
      <c r="AB85" s="260"/>
      <c r="AC85" s="260"/>
      <c r="AD85" s="260"/>
      <c r="AE85" s="260"/>
      <c r="AF85" s="260"/>
      <c r="AG85" s="260"/>
      <c r="AH85" s="260"/>
      <c r="AI85" s="264"/>
      <c r="AK85" s="256">
        <f t="shared" si="4"/>
        <v>0</v>
      </c>
    </row>
    <row r="86" spans="2:37" ht="18" hidden="1" customHeight="1">
      <c r="B86" s="265" t="s">
        <v>155</v>
      </c>
      <c r="C86" s="269" t="s">
        <v>156</v>
      </c>
      <c r="D86" s="253">
        <f t="shared" si="5"/>
        <v>0</v>
      </c>
      <c r="E86" s="260"/>
      <c r="F86" s="260"/>
      <c r="G86" s="260"/>
      <c r="H86" s="260"/>
      <c r="I86" s="260"/>
      <c r="J86" s="260"/>
      <c r="K86" s="260"/>
      <c r="L86" s="260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60"/>
      <c r="X86" s="260"/>
      <c r="Y86" s="260"/>
      <c r="Z86" s="260"/>
      <c r="AA86" s="260"/>
      <c r="AB86" s="260"/>
      <c r="AC86" s="260"/>
      <c r="AD86" s="260"/>
      <c r="AE86" s="260"/>
      <c r="AF86" s="260"/>
      <c r="AG86" s="260"/>
      <c r="AH86" s="260"/>
      <c r="AI86" s="264"/>
      <c r="AK86" s="256">
        <f t="shared" si="4"/>
        <v>0</v>
      </c>
    </row>
    <row r="87" spans="2:37" ht="18" hidden="1" customHeight="1">
      <c r="B87" s="265" t="s">
        <v>157</v>
      </c>
      <c r="C87" s="269" t="s">
        <v>158</v>
      </c>
      <c r="D87" s="253">
        <f t="shared" si="5"/>
        <v>0</v>
      </c>
      <c r="E87" s="260"/>
      <c r="F87" s="260"/>
      <c r="G87" s="260"/>
      <c r="H87" s="260"/>
      <c r="I87" s="260"/>
      <c r="J87" s="260"/>
      <c r="K87" s="260"/>
      <c r="L87" s="260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60"/>
      <c r="X87" s="260"/>
      <c r="Y87" s="260"/>
      <c r="Z87" s="260"/>
      <c r="AA87" s="260"/>
      <c r="AB87" s="260"/>
      <c r="AC87" s="260"/>
      <c r="AD87" s="260"/>
      <c r="AE87" s="260"/>
      <c r="AF87" s="260"/>
      <c r="AG87" s="260"/>
      <c r="AH87" s="260"/>
      <c r="AI87" s="264"/>
      <c r="AK87" s="256">
        <f t="shared" si="4"/>
        <v>0</v>
      </c>
    </row>
    <row r="88" spans="2:37" ht="18" hidden="1" customHeight="1">
      <c r="B88" s="265" t="s">
        <v>159</v>
      </c>
      <c r="C88" s="269" t="s">
        <v>160</v>
      </c>
      <c r="D88" s="253">
        <f t="shared" si="5"/>
        <v>0</v>
      </c>
      <c r="E88" s="260"/>
      <c r="F88" s="260"/>
      <c r="G88" s="260"/>
      <c r="H88" s="260"/>
      <c r="I88" s="260"/>
      <c r="J88" s="260"/>
      <c r="K88" s="260"/>
      <c r="L88" s="260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60"/>
      <c r="X88" s="260"/>
      <c r="Y88" s="260"/>
      <c r="Z88" s="260"/>
      <c r="AA88" s="260"/>
      <c r="AB88" s="260"/>
      <c r="AC88" s="260"/>
      <c r="AD88" s="260"/>
      <c r="AE88" s="260"/>
      <c r="AF88" s="260"/>
      <c r="AG88" s="260"/>
      <c r="AH88" s="260"/>
      <c r="AI88" s="264"/>
      <c r="AK88" s="256">
        <f t="shared" si="4"/>
        <v>0</v>
      </c>
    </row>
    <row r="89" spans="2:37" ht="18" hidden="1" customHeight="1">
      <c r="B89" s="270" t="s">
        <v>161</v>
      </c>
      <c r="C89" s="269" t="s">
        <v>162</v>
      </c>
      <c r="D89" s="253">
        <f t="shared" si="5"/>
        <v>0</v>
      </c>
      <c r="E89" s="260"/>
      <c r="F89" s="260"/>
      <c r="G89" s="260"/>
      <c r="H89" s="260"/>
      <c r="I89" s="260"/>
      <c r="J89" s="260"/>
      <c r="K89" s="260"/>
      <c r="L89" s="260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60"/>
      <c r="X89" s="260"/>
      <c r="Y89" s="260"/>
      <c r="Z89" s="260"/>
      <c r="AA89" s="260"/>
      <c r="AB89" s="260"/>
      <c r="AC89" s="260"/>
      <c r="AD89" s="260"/>
      <c r="AE89" s="260"/>
      <c r="AF89" s="260"/>
      <c r="AG89" s="260"/>
      <c r="AH89" s="260"/>
      <c r="AI89" s="264"/>
      <c r="AK89" s="256">
        <f t="shared" si="4"/>
        <v>0</v>
      </c>
    </row>
    <row r="90" spans="2:37" ht="18" hidden="1" customHeight="1">
      <c r="B90" s="270" t="s">
        <v>163</v>
      </c>
      <c r="C90" s="269" t="s">
        <v>162</v>
      </c>
      <c r="D90" s="253">
        <f t="shared" si="5"/>
        <v>0</v>
      </c>
      <c r="E90" s="260"/>
      <c r="F90" s="260"/>
      <c r="G90" s="260"/>
      <c r="H90" s="260"/>
      <c r="I90" s="260"/>
      <c r="J90" s="260"/>
      <c r="K90" s="260"/>
      <c r="L90" s="260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60"/>
      <c r="X90" s="260"/>
      <c r="Y90" s="260"/>
      <c r="Z90" s="260"/>
      <c r="AA90" s="260"/>
      <c r="AB90" s="260"/>
      <c r="AC90" s="260"/>
      <c r="AD90" s="260"/>
      <c r="AE90" s="260"/>
      <c r="AF90" s="260"/>
      <c r="AG90" s="260"/>
      <c r="AH90" s="260"/>
      <c r="AI90" s="264"/>
      <c r="AK90" s="256">
        <f t="shared" si="4"/>
        <v>0</v>
      </c>
    </row>
    <row r="91" spans="2:37" ht="18" hidden="1" customHeight="1">
      <c r="B91" s="270" t="s">
        <v>164</v>
      </c>
      <c r="C91" s="266" t="s">
        <v>95</v>
      </c>
      <c r="D91" s="253">
        <f t="shared" si="5"/>
        <v>0</v>
      </c>
      <c r="E91" s="260"/>
      <c r="F91" s="260"/>
      <c r="G91" s="260"/>
      <c r="H91" s="260"/>
      <c r="I91" s="260"/>
      <c r="J91" s="260"/>
      <c r="K91" s="260"/>
      <c r="L91" s="260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60"/>
      <c r="X91" s="260"/>
      <c r="Y91" s="260"/>
      <c r="Z91" s="260"/>
      <c r="AA91" s="260"/>
      <c r="AB91" s="260"/>
      <c r="AC91" s="260"/>
      <c r="AD91" s="260"/>
      <c r="AE91" s="260"/>
      <c r="AF91" s="260"/>
      <c r="AG91" s="260"/>
      <c r="AH91" s="260"/>
      <c r="AI91" s="264"/>
      <c r="AK91" s="256">
        <f t="shared" si="4"/>
        <v>0</v>
      </c>
    </row>
    <row r="92" spans="2:37" ht="18" hidden="1" customHeight="1">
      <c r="B92" s="270" t="s">
        <v>165</v>
      </c>
      <c r="C92" s="263" t="s">
        <v>166</v>
      </c>
      <c r="D92" s="253">
        <f t="shared" si="5"/>
        <v>0</v>
      </c>
      <c r="E92" s="260"/>
      <c r="F92" s="260"/>
      <c r="G92" s="260"/>
      <c r="H92" s="260"/>
      <c r="I92" s="260"/>
      <c r="J92" s="260"/>
      <c r="K92" s="260"/>
      <c r="L92" s="260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60"/>
      <c r="X92" s="260"/>
      <c r="Y92" s="260"/>
      <c r="Z92" s="260"/>
      <c r="AA92" s="260"/>
      <c r="AB92" s="260"/>
      <c r="AC92" s="260"/>
      <c r="AD92" s="260"/>
      <c r="AE92" s="260"/>
      <c r="AF92" s="260"/>
      <c r="AG92" s="260"/>
      <c r="AH92" s="260"/>
      <c r="AI92" s="264"/>
      <c r="AK92" s="256">
        <f t="shared" si="4"/>
        <v>0</v>
      </c>
    </row>
    <row r="93" spans="2:37" ht="18" hidden="1" customHeight="1">
      <c r="B93" s="270" t="s">
        <v>167</v>
      </c>
      <c r="C93" s="263" t="s">
        <v>168</v>
      </c>
      <c r="D93" s="253">
        <f t="shared" si="5"/>
        <v>0</v>
      </c>
      <c r="E93" s="260"/>
      <c r="F93" s="260"/>
      <c r="G93" s="260"/>
      <c r="H93" s="260"/>
      <c r="I93" s="260"/>
      <c r="J93" s="260"/>
      <c r="K93" s="260"/>
      <c r="L93" s="260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4"/>
      <c r="AK93" s="256">
        <f t="shared" si="4"/>
        <v>0</v>
      </c>
    </row>
    <row r="94" spans="2:37" ht="18" hidden="1" customHeight="1">
      <c r="B94" s="270" t="s">
        <v>169</v>
      </c>
      <c r="C94" s="263" t="s">
        <v>170</v>
      </c>
      <c r="D94" s="253">
        <f t="shared" si="5"/>
        <v>0</v>
      </c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60"/>
      <c r="X94" s="260"/>
      <c r="Y94" s="260"/>
      <c r="Z94" s="260"/>
      <c r="AA94" s="260"/>
      <c r="AB94" s="260"/>
      <c r="AC94" s="260"/>
      <c r="AD94" s="260"/>
      <c r="AE94" s="260"/>
      <c r="AF94" s="260"/>
      <c r="AG94" s="260"/>
      <c r="AH94" s="260"/>
      <c r="AI94" s="264"/>
      <c r="AK94" s="256">
        <f t="shared" si="4"/>
        <v>0</v>
      </c>
    </row>
    <row r="95" spans="2:37" ht="18" hidden="1" customHeight="1">
      <c r="B95" s="270" t="s">
        <v>171</v>
      </c>
      <c r="C95" s="263" t="s">
        <v>172</v>
      </c>
      <c r="D95" s="253">
        <f t="shared" si="5"/>
        <v>0</v>
      </c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60"/>
      <c r="X95" s="260"/>
      <c r="Y95" s="260"/>
      <c r="Z95" s="260"/>
      <c r="AA95" s="260"/>
      <c r="AB95" s="260"/>
      <c r="AC95" s="260"/>
      <c r="AD95" s="260"/>
      <c r="AE95" s="260"/>
      <c r="AF95" s="260"/>
      <c r="AG95" s="260"/>
      <c r="AH95" s="260"/>
      <c r="AI95" s="264"/>
      <c r="AK95" s="256">
        <f t="shared" si="4"/>
        <v>0</v>
      </c>
    </row>
    <row r="96" spans="2:37" ht="18" hidden="1" customHeight="1">
      <c r="B96" s="270" t="s">
        <v>173</v>
      </c>
      <c r="C96" s="263" t="s">
        <v>174</v>
      </c>
      <c r="D96" s="253">
        <f t="shared" si="5"/>
        <v>0</v>
      </c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60"/>
      <c r="X96" s="260"/>
      <c r="Y96" s="260"/>
      <c r="Z96" s="260"/>
      <c r="AA96" s="260"/>
      <c r="AB96" s="260"/>
      <c r="AC96" s="260"/>
      <c r="AD96" s="260"/>
      <c r="AE96" s="260"/>
      <c r="AF96" s="260"/>
      <c r="AG96" s="260"/>
      <c r="AH96" s="260"/>
      <c r="AI96" s="264"/>
      <c r="AK96" s="256">
        <f t="shared" si="4"/>
        <v>0</v>
      </c>
    </row>
    <row r="97" spans="2:37" ht="18" hidden="1" customHeight="1">
      <c r="B97" s="270" t="s">
        <v>175</v>
      </c>
      <c r="C97" s="263" t="s">
        <v>176</v>
      </c>
      <c r="D97" s="253">
        <f t="shared" si="5"/>
        <v>0</v>
      </c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60"/>
      <c r="X97" s="260"/>
      <c r="Y97" s="260"/>
      <c r="Z97" s="260"/>
      <c r="AA97" s="260"/>
      <c r="AB97" s="260"/>
      <c r="AC97" s="260"/>
      <c r="AD97" s="260"/>
      <c r="AE97" s="260"/>
      <c r="AF97" s="260"/>
      <c r="AG97" s="260"/>
      <c r="AH97" s="260"/>
      <c r="AI97" s="264"/>
      <c r="AK97" s="256">
        <f t="shared" si="4"/>
        <v>0</v>
      </c>
    </row>
    <row r="98" spans="2:37" ht="18" hidden="1" customHeight="1">
      <c r="B98" s="270" t="s">
        <v>177</v>
      </c>
      <c r="C98" s="263" t="s">
        <v>178</v>
      </c>
      <c r="D98" s="253">
        <f t="shared" si="5"/>
        <v>0</v>
      </c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60"/>
      <c r="X98" s="260"/>
      <c r="Y98" s="260"/>
      <c r="Z98" s="260"/>
      <c r="AA98" s="260"/>
      <c r="AB98" s="260"/>
      <c r="AC98" s="260"/>
      <c r="AD98" s="260"/>
      <c r="AE98" s="260"/>
      <c r="AF98" s="260"/>
      <c r="AG98" s="260"/>
      <c r="AH98" s="260"/>
      <c r="AI98" s="264"/>
      <c r="AK98" s="256">
        <f t="shared" si="4"/>
        <v>0</v>
      </c>
    </row>
    <row r="99" spans="2:37" ht="18" hidden="1" customHeight="1">
      <c r="B99" s="270" t="s">
        <v>179</v>
      </c>
      <c r="C99" s="263" t="s">
        <v>180</v>
      </c>
      <c r="D99" s="253">
        <f t="shared" si="5"/>
        <v>0</v>
      </c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60"/>
      <c r="X99" s="260"/>
      <c r="Y99" s="260"/>
      <c r="Z99" s="260"/>
      <c r="AA99" s="260"/>
      <c r="AB99" s="260"/>
      <c r="AC99" s="260"/>
      <c r="AD99" s="260"/>
      <c r="AE99" s="260"/>
      <c r="AF99" s="260"/>
      <c r="AG99" s="260"/>
      <c r="AH99" s="260"/>
      <c r="AI99" s="264"/>
      <c r="AK99" s="256">
        <f t="shared" si="4"/>
        <v>0</v>
      </c>
    </row>
    <row r="100" spans="2:37" ht="18" hidden="1" customHeight="1">
      <c r="B100" s="270" t="s">
        <v>181</v>
      </c>
      <c r="C100" s="263" t="s">
        <v>182</v>
      </c>
      <c r="D100" s="253">
        <f t="shared" si="5"/>
        <v>0</v>
      </c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60"/>
      <c r="X100" s="260"/>
      <c r="Y100" s="260"/>
      <c r="Z100" s="260"/>
      <c r="AA100" s="260"/>
      <c r="AB100" s="260"/>
      <c r="AC100" s="260"/>
      <c r="AD100" s="260"/>
      <c r="AE100" s="260"/>
      <c r="AF100" s="260"/>
      <c r="AG100" s="260"/>
      <c r="AH100" s="260"/>
      <c r="AI100" s="264"/>
      <c r="AK100" s="256">
        <f t="shared" si="4"/>
        <v>0</v>
      </c>
    </row>
    <row r="101" spans="2:37" ht="18" hidden="1" customHeight="1">
      <c r="B101" s="270" t="s">
        <v>183</v>
      </c>
      <c r="C101" s="263" t="s">
        <v>184</v>
      </c>
      <c r="D101" s="253">
        <f t="shared" si="5"/>
        <v>0</v>
      </c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60"/>
      <c r="X101" s="260"/>
      <c r="Y101" s="260"/>
      <c r="Z101" s="260"/>
      <c r="AA101" s="260"/>
      <c r="AB101" s="260"/>
      <c r="AC101" s="260"/>
      <c r="AD101" s="260"/>
      <c r="AE101" s="260"/>
      <c r="AF101" s="260"/>
      <c r="AG101" s="260"/>
      <c r="AH101" s="260"/>
      <c r="AI101" s="264"/>
      <c r="AK101" s="256">
        <f t="shared" si="4"/>
        <v>0</v>
      </c>
    </row>
    <row r="102" spans="2:37" ht="18" hidden="1" customHeight="1">
      <c r="B102" s="270" t="s">
        <v>185</v>
      </c>
      <c r="C102" s="263" t="s">
        <v>186</v>
      </c>
      <c r="D102" s="253">
        <f t="shared" si="5"/>
        <v>0</v>
      </c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60"/>
      <c r="X102" s="260"/>
      <c r="Y102" s="260"/>
      <c r="Z102" s="260"/>
      <c r="AA102" s="260"/>
      <c r="AB102" s="260"/>
      <c r="AC102" s="260"/>
      <c r="AD102" s="260"/>
      <c r="AE102" s="260"/>
      <c r="AF102" s="260"/>
      <c r="AG102" s="260"/>
      <c r="AH102" s="260"/>
      <c r="AI102" s="264"/>
      <c r="AK102" s="256">
        <f t="shared" si="4"/>
        <v>0</v>
      </c>
    </row>
    <row r="103" spans="2:37" ht="18" hidden="1" customHeight="1">
      <c r="B103" s="270" t="s">
        <v>187</v>
      </c>
      <c r="C103" s="263" t="s">
        <v>160</v>
      </c>
      <c r="D103" s="253">
        <f t="shared" si="5"/>
        <v>0</v>
      </c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60"/>
      <c r="X103" s="260"/>
      <c r="Y103" s="260"/>
      <c r="Z103" s="260"/>
      <c r="AA103" s="260"/>
      <c r="AB103" s="260"/>
      <c r="AC103" s="260"/>
      <c r="AD103" s="260"/>
      <c r="AE103" s="260"/>
      <c r="AF103" s="260"/>
      <c r="AG103" s="260"/>
      <c r="AH103" s="260"/>
      <c r="AI103" s="264"/>
      <c r="AK103" s="256">
        <f t="shared" si="4"/>
        <v>0</v>
      </c>
    </row>
    <row r="104" spans="2:37" ht="18" hidden="1" customHeight="1">
      <c r="B104" s="270" t="s">
        <v>190</v>
      </c>
      <c r="C104" s="263" t="s">
        <v>191</v>
      </c>
      <c r="D104" s="253">
        <f t="shared" si="5"/>
        <v>0</v>
      </c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60"/>
      <c r="X104" s="260"/>
      <c r="Y104" s="260"/>
      <c r="Z104" s="260"/>
      <c r="AA104" s="260"/>
      <c r="AB104" s="260"/>
      <c r="AC104" s="260"/>
      <c r="AD104" s="260"/>
      <c r="AE104" s="260"/>
      <c r="AF104" s="260"/>
      <c r="AG104" s="260"/>
      <c r="AH104" s="260"/>
      <c r="AI104" s="264"/>
      <c r="AK104" s="256">
        <f t="shared" si="4"/>
        <v>0</v>
      </c>
    </row>
    <row r="105" spans="2:37" ht="18" hidden="1" customHeight="1">
      <c r="B105" s="270" t="s">
        <v>192</v>
      </c>
      <c r="C105" s="263" t="s">
        <v>186</v>
      </c>
      <c r="D105" s="253">
        <f t="shared" si="5"/>
        <v>0</v>
      </c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60"/>
      <c r="X105" s="260"/>
      <c r="Y105" s="260"/>
      <c r="Z105" s="260"/>
      <c r="AA105" s="260"/>
      <c r="AB105" s="260"/>
      <c r="AC105" s="260"/>
      <c r="AD105" s="260"/>
      <c r="AE105" s="260"/>
      <c r="AF105" s="260"/>
      <c r="AG105" s="260"/>
      <c r="AH105" s="260"/>
      <c r="AI105" s="264"/>
      <c r="AK105" s="256">
        <f t="shared" si="4"/>
        <v>0</v>
      </c>
    </row>
    <row r="106" spans="2:37" ht="18" hidden="1" customHeight="1">
      <c r="B106" s="270" t="s">
        <v>193</v>
      </c>
      <c r="C106" s="263" t="s">
        <v>194</v>
      </c>
      <c r="D106" s="253">
        <f t="shared" si="5"/>
        <v>0</v>
      </c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60"/>
      <c r="X106" s="260"/>
      <c r="Y106" s="260"/>
      <c r="Z106" s="260"/>
      <c r="AA106" s="260"/>
      <c r="AB106" s="260"/>
      <c r="AC106" s="260"/>
      <c r="AD106" s="260"/>
      <c r="AE106" s="260"/>
      <c r="AF106" s="260"/>
      <c r="AG106" s="260"/>
      <c r="AH106" s="260"/>
      <c r="AI106" s="264"/>
      <c r="AK106" s="256">
        <f t="shared" si="4"/>
        <v>0</v>
      </c>
    </row>
    <row r="107" spans="2:37" ht="18" hidden="1" customHeight="1">
      <c r="B107" s="270" t="s">
        <v>195</v>
      </c>
      <c r="C107" s="263" t="s">
        <v>196</v>
      </c>
      <c r="D107" s="253">
        <f t="shared" si="5"/>
        <v>0</v>
      </c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60"/>
      <c r="X107" s="260"/>
      <c r="Y107" s="260"/>
      <c r="Z107" s="260"/>
      <c r="AA107" s="260"/>
      <c r="AB107" s="260"/>
      <c r="AC107" s="260"/>
      <c r="AD107" s="260"/>
      <c r="AE107" s="260"/>
      <c r="AF107" s="260"/>
      <c r="AG107" s="260"/>
      <c r="AH107" s="260"/>
      <c r="AI107" s="264"/>
      <c r="AK107" s="256">
        <f t="shared" si="4"/>
        <v>0</v>
      </c>
    </row>
    <row r="108" spans="2:37" ht="18" hidden="1" customHeight="1">
      <c r="B108" s="270" t="s">
        <v>197</v>
      </c>
      <c r="C108" s="263" t="s">
        <v>196</v>
      </c>
      <c r="D108" s="253">
        <f t="shared" si="5"/>
        <v>0</v>
      </c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60"/>
      <c r="X108" s="260"/>
      <c r="Y108" s="260"/>
      <c r="Z108" s="260"/>
      <c r="AA108" s="260"/>
      <c r="AB108" s="260"/>
      <c r="AC108" s="260"/>
      <c r="AD108" s="260"/>
      <c r="AE108" s="260"/>
      <c r="AF108" s="260"/>
      <c r="AG108" s="260"/>
      <c r="AH108" s="260"/>
      <c r="AI108" s="264"/>
      <c r="AK108" s="256">
        <f t="shared" si="4"/>
        <v>0</v>
      </c>
    </row>
    <row r="109" spans="2:37" ht="18" hidden="1" customHeight="1">
      <c r="B109" s="270" t="s">
        <v>198</v>
      </c>
      <c r="C109" s="263" t="s">
        <v>199</v>
      </c>
      <c r="D109" s="253">
        <f t="shared" si="5"/>
        <v>0</v>
      </c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260"/>
      <c r="W109" s="260"/>
      <c r="X109" s="260"/>
      <c r="Y109" s="260"/>
      <c r="Z109" s="260"/>
      <c r="AA109" s="260"/>
      <c r="AB109" s="260"/>
      <c r="AC109" s="260"/>
      <c r="AD109" s="260"/>
      <c r="AE109" s="260"/>
      <c r="AF109" s="260"/>
      <c r="AG109" s="260"/>
      <c r="AH109" s="260"/>
      <c r="AI109" s="264"/>
      <c r="AK109" s="256">
        <f t="shared" si="4"/>
        <v>0</v>
      </c>
    </row>
    <row r="110" spans="2:37" ht="18" hidden="1" customHeight="1">
      <c r="B110" s="270" t="s">
        <v>200</v>
      </c>
      <c r="C110" s="263" t="s">
        <v>201</v>
      </c>
      <c r="D110" s="253">
        <f t="shared" si="5"/>
        <v>0</v>
      </c>
      <c r="E110" s="260"/>
      <c r="F110" s="260"/>
      <c r="G110" s="260"/>
      <c r="H110" s="260"/>
      <c r="I110" s="260"/>
      <c r="J110" s="260"/>
      <c r="K110" s="260"/>
      <c r="L110" s="260"/>
      <c r="M110" s="260"/>
      <c r="N110" s="260"/>
      <c r="O110" s="260"/>
      <c r="P110" s="260"/>
      <c r="Q110" s="260"/>
      <c r="R110" s="260"/>
      <c r="S110" s="260"/>
      <c r="T110" s="260"/>
      <c r="U110" s="260"/>
      <c r="V110" s="260"/>
      <c r="W110" s="260"/>
      <c r="X110" s="260"/>
      <c r="Y110" s="260"/>
      <c r="Z110" s="260"/>
      <c r="AA110" s="260"/>
      <c r="AB110" s="260"/>
      <c r="AC110" s="260"/>
      <c r="AD110" s="260"/>
      <c r="AE110" s="260"/>
      <c r="AF110" s="260"/>
      <c r="AG110" s="260"/>
      <c r="AH110" s="260"/>
      <c r="AI110" s="264"/>
      <c r="AK110" s="256">
        <f t="shared" si="4"/>
        <v>0</v>
      </c>
    </row>
    <row r="111" spans="2:37" ht="18" hidden="1" customHeight="1">
      <c r="B111" s="270" t="s">
        <v>202</v>
      </c>
      <c r="C111" s="263" t="s">
        <v>203</v>
      </c>
      <c r="D111" s="253">
        <f t="shared" si="5"/>
        <v>0</v>
      </c>
      <c r="E111" s="260"/>
      <c r="F111" s="260"/>
      <c r="G111" s="260"/>
      <c r="H111" s="260"/>
      <c r="I111" s="260"/>
      <c r="J111" s="260"/>
      <c r="K111" s="260"/>
      <c r="L111" s="260"/>
      <c r="M111" s="260"/>
      <c r="N111" s="260"/>
      <c r="O111" s="260"/>
      <c r="P111" s="260"/>
      <c r="Q111" s="260"/>
      <c r="R111" s="260"/>
      <c r="S111" s="260"/>
      <c r="T111" s="260"/>
      <c r="U111" s="260"/>
      <c r="V111" s="260"/>
      <c r="W111" s="260"/>
      <c r="X111" s="260"/>
      <c r="Y111" s="260"/>
      <c r="Z111" s="260"/>
      <c r="AA111" s="260"/>
      <c r="AB111" s="260"/>
      <c r="AC111" s="260"/>
      <c r="AD111" s="260"/>
      <c r="AE111" s="260"/>
      <c r="AF111" s="260"/>
      <c r="AG111" s="260"/>
      <c r="AH111" s="260"/>
      <c r="AI111" s="264"/>
      <c r="AK111" s="256">
        <f t="shared" si="4"/>
        <v>0</v>
      </c>
    </row>
    <row r="112" spans="2:37" ht="18" hidden="1" customHeight="1">
      <c r="B112" s="270" t="s">
        <v>204</v>
      </c>
      <c r="C112" s="263" t="s">
        <v>205</v>
      </c>
      <c r="D112" s="253">
        <f t="shared" si="5"/>
        <v>0</v>
      </c>
      <c r="E112" s="260"/>
      <c r="F112" s="260"/>
      <c r="G112" s="260"/>
      <c r="H112" s="260"/>
      <c r="I112" s="260"/>
      <c r="J112" s="260"/>
      <c r="K112" s="260"/>
      <c r="L112" s="260"/>
      <c r="M112" s="260"/>
      <c r="N112" s="260"/>
      <c r="O112" s="260"/>
      <c r="P112" s="260"/>
      <c r="Q112" s="260"/>
      <c r="R112" s="260"/>
      <c r="S112" s="260"/>
      <c r="T112" s="260"/>
      <c r="U112" s="260"/>
      <c r="V112" s="260"/>
      <c r="W112" s="260"/>
      <c r="X112" s="260"/>
      <c r="Y112" s="260"/>
      <c r="Z112" s="260"/>
      <c r="AA112" s="260"/>
      <c r="AB112" s="260"/>
      <c r="AC112" s="260"/>
      <c r="AD112" s="260"/>
      <c r="AE112" s="260"/>
      <c r="AF112" s="260"/>
      <c r="AG112" s="260"/>
      <c r="AH112" s="260"/>
      <c r="AI112" s="264"/>
      <c r="AK112" s="256">
        <f t="shared" si="4"/>
        <v>0</v>
      </c>
    </row>
    <row r="113" spans="2:37" ht="18" hidden="1" customHeight="1">
      <c r="B113" s="270" t="s">
        <v>206</v>
      </c>
      <c r="C113" s="263" t="s">
        <v>186</v>
      </c>
      <c r="D113" s="253">
        <f t="shared" si="5"/>
        <v>0</v>
      </c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60"/>
      <c r="X113" s="260"/>
      <c r="Y113" s="260"/>
      <c r="Z113" s="260"/>
      <c r="AA113" s="260"/>
      <c r="AB113" s="260"/>
      <c r="AC113" s="260"/>
      <c r="AD113" s="260"/>
      <c r="AE113" s="260"/>
      <c r="AF113" s="260"/>
      <c r="AG113" s="260"/>
      <c r="AH113" s="260"/>
      <c r="AI113" s="264"/>
      <c r="AK113" s="256">
        <f t="shared" si="4"/>
        <v>0</v>
      </c>
    </row>
    <row r="114" spans="2:37" ht="18" hidden="1" customHeight="1">
      <c r="B114" s="270" t="s">
        <v>207</v>
      </c>
      <c r="C114" s="263" t="s">
        <v>208</v>
      </c>
      <c r="D114" s="253">
        <f t="shared" si="5"/>
        <v>0</v>
      </c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260"/>
      <c r="W114" s="260"/>
      <c r="X114" s="260"/>
      <c r="Y114" s="260"/>
      <c r="Z114" s="260"/>
      <c r="AA114" s="260"/>
      <c r="AB114" s="260"/>
      <c r="AC114" s="260"/>
      <c r="AD114" s="260"/>
      <c r="AE114" s="260"/>
      <c r="AF114" s="260"/>
      <c r="AG114" s="260"/>
      <c r="AH114" s="260"/>
      <c r="AI114" s="264"/>
      <c r="AK114" s="256">
        <f t="shared" si="4"/>
        <v>0</v>
      </c>
    </row>
    <row r="115" spans="2:37" ht="18" customHeight="1">
      <c r="B115" s="270" t="s">
        <v>211</v>
      </c>
      <c r="C115" s="263" t="s">
        <v>212</v>
      </c>
      <c r="D115" s="253">
        <f t="shared" si="5"/>
        <v>400</v>
      </c>
      <c r="E115" s="260"/>
      <c r="F115" s="260"/>
      <c r="G115" s="260"/>
      <c r="H115" s="260">
        <v>400</v>
      </c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60"/>
      <c r="X115" s="260"/>
      <c r="Y115" s="260"/>
      <c r="Z115" s="260"/>
      <c r="AA115" s="260"/>
      <c r="AB115" s="260"/>
      <c r="AC115" s="260"/>
      <c r="AD115" s="260"/>
      <c r="AE115" s="260"/>
      <c r="AF115" s="260"/>
      <c r="AG115" s="260"/>
      <c r="AH115" s="260"/>
      <c r="AI115" s="264"/>
      <c r="AK115" s="256">
        <f t="shared" si="4"/>
        <v>400</v>
      </c>
    </row>
    <row r="116" spans="2:37" ht="18" customHeight="1">
      <c r="B116" s="270" t="s">
        <v>209</v>
      </c>
      <c r="C116" s="263" t="s">
        <v>210</v>
      </c>
      <c r="D116" s="253">
        <f t="shared" si="5"/>
        <v>10000</v>
      </c>
      <c r="E116" s="260"/>
      <c r="F116" s="260"/>
      <c r="G116" s="260"/>
      <c r="H116" s="260">
        <v>10000</v>
      </c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60"/>
      <c r="X116" s="260"/>
      <c r="Y116" s="260"/>
      <c r="Z116" s="260"/>
      <c r="AA116" s="260"/>
      <c r="AB116" s="260"/>
      <c r="AC116" s="260"/>
      <c r="AD116" s="260"/>
      <c r="AE116" s="260"/>
      <c r="AF116" s="260"/>
      <c r="AG116" s="260"/>
      <c r="AH116" s="260"/>
      <c r="AI116" s="264"/>
      <c r="AK116" s="256">
        <f t="shared" si="4"/>
        <v>10000</v>
      </c>
    </row>
    <row r="117" spans="2:37" ht="18" hidden="1" customHeight="1">
      <c r="B117" s="270" t="s">
        <v>213</v>
      </c>
      <c r="C117" s="263" t="s">
        <v>212</v>
      </c>
      <c r="D117" s="253">
        <f t="shared" si="5"/>
        <v>0</v>
      </c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60"/>
      <c r="X117" s="260"/>
      <c r="Y117" s="260"/>
      <c r="Z117" s="260"/>
      <c r="AA117" s="260"/>
      <c r="AB117" s="260"/>
      <c r="AC117" s="260"/>
      <c r="AD117" s="260"/>
      <c r="AE117" s="260"/>
      <c r="AF117" s="260"/>
      <c r="AG117" s="260"/>
      <c r="AH117" s="260"/>
      <c r="AI117" s="264"/>
      <c r="AK117" s="256">
        <f t="shared" si="4"/>
        <v>0</v>
      </c>
    </row>
    <row r="118" spans="2:37" ht="18" hidden="1" customHeight="1">
      <c r="B118" s="270" t="s">
        <v>214</v>
      </c>
      <c r="C118" s="263" t="s">
        <v>215</v>
      </c>
      <c r="D118" s="253">
        <f t="shared" si="5"/>
        <v>0</v>
      </c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60"/>
      <c r="X118" s="260"/>
      <c r="Y118" s="260"/>
      <c r="Z118" s="260"/>
      <c r="AA118" s="260"/>
      <c r="AB118" s="260"/>
      <c r="AC118" s="260"/>
      <c r="AD118" s="260"/>
      <c r="AE118" s="260"/>
      <c r="AF118" s="260"/>
      <c r="AG118" s="260"/>
      <c r="AH118" s="260"/>
      <c r="AI118" s="264"/>
      <c r="AK118" s="256">
        <f t="shared" si="4"/>
        <v>0</v>
      </c>
    </row>
    <row r="119" spans="2:37" ht="18" hidden="1" customHeight="1">
      <c r="B119" s="270" t="s">
        <v>216</v>
      </c>
      <c r="C119" s="263" t="s">
        <v>217</v>
      </c>
      <c r="D119" s="253">
        <f t="shared" si="5"/>
        <v>0</v>
      </c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60"/>
      <c r="X119" s="260"/>
      <c r="Y119" s="260"/>
      <c r="Z119" s="260"/>
      <c r="AA119" s="260"/>
      <c r="AB119" s="260"/>
      <c r="AC119" s="260"/>
      <c r="AD119" s="260"/>
      <c r="AE119" s="260"/>
      <c r="AF119" s="260"/>
      <c r="AG119" s="260"/>
      <c r="AH119" s="260"/>
      <c r="AI119" s="264"/>
      <c r="AK119" s="256">
        <f t="shared" si="4"/>
        <v>0</v>
      </c>
    </row>
    <row r="120" spans="2:37" ht="18" hidden="1" customHeight="1">
      <c r="B120" s="270" t="s">
        <v>218</v>
      </c>
      <c r="C120" s="263" t="s">
        <v>219</v>
      </c>
      <c r="D120" s="253">
        <f t="shared" si="5"/>
        <v>0</v>
      </c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60"/>
      <c r="X120" s="260"/>
      <c r="Y120" s="260"/>
      <c r="Z120" s="260"/>
      <c r="AA120" s="260"/>
      <c r="AB120" s="260"/>
      <c r="AC120" s="260"/>
      <c r="AD120" s="260"/>
      <c r="AE120" s="260"/>
      <c r="AF120" s="260"/>
      <c r="AG120" s="260"/>
      <c r="AH120" s="260"/>
      <c r="AI120" s="264"/>
      <c r="AK120" s="256">
        <f t="shared" si="4"/>
        <v>0</v>
      </c>
    </row>
    <row r="121" spans="2:37" ht="18" hidden="1" customHeight="1">
      <c r="B121" s="270" t="s">
        <v>220</v>
      </c>
      <c r="C121" s="263" t="s">
        <v>221</v>
      </c>
      <c r="D121" s="253">
        <f t="shared" si="5"/>
        <v>0</v>
      </c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60"/>
      <c r="X121" s="260"/>
      <c r="Y121" s="260"/>
      <c r="Z121" s="260"/>
      <c r="AA121" s="260"/>
      <c r="AB121" s="260"/>
      <c r="AC121" s="260"/>
      <c r="AD121" s="260"/>
      <c r="AE121" s="260"/>
      <c r="AF121" s="260"/>
      <c r="AG121" s="260"/>
      <c r="AH121" s="260"/>
      <c r="AI121" s="264"/>
      <c r="AK121" s="256">
        <f t="shared" si="4"/>
        <v>0</v>
      </c>
    </row>
    <row r="122" spans="2:37" ht="18" hidden="1" customHeight="1">
      <c r="B122" s="270" t="s">
        <v>222</v>
      </c>
      <c r="C122" s="263" t="s">
        <v>223</v>
      </c>
      <c r="D122" s="253">
        <f t="shared" si="5"/>
        <v>0</v>
      </c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60"/>
      <c r="X122" s="260"/>
      <c r="Y122" s="260"/>
      <c r="Z122" s="260"/>
      <c r="AA122" s="260"/>
      <c r="AB122" s="260"/>
      <c r="AC122" s="260"/>
      <c r="AD122" s="260"/>
      <c r="AE122" s="260"/>
      <c r="AF122" s="260"/>
      <c r="AG122" s="260"/>
      <c r="AH122" s="260"/>
      <c r="AI122" s="264"/>
      <c r="AK122" s="256">
        <f t="shared" si="4"/>
        <v>0</v>
      </c>
    </row>
    <row r="123" spans="2:37" ht="18" hidden="1" customHeight="1">
      <c r="B123" s="270" t="s">
        <v>422</v>
      </c>
      <c r="C123" s="263" t="s">
        <v>223</v>
      </c>
      <c r="D123" s="253">
        <f t="shared" si="5"/>
        <v>0</v>
      </c>
      <c r="E123" s="260"/>
      <c r="F123" s="260"/>
      <c r="G123" s="260"/>
      <c r="H123" s="260"/>
      <c r="I123" s="260"/>
      <c r="J123" s="260"/>
      <c r="K123" s="260"/>
      <c r="L123" s="260"/>
      <c r="M123" s="260"/>
      <c r="N123" s="260"/>
      <c r="O123" s="260"/>
      <c r="P123" s="260"/>
      <c r="Q123" s="260"/>
      <c r="R123" s="260"/>
      <c r="S123" s="260"/>
      <c r="T123" s="260"/>
      <c r="U123" s="260"/>
      <c r="V123" s="260"/>
      <c r="W123" s="260"/>
      <c r="X123" s="260"/>
      <c r="Y123" s="260"/>
      <c r="Z123" s="260"/>
      <c r="AA123" s="260"/>
      <c r="AB123" s="260"/>
      <c r="AC123" s="260"/>
      <c r="AD123" s="260"/>
      <c r="AE123" s="260"/>
      <c r="AF123" s="260"/>
      <c r="AG123" s="260"/>
      <c r="AH123" s="260"/>
      <c r="AI123" s="264"/>
      <c r="AK123" s="256">
        <f t="shared" si="4"/>
        <v>0</v>
      </c>
    </row>
    <row r="124" spans="2:37" ht="18" hidden="1" customHeight="1">
      <c r="B124" s="270" t="s">
        <v>224</v>
      </c>
      <c r="C124" s="263" t="s">
        <v>225</v>
      </c>
      <c r="D124" s="253">
        <f t="shared" si="5"/>
        <v>0</v>
      </c>
      <c r="E124" s="260"/>
      <c r="F124" s="260"/>
      <c r="G124" s="260"/>
      <c r="H124" s="260"/>
      <c r="I124" s="260"/>
      <c r="J124" s="260"/>
      <c r="K124" s="260"/>
      <c r="L124" s="260"/>
      <c r="M124" s="260"/>
      <c r="N124" s="260"/>
      <c r="O124" s="260"/>
      <c r="P124" s="260"/>
      <c r="Q124" s="260"/>
      <c r="R124" s="260"/>
      <c r="S124" s="260"/>
      <c r="T124" s="260"/>
      <c r="U124" s="260"/>
      <c r="V124" s="260"/>
      <c r="W124" s="260"/>
      <c r="X124" s="260"/>
      <c r="Y124" s="260"/>
      <c r="Z124" s="260"/>
      <c r="AA124" s="260"/>
      <c r="AB124" s="260"/>
      <c r="AC124" s="260"/>
      <c r="AD124" s="260"/>
      <c r="AE124" s="260"/>
      <c r="AF124" s="260"/>
      <c r="AG124" s="260"/>
      <c r="AH124" s="260"/>
      <c r="AI124" s="264"/>
      <c r="AK124" s="256">
        <f t="shared" si="4"/>
        <v>0</v>
      </c>
    </row>
    <row r="125" spans="2:37" ht="18" hidden="1" customHeight="1">
      <c r="B125" s="270" t="s">
        <v>226</v>
      </c>
      <c r="C125" s="263" t="s">
        <v>225</v>
      </c>
      <c r="D125" s="253">
        <f t="shared" si="5"/>
        <v>0</v>
      </c>
      <c r="E125" s="260"/>
      <c r="F125" s="260"/>
      <c r="G125" s="260"/>
      <c r="H125" s="260"/>
      <c r="I125" s="260"/>
      <c r="J125" s="260"/>
      <c r="K125" s="260"/>
      <c r="L125" s="260"/>
      <c r="M125" s="260"/>
      <c r="N125" s="260"/>
      <c r="O125" s="260"/>
      <c r="P125" s="260"/>
      <c r="Q125" s="260"/>
      <c r="R125" s="260"/>
      <c r="S125" s="260"/>
      <c r="T125" s="260"/>
      <c r="U125" s="260"/>
      <c r="V125" s="260"/>
      <c r="W125" s="260"/>
      <c r="X125" s="260"/>
      <c r="Y125" s="260"/>
      <c r="Z125" s="260"/>
      <c r="AA125" s="260"/>
      <c r="AB125" s="260"/>
      <c r="AC125" s="260"/>
      <c r="AD125" s="260"/>
      <c r="AE125" s="260"/>
      <c r="AF125" s="260"/>
      <c r="AG125" s="260"/>
      <c r="AH125" s="260"/>
      <c r="AI125" s="264"/>
      <c r="AK125" s="256"/>
    </row>
    <row r="126" spans="2:37" ht="18" hidden="1" customHeight="1">
      <c r="B126" s="270" t="s">
        <v>227</v>
      </c>
      <c r="C126" s="263" t="s">
        <v>228</v>
      </c>
      <c r="D126" s="253">
        <f t="shared" si="5"/>
        <v>0</v>
      </c>
      <c r="E126" s="260"/>
      <c r="F126" s="260"/>
      <c r="G126" s="260"/>
      <c r="H126" s="260"/>
      <c r="I126" s="260"/>
      <c r="J126" s="260"/>
      <c r="K126" s="260"/>
      <c r="L126" s="260"/>
      <c r="M126" s="260"/>
      <c r="N126" s="260"/>
      <c r="O126" s="260"/>
      <c r="P126" s="260"/>
      <c r="Q126" s="260"/>
      <c r="R126" s="260"/>
      <c r="S126" s="260"/>
      <c r="T126" s="260"/>
      <c r="U126" s="260"/>
      <c r="V126" s="260"/>
      <c r="W126" s="260"/>
      <c r="X126" s="260"/>
      <c r="Y126" s="260"/>
      <c r="Z126" s="260"/>
      <c r="AA126" s="260"/>
      <c r="AB126" s="260"/>
      <c r="AC126" s="260"/>
      <c r="AD126" s="260"/>
      <c r="AE126" s="260"/>
      <c r="AF126" s="260"/>
      <c r="AG126" s="260"/>
      <c r="AH126" s="260"/>
      <c r="AI126" s="264"/>
      <c r="AK126" s="256">
        <f t="shared" si="4"/>
        <v>0</v>
      </c>
    </row>
    <row r="127" spans="2:37" ht="18" hidden="1" customHeight="1">
      <c r="B127" s="270" t="s">
        <v>229</v>
      </c>
      <c r="C127" s="263" t="s">
        <v>228</v>
      </c>
      <c r="D127" s="253">
        <f t="shared" si="5"/>
        <v>0</v>
      </c>
      <c r="E127" s="260"/>
      <c r="F127" s="260"/>
      <c r="G127" s="260"/>
      <c r="H127" s="260"/>
      <c r="I127" s="260"/>
      <c r="J127" s="260"/>
      <c r="K127" s="260"/>
      <c r="L127" s="260"/>
      <c r="M127" s="260"/>
      <c r="N127" s="260"/>
      <c r="O127" s="260"/>
      <c r="P127" s="260"/>
      <c r="Q127" s="260"/>
      <c r="R127" s="260"/>
      <c r="S127" s="260"/>
      <c r="T127" s="260"/>
      <c r="U127" s="260"/>
      <c r="V127" s="260"/>
      <c r="W127" s="260"/>
      <c r="X127" s="260"/>
      <c r="Y127" s="260"/>
      <c r="Z127" s="260"/>
      <c r="AA127" s="260"/>
      <c r="AB127" s="260"/>
      <c r="AC127" s="260"/>
      <c r="AD127" s="260"/>
      <c r="AE127" s="260"/>
      <c r="AF127" s="260"/>
      <c r="AG127" s="260"/>
      <c r="AH127" s="260"/>
      <c r="AI127" s="264"/>
      <c r="AK127" s="256">
        <f t="shared" si="4"/>
        <v>0</v>
      </c>
    </row>
    <row r="128" spans="2:37" ht="18" hidden="1" customHeight="1">
      <c r="B128" s="270" t="s">
        <v>230</v>
      </c>
      <c r="C128" s="263" t="s">
        <v>231</v>
      </c>
      <c r="D128" s="253">
        <f t="shared" si="5"/>
        <v>0</v>
      </c>
      <c r="E128" s="260"/>
      <c r="F128" s="260"/>
      <c r="G128" s="260"/>
      <c r="H128" s="260"/>
      <c r="I128" s="260"/>
      <c r="J128" s="260"/>
      <c r="K128" s="260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260"/>
      <c r="W128" s="260"/>
      <c r="X128" s="260"/>
      <c r="Y128" s="260"/>
      <c r="Z128" s="260"/>
      <c r="AA128" s="260"/>
      <c r="AB128" s="260"/>
      <c r="AC128" s="260"/>
      <c r="AD128" s="260"/>
      <c r="AE128" s="260"/>
      <c r="AF128" s="260"/>
      <c r="AG128" s="260"/>
      <c r="AH128" s="260"/>
      <c r="AI128" s="264"/>
      <c r="AK128" s="256">
        <f t="shared" si="4"/>
        <v>0</v>
      </c>
    </row>
    <row r="129" spans="2:37" ht="18" hidden="1" customHeight="1">
      <c r="B129" s="270" t="s">
        <v>232</v>
      </c>
      <c r="C129" s="263" t="s">
        <v>233</v>
      </c>
      <c r="D129" s="253">
        <f t="shared" si="5"/>
        <v>0</v>
      </c>
      <c r="E129" s="260"/>
      <c r="F129" s="260"/>
      <c r="G129" s="260"/>
      <c r="H129" s="260"/>
      <c r="I129" s="260"/>
      <c r="J129" s="260"/>
      <c r="K129" s="260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260"/>
      <c r="W129" s="260"/>
      <c r="X129" s="260"/>
      <c r="Y129" s="260"/>
      <c r="Z129" s="260"/>
      <c r="AA129" s="260"/>
      <c r="AB129" s="260"/>
      <c r="AC129" s="260"/>
      <c r="AD129" s="260"/>
      <c r="AE129" s="260"/>
      <c r="AF129" s="260"/>
      <c r="AG129" s="260"/>
      <c r="AH129" s="260"/>
      <c r="AI129" s="264"/>
      <c r="AK129" s="256">
        <f t="shared" si="4"/>
        <v>0</v>
      </c>
    </row>
    <row r="130" spans="2:37" ht="18" hidden="1" customHeight="1">
      <c r="B130" s="270" t="s">
        <v>234</v>
      </c>
      <c r="C130" s="263" t="s">
        <v>233</v>
      </c>
      <c r="D130" s="253">
        <f t="shared" si="5"/>
        <v>0</v>
      </c>
      <c r="E130" s="260"/>
      <c r="F130" s="260"/>
      <c r="G130" s="260"/>
      <c r="H130" s="260"/>
      <c r="I130" s="260"/>
      <c r="J130" s="260"/>
      <c r="K130" s="260"/>
      <c r="L130" s="260"/>
      <c r="M130" s="260"/>
      <c r="N130" s="260"/>
      <c r="O130" s="260"/>
      <c r="P130" s="260"/>
      <c r="Q130" s="260"/>
      <c r="R130" s="260"/>
      <c r="S130" s="260"/>
      <c r="T130" s="260"/>
      <c r="U130" s="260"/>
      <c r="V130" s="260"/>
      <c r="W130" s="260"/>
      <c r="X130" s="260"/>
      <c r="Y130" s="260"/>
      <c r="Z130" s="260"/>
      <c r="AA130" s="260"/>
      <c r="AB130" s="260"/>
      <c r="AC130" s="260"/>
      <c r="AD130" s="260"/>
      <c r="AE130" s="260"/>
      <c r="AF130" s="260"/>
      <c r="AG130" s="260"/>
      <c r="AH130" s="260"/>
      <c r="AI130" s="264"/>
      <c r="AK130" s="256"/>
    </row>
    <row r="131" spans="2:37" ht="18" hidden="1" customHeight="1">
      <c r="B131" s="270" t="s">
        <v>235</v>
      </c>
      <c r="C131" s="263" t="s">
        <v>236</v>
      </c>
      <c r="D131" s="253">
        <f t="shared" si="5"/>
        <v>0</v>
      </c>
      <c r="E131" s="260"/>
      <c r="F131" s="260"/>
      <c r="G131" s="260"/>
      <c r="H131" s="260"/>
      <c r="I131" s="260"/>
      <c r="J131" s="260"/>
      <c r="K131" s="260"/>
      <c r="L131" s="260"/>
      <c r="M131" s="260"/>
      <c r="N131" s="260"/>
      <c r="O131" s="260"/>
      <c r="P131" s="260"/>
      <c r="Q131" s="260"/>
      <c r="R131" s="260"/>
      <c r="S131" s="260"/>
      <c r="T131" s="260"/>
      <c r="U131" s="260"/>
      <c r="V131" s="260"/>
      <c r="W131" s="260"/>
      <c r="X131" s="260"/>
      <c r="Y131" s="260"/>
      <c r="Z131" s="260"/>
      <c r="AA131" s="260"/>
      <c r="AB131" s="260"/>
      <c r="AC131" s="260"/>
      <c r="AD131" s="260"/>
      <c r="AE131" s="260"/>
      <c r="AF131" s="260"/>
      <c r="AG131" s="260"/>
      <c r="AH131" s="260"/>
      <c r="AI131" s="264"/>
      <c r="AK131" s="256">
        <f t="shared" si="4"/>
        <v>0</v>
      </c>
    </row>
    <row r="132" spans="2:37" ht="18" hidden="1" customHeight="1">
      <c r="B132" s="270" t="s">
        <v>237</v>
      </c>
      <c r="C132" s="263" t="s">
        <v>236</v>
      </c>
      <c r="D132" s="253">
        <f t="shared" si="5"/>
        <v>0</v>
      </c>
      <c r="E132" s="260"/>
      <c r="F132" s="260"/>
      <c r="G132" s="260"/>
      <c r="H132" s="260"/>
      <c r="I132" s="260"/>
      <c r="J132" s="260"/>
      <c r="K132" s="260"/>
      <c r="L132" s="260"/>
      <c r="M132" s="260"/>
      <c r="N132" s="260"/>
      <c r="O132" s="260"/>
      <c r="P132" s="260"/>
      <c r="Q132" s="260"/>
      <c r="R132" s="260"/>
      <c r="S132" s="260"/>
      <c r="T132" s="260"/>
      <c r="U132" s="260"/>
      <c r="V132" s="260"/>
      <c r="W132" s="260"/>
      <c r="X132" s="260"/>
      <c r="Y132" s="260"/>
      <c r="Z132" s="260"/>
      <c r="AA132" s="260"/>
      <c r="AB132" s="260"/>
      <c r="AC132" s="260"/>
      <c r="AD132" s="260"/>
      <c r="AE132" s="260"/>
      <c r="AF132" s="260"/>
      <c r="AG132" s="260"/>
      <c r="AH132" s="260"/>
      <c r="AI132" s="264"/>
      <c r="AK132" s="256">
        <f t="shared" si="4"/>
        <v>0</v>
      </c>
    </row>
    <row r="133" spans="2:37" ht="18" hidden="1" customHeight="1">
      <c r="B133" s="270" t="s">
        <v>238</v>
      </c>
      <c r="C133" s="263" t="s">
        <v>239</v>
      </c>
      <c r="D133" s="253">
        <f t="shared" si="5"/>
        <v>0</v>
      </c>
      <c r="E133" s="260"/>
      <c r="F133" s="260"/>
      <c r="G133" s="260"/>
      <c r="H133" s="260"/>
      <c r="I133" s="260"/>
      <c r="J133" s="260"/>
      <c r="K133" s="260"/>
      <c r="L133" s="260"/>
      <c r="M133" s="260"/>
      <c r="N133" s="260"/>
      <c r="O133" s="260"/>
      <c r="P133" s="260"/>
      <c r="Q133" s="260"/>
      <c r="R133" s="260"/>
      <c r="S133" s="260"/>
      <c r="T133" s="260"/>
      <c r="U133" s="260"/>
      <c r="V133" s="260"/>
      <c r="W133" s="260"/>
      <c r="X133" s="260"/>
      <c r="Y133" s="260"/>
      <c r="Z133" s="260"/>
      <c r="AA133" s="260"/>
      <c r="AB133" s="260"/>
      <c r="AC133" s="260"/>
      <c r="AD133" s="260"/>
      <c r="AE133" s="260"/>
      <c r="AF133" s="260"/>
      <c r="AG133" s="260"/>
      <c r="AH133" s="260"/>
      <c r="AI133" s="264"/>
      <c r="AK133" s="256">
        <f t="shared" si="4"/>
        <v>0</v>
      </c>
    </row>
    <row r="134" spans="2:37" ht="18" hidden="1" customHeight="1">
      <c r="B134" s="270" t="s">
        <v>240</v>
      </c>
      <c r="C134" s="263" t="s">
        <v>239</v>
      </c>
      <c r="D134" s="253">
        <f t="shared" ref="D134:D199" si="6">SUM(E134:AI134)</f>
        <v>0</v>
      </c>
      <c r="E134" s="260"/>
      <c r="F134" s="260"/>
      <c r="G134" s="260"/>
      <c r="H134" s="260"/>
      <c r="I134" s="260"/>
      <c r="J134" s="260"/>
      <c r="K134" s="260"/>
      <c r="L134" s="260"/>
      <c r="M134" s="260"/>
      <c r="N134" s="260"/>
      <c r="O134" s="260"/>
      <c r="P134" s="260"/>
      <c r="Q134" s="260"/>
      <c r="R134" s="260"/>
      <c r="S134" s="260"/>
      <c r="T134" s="260"/>
      <c r="U134" s="260"/>
      <c r="V134" s="260"/>
      <c r="W134" s="260"/>
      <c r="X134" s="260"/>
      <c r="Y134" s="260"/>
      <c r="Z134" s="260"/>
      <c r="AA134" s="260"/>
      <c r="AB134" s="260"/>
      <c r="AC134" s="260"/>
      <c r="AD134" s="260"/>
      <c r="AE134" s="260"/>
      <c r="AF134" s="260"/>
      <c r="AG134" s="260"/>
      <c r="AH134" s="260"/>
      <c r="AI134" s="264"/>
      <c r="AK134" s="256">
        <f t="shared" si="4"/>
        <v>0</v>
      </c>
    </row>
    <row r="135" spans="2:37" ht="18" hidden="1" customHeight="1">
      <c r="B135" s="270" t="s">
        <v>241</v>
      </c>
      <c r="C135" s="263" t="s">
        <v>242</v>
      </c>
      <c r="D135" s="253">
        <f t="shared" si="6"/>
        <v>0</v>
      </c>
      <c r="E135" s="260"/>
      <c r="F135" s="260"/>
      <c r="G135" s="260"/>
      <c r="H135" s="260"/>
      <c r="I135" s="260"/>
      <c r="J135" s="260"/>
      <c r="K135" s="260"/>
      <c r="L135" s="260"/>
      <c r="M135" s="260"/>
      <c r="N135" s="260"/>
      <c r="O135" s="260"/>
      <c r="P135" s="260"/>
      <c r="Q135" s="260"/>
      <c r="R135" s="260"/>
      <c r="S135" s="260"/>
      <c r="T135" s="260"/>
      <c r="U135" s="260"/>
      <c r="V135" s="260"/>
      <c r="W135" s="260"/>
      <c r="X135" s="260"/>
      <c r="Y135" s="260"/>
      <c r="Z135" s="260"/>
      <c r="AA135" s="260"/>
      <c r="AB135" s="260"/>
      <c r="AC135" s="260"/>
      <c r="AD135" s="260"/>
      <c r="AE135" s="260"/>
      <c r="AF135" s="260"/>
      <c r="AG135" s="260"/>
      <c r="AH135" s="260"/>
      <c r="AI135" s="264"/>
      <c r="AK135" s="256">
        <f t="shared" ref="AK135:AK206" si="7">+D135-AJ135</f>
        <v>0</v>
      </c>
    </row>
    <row r="136" spans="2:37" ht="18" hidden="1" customHeight="1">
      <c r="B136" s="270" t="s">
        <v>243</v>
      </c>
      <c r="C136" s="263" t="s">
        <v>244</v>
      </c>
      <c r="D136" s="253">
        <f t="shared" si="6"/>
        <v>0</v>
      </c>
      <c r="E136" s="260"/>
      <c r="F136" s="260"/>
      <c r="G136" s="260"/>
      <c r="H136" s="260"/>
      <c r="I136" s="260"/>
      <c r="J136" s="260"/>
      <c r="K136" s="260"/>
      <c r="L136" s="260"/>
      <c r="M136" s="260"/>
      <c r="N136" s="260"/>
      <c r="O136" s="260"/>
      <c r="P136" s="260"/>
      <c r="Q136" s="260"/>
      <c r="R136" s="260"/>
      <c r="S136" s="260"/>
      <c r="T136" s="260"/>
      <c r="U136" s="260"/>
      <c r="V136" s="260"/>
      <c r="W136" s="260"/>
      <c r="X136" s="260"/>
      <c r="Y136" s="260"/>
      <c r="Z136" s="260"/>
      <c r="AA136" s="260"/>
      <c r="AB136" s="260"/>
      <c r="AC136" s="260"/>
      <c r="AD136" s="260"/>
      <c r="AE136" s="260"/>
      <c r="AF136" s="260"/>
      <c r="AG136" s="260"/>
      <c r="AH136" s="260"/>
      <c r="AI136" s="264"/>
      <c r="AK136" s="256">
        <f t="shared" si="7"/>
        <v>0</v>
      </c>
    </row>
    <row r="137" spans="2:37" ht="18" hidden="1" customHeight="1">
      <c r="B137" s="270" t="s">
        <v>245</v>
      </c>
      <c r="C137" s="263" t="s">
        <v>246</v>
      </c>
      <c r="D137" s="253">
        <f t="shared" si="6"/>
        <v>0</v>
      </c>
      <c r="E137" s="260"/>
      <c r="F137" s="260"/>
      <c r="G137" s="260"/>
      <c r="H137" s="260"/>
      <c r="I137" s="260"/>
      <c r="J137" s="260"/>
      <c r="K137" s="260"/>
      <c r="L137" s="260"/>
      <c r="M137" s="260"/>
      <c r="N137" s="260"/>
      <c r="O137" s="260"/>
      <c r="P137" s="260"/>
      <c r="Q137" s="260"/>
      <c r="R137" s="260"/>
      <c r="S137" s="260"/>
      <c r="T137" s="260"/>
      <c r="U137" s="260"/>
      <c r="V137" s="260"/>
      <c r="W137" s="260"/>
      <c r="X137" s="260"/>
      <c r="Y137" s="260"/>
      <c r="Z137" s="260"/>
      <c r="AA137" s="260"/>
      <c r="AB137" s="260"/>
      <c r="AC137" s="260"/>
      <c r="AD137" s="260"/>
      <c r="AE137" s="260"/>
      <c r="AF137" s="260"/>
      <c r="AG137" s="260"/>
      <c r="AH137" s="260"/>
      <c r="AI137" s="264"/>
      <c r="AK137" s="256">
        <f t="shared" si="7"/>
        <v>0</v>
      </c>
    </row>
    <row r="138" spans="2:37" ht="18" hidden="1" customHeight="1">
      <c r="B138" s="270" t="s">
        <v>247</v>
      </c>
      <c r="C138" s="263" t="s">
        <v>248</v>
      </c>
      <c r="D138" s="253">
        <f t="shared" si="6"/>
        <v>0</v>
      </c>
      <c r="E138" s="260"/>
      <c r="F138" s="260"/>
      <c r="G138" s="260"/>
      <c r="H138" s="260"/>
      <c r="I138" s="260"/>
      <c r="J138" s="260"/>
      <c r="K138" s="260"/>
      <c r="L138" s="260"/>
      <c r="M138" s="260"/>
      <c r="N138" s="260"/>
      <c r="O138" s="260"/>
      <c r="P138" s="260"/>
      <c r="Q138" s="260"/>
      <c r="R138" s="260"/>
      <c r="S138" s="260"/>
      <c r="T138" s="260"/>
      <c r="U138" s="260"/>
      <c r="V138" s="260"/>
      <c r="W138" s="260"/>
      <c r="X138" s="260"/>
      <c r="Y138" s="260"/>
      <c r="Z138" s="260"/>
      <c r="AA138" s="260"/>
      <c r="AB138" s="260"/>
      <c r="AC138" s="260"/>
      <c r="AD138" s="260"/>
      <c r="AE138" s="260"/>
      <c r="AF138" s="260"/>
      <c r="AG138" s="260"/>
      <c r="AH138" s="260"/>
      <c r="AI138" s="264"/>
      <c r="AK138" s="256">
        <f t="shared" si="7"/>
        <v>0</v>
      </c>
    </row>
    <row r="139" spans="2:37" ht="18" hidden="1" customHeight="1">
      <c r="B139" s="270" t="s">
        <v>249</v>
      </c>
      <c r="C139" s="263" t="s">
        <v>250</v>
      </c>
      <c r="D139" s="253">
        <f t="shared" si="6"/>
        <v>0</v>
      </c>
      <c r="E139" s="260"/>
      <c r="F139" s="260"/>
      <c r="G139" s="260"/>
      <c r="H139" s="260"/>
      <c r="I139" s="260"/>
      <c r="J139" s="260"/>
      <c r="K139" s="260"/>
      <c r="L139" s="260"/>
      <c r="M139" s="260"/>
      <c r="N139" s="260"/>
      <c r="O139" s="260"/>
      <c r="P139" s="260"/>
      <c r="Q139" s="260"/>
      <c r="R139" s="260"/>
      <c r="S139" s="260"/>
      <c r="T139" s="260"/>
      <c r="U139" s="260"/>
      <c r="V139" s="260"/>
      <c r="W139" s="260"/>
      <c r="X139" s="260"/>
      <c r="Y139" s="260"/>
      <c r="Z139" s="260"/>
      <c r="AA139" s="260"/>
      <c r="AB139" s="260"/>
      <c r="AC139" s="260"/>
      <c r="AD139" s="260"/>
      <c r="AE139" s="260"/>
      <c r="AF139" s="260"/>
      <c r="AG139" s="260"/>
      <c r="AH139" s="260"/>
      <c r="AI139" s="264"/>
      <c r="AK139" s="256">
        <f t="shared" si="7"/>
        <v>0</v>
      </c>
    </row>
    <row r="140" spans="2:37" ht="18" hidden="1" customHeight="1">
      <c r="B140" s="270" t="s">
        <v>251</v>
      </c>
      <c r="C140" s="263" t="s">
        <v>252</v>
      </c>
      <c r="D140" s="253">
        <f t="shared" si="6"/>
        <v>0</v>
      </c>
      <c r="E140" s="260"/>
      <c r="F140" s="260"/>
      <c r="G140" s="260"/>
      <c r="H140" s="260"/>
      <c r="I140" s="260"/>
      <c r="J140" s="260"/>
      <c r="K140" s="260"/>
      <c r="L140" s="260"/>
      <c r="M140" s="260"/>
      <c r="N140" s="260"/>
      <c r="O140" s="260"/>
      <c r="P140" s="260"/>
      <c r="Q140" s="260"/>
      <c r="R140" s="260"/>
      <c r="S140" s="260"/>
      <c r="T140" s="260"/>
      <c r="U140" s="260"/>
      <c r="V140" s="260"/>
      <c r="W140" s="260"/>
      <c r="X140" s="260"/>
      <c r="Y140" s="260"/>
      <c r="Z140" s="260"/>
      <c r="AA140" s="260"/>
      <c r="AB140" s="260"/>
      <c r="AC140" s="260"/>
      <c r="AD140" s="260"/>
      <c r="AE140" s="260"/>
      <c r="AF140" s="260"/>
      <c r="AG140" s="260"/>
      <c r="AH140" s="260"/>
      <c r="AI140" s="264"/>
      <c r="AK140" s="256">
        <f t="shared" si="7"/>
        <v>0</v>
      </c>
    </row>
    <row r="141" spans="2:37" ht="18" hidden="1" customHeight="1">
      <c r="B141" s="270" t="s">
        <v>253</v>
      </c>
      <c r="C141" s="263" t="s">
        <v>254</v>
      </c>
      <c r="D141" s="253">
        <f t="shared" si="6"/>
        <v>0</v>
      </c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60"/>
      <c r="P141" s="260"/>
      <c r="Q141" s="260"/>
      <c r="R141" s="260"/>
      <c r="S141" s="260"/>
      <c r="T141" s="260"/>
      <c r="U141" s="260"/>
      <c r="V141" s="260"/>
      <c r="W141" s="260"/>
      <c r="X141" s="260"/>
      <c r="Y141" s="260"/>
      <c r="Z141" s="260"/>
      <c r="AA141" s="260"/>
      <c r="AB141" s="260"/>
      <c r="AC141" s="260"/>
      <c r="AD141" s="260"/>
      <c r="AE141" s="260"/>
      <c r="AF141" s="260"/>
      <c r="AG141" s="260"/>
      <c r="AH141" s="260"/>
      <c r="AI141" s="264"/>
      <c r="AK141" s="256">
        <f t="shared" si="7"/>
        <v>0</v>
      </c>
    </row>
    <row r="142" spans="2:37" ht="18" hidden="1" customHeight="1">
      <c r="B142" s="270" t="s">
        <v>255</v>
      </c>
      <c r="C142" s="263" t="s">
        <v>256</v>
      </c>
      <c r="D142" s="253">
        <f t="shared" si="6"/>
        <v>0</v>
      </c>
      <c r="E142" s="260"/>
      <c r="F142" s="260"/>
      <c r="G142" s="260"/>
      <c r="H142" s="260"/>
      <c r="I142" s="260"/>
      <c r="J142" s="260"/>
      <c r="K142" s="260"/>
      <c r="L142" s="260"/>
      <c r="M142" s="260"/>
      <c r="N142" s="260"/>
      <c r="O142" s="260"/>
      <c r="P142" s="260"/>
      <c r="Q142" s="260"/>
      <c r="R142" s="260"/>
      <c r="S142" s="260"/>
      <c r="T142" s="260"/>
      <c r="U142" s="260"/>
      <c r="V142" s="260"/>
      <c r="W142" s="260"/>
      <c r="X142" s="260"/>
      <c r="Y142" s="260"/>
      <c r="Z142" s="260"/>
      <c r="AA142" s="260"/>
      <c r="AB142" s="260"/>
      <c r="AC142" s="260"/>
      <c r="AD142" s="260"/>
      <c r="AE142" s="260"/>
      <c r="AF142" s="260"/>
      <c r="AG142" s="260"/>
      <c r="AH142" s="260"/>
      <c r="AI142" s="264"/>
      <c r="AK142" s="256">
        <f t="shared" si="7"/>
        <v>0</v>
      </c>
    </row>
    <row r="143" spans="2:37" ht="18" hidden="1" customHeight="1">
      <c r="B143" s="270" t="s">
        <v>257</v>
      </c>
      <c r="C143" s="263" t="s">
        <v>258</v>
      </c>
      <c r="D143" s="253">
        <f t="shared" si="6"/>
        <v>0</v>
      </c>
      <c r="E143" s="260"/>
      <c r="F143" s="260"/>
      <c r="G143" s="260"/>
      <c r="H143" s="260"/>
      <c r="I143" s="260"/>
      <c r="J143" s="260"/>
      <c r="K143" s="260"/>
      <c r="L143" s="260"/>
      <c r="M143" s="260"/>
      <c r="N143" s="260"/>
      <c r="O143" s="260"/>
      <c r="P143" s="260"/>
      <c r="Q143" s="260"/>
      <c r="R143" s="260"/>
      <c r="S143" s="260"/>
      <c r="T143" s="260"/>
      <c r="U143" s="260"/>
      <c r="V143" s="260"/>
      <c r="W143" s="260"/>
      <c r="X143" s="260"/>
      <c r="Y143" s="260"/>
      <c r="Z143" s="260"/>
      <c r="AA143" s="260"/>
      <c r="AB143" s="260"/>
      <c r="AC143" s="260"/>
      <c r="AD143" s="260"/>
      <c r="AE143" s="260"/>
      <c r="AF143" s="260"/>
      <c r="AG143" s="260"/>
      <c r="AH143" s="260"/>
      <c r="AI143" s="264"/>
      <c r="AK143" s="256">
        <f t="shared" si="7"/>
        <v>0</v>
      </c>
    </row>
    <row r="144" spans="2:37" ht="18" hidden="1" customHeight="1">
      <c r="B144" s="270" t="s">
        <v>259</v>
      </c>
      <c r="C144" s="263" t="s">
        <v>260</v>
      </c>
      <c r="D144" s="253">
        <f t="shared" si="6"/>
        <v>0</v>
      </c>
      <c r="E144" s="260"/>
      <c r="F144" s="260"/>
      <c r="G144" s="260"/>
      <c r="H144" s="260"/>
      <c r="I144" s="260"/>
      <c r="J144" s="260"/>
      <c r="K144" s="260"/>
      <c r="L144" s="260"/>
      <c r="M144" s="260"/>
      <c r="N144" s="260"/>
      <c r="O144" s="260"/>
      <c r="P144" s="260"/>
      <c r="Q144" s="260"/>
      <c r="R144" s="260"/>
      <c r="S144" s="260"/>
      <c r="T144" s="260"/>
      <c r="U144" s="260"/>
      <c r="V144" s="260"/>
      <c r="W144" s="260"/>
      <c r="X144" s="260"/>
      <c r="Y144" s="260"/>
      <c r="Z144" s="260"/>
      <c r="AA144" s="260"/>
      <c r="AB144" s="260"/>
      <c r="AC144" s="260"/>
      <c r="AD144" s="260"/>
      <c r="AE144" s="260"/>
      <c r="AF144" s="260"/>
      <c r="AG144" s="260"/>
      <c r="AH144" s="260"/>
      <c r="AI144" s="264"/>
      <c r="AK144" s="256">
        <f t="shared" si="7"/>
        <v>0</v>
      </c>
    </row>
    <row r="145" spans="2:37" ht="18" hidden="1" customHeight="1">
      <c r="B145" s="270" t="s">
        <v>261</v>
      </c>
      <c r="C145" s="263" t="s">
        <v>260</v>
      </c>
      <c r="D145" s="253">
        <f t="shared" si="6"/>
        <v>0</v>
      </c>
      <c r="E145" s="260"/>
      <c r="F145" s="260"/>
      <c r="G145" s="260"/>
      <c r="H145" s="260"/>
      <c r="I145" s="260"/>
      <c r="J145" s="260"/>
      <c r="K145" s="260"/>
      <c r="L145" s="260"/>
      <c r="M145" s="260"/>
      <c r="N145" s="260"/>
      <c r="O145" s="260"/>
      <c r="P145" s="260"/>
      <c r="Q145" s="260"/>
      <c r="R145" s="260"/>
      <c r="S145" s="260"/>
      <c r="T145" s="260"/>
      <c r="U145" s="260"/>
      <c r="V145" s="260"/>
      <c r="W145" s="260"/>
      <c r="X145" s="260"/>
      <c r="Y145" s="260"/>
      <c r="Z145" s="260"/>
      <c r="AA145" s="260"/>
      <c r="AB145" s="260"/>
      <c r="AC145" s="260"/>
      <c r="AD145" s="260"/>
      <c r="AE145" s="260"/>
      <c r="AF145" s="260"/>
      <c r="AG145" s="260"/>
      <c r="AH145" s="260"/>
      <c r="AI145" s="264"/>
      <c r="AK145" s="256">
        <f t="shared" si="7"/>
        <v>0</v>
      </c>
    </row>
    <row r="146" spans="2:37" ht="18" hidden="1" customHeight="1">
      <c r="B146" s="270" t="s">
        <v>262</v>
      </c>
      <c r="C146" s="263" t="s">
        <v>263</v>
      </c>
      <c r="D146" s="253">
        <f t="shared" si="6"/>
        <v>0</v>
      </c>
      <c r="E146" s="260"/>
      <c r="F146" s="260"/>
      <c r="G146" s="260"/>
      <c r="H146" s="260"/>
      <c r="I146" s="260"/>
      <c r="J146" s="260"/>
      <c r="K146" s="260"/>
      <c r="L146" s="260"/>
      <c r="M146" s="260"/>
      <c r="N146" s="260"/>
      <c r="O146" s="260"/>
      <c r="P146" s="260"/>
      <c r="Q146" s="260"/>
      <c r="R146" s="260"/>
      <c r="S146" s="260"/>
      <c r="T146" s="260"/>
      <c r="U146" s="260"/>
      <c r="V146" s="260"/>
      <c r="W146" s="260"/>
      <c r="X146" s="260"/>
      <c r="Y146" s="260"/>
      <c r="Z146" s="260"/>
      <c r="AA146" s="260"/>
      <c r="AB146" s="260"/>
      <c r="AC146" s="260"/>
      <c r="AD146" s="260"/>
      <c r="AE146" s="260"/>
      <c r="AF146" s="260"/>
      <c r="AG146" s="260"/>
      <c r="AH146" s="260"/>
      <c r="AI146" s="264"/>
      <c r="AK146" s="256">
        <f t="shared" si="7"/>
        <v>0</v>
      </c>
    </row>
    <row r="147" spans="2:37" ht="18" hidden="1" customHeight="1">
      <c r="B147" s="270" t="s">
        <v>264</v>
      </c>
      <c r="C147" s="263" t="s">
        <v>265</v>
      </c>
      <c r="D147" s="253">
        <f t="shared" si="6"/>
        <v>0</v>
      </c>
      <c r="E147" s="260"/>
      <c r="F147" s="260"/>
      <c r="G147" s="260"/>
      <c r="H147" s="260"/>
      <c r="I147" s="260"/>
      <c r="J147" s="260"/>
      <c r="K147" s="260"/>
      <c r="L147" s="260"/>
      <c r="M147" s="260"/>
      <c r="N147" s="260"/>
      <c r="O147" s="260"/>
      <c r="P147" s="260"/>
      <c r="Q147" s="260"/>
      <c r="R147" s="260"/>
      <c r="S147" s="260"/>
      <c r="T147" s="260"/>
      <c r="U147" s="260"/>
      <c r="V147" s="260"/>
      <c r="W147" s="260"/>
      <c r="X147" s="260"/>
      <c r="Y147" s="260"/>
      <c r="Z147" s="260"/>
      <c r="AA147" s="260"/>
      <c r="AB147" s="260"/>
      <c r="AC147" s="260"/>
      <c r="AD147" s="260"/>
      <c r="AE147" s="260"/>
      <c r="AF147" s="260"/>
      <c r="AG147" s="260"/>
      <c r="AH147" s="260"/>
      <c r="AI147" s="264"/>
      <c r="AK147" s="256">
        <f t="shared" si="7"/>
        <v>0</v>
      </c>
    </row>
    <row r="148" spans="2:37" ht="18" hidden="1" customHeight="1">
      <c r="B148" s="270" t="s">
        <v>266</v>
      </c>
      <c r="C148" s="263" t="s">
        <v>265</v>
      </c>
      <c r="D148" s="253">
        <f t="shared" si="6"/>
        <v>0</v>
      </c>
      <c r="E148" s="260"/>
      <c r="F148" s="260"/>
      <c r="G148" s="260"/>
      <c r="H148" s="260"/>
      <c r="I148" s="260"/>
      <c r="J148" s="260"/>
      <c r="K148" s="260"/>
      <c r="L148" s="260"/>
      <c r="M148" s="260"/>
      <c r="N148" s="260"/>
      <c r="O148" s="260"/>
      <c r="P148" s="260"/>
      <c r="Q148" s="260"/>
      <c r="R148" s="260"/>
      <c r="S148" s="260"/>
      <c r="T148" s="260"/>
      <c r="U148" s="260"/>
      <c r="V148" s="260"/>
      <c r="W148" s="260"/>
      <c r="X148" s="260"/>
      <c r="Y148" s="260"/>
      <c r="Z148" s="260"/>
      <c r="AA148" s="260"/>
      <c r="AB148" s="260"/>
      <c r="AC148" s="260"/>
      <c r="AD148" s="260"/>
      <c r="AE148" s="260"/>
      <c r="AF148" s="260"/>
      <c r="AG148" s="260"/>
      <c r="AH148" s="260"/>
      <c r="AI148" s="264"/>
      <c r="AK148" s="256">
        <f t="shared" si="7"/>
        <v>0</v>
      </c>
    </row>
    <row r="149" spans="2:37" ht="18" hidden="1" customHeight="1">
      <c r="B149" s="270" t="s">
        <v>267</v>
      </c>
      <c r="C149" s="263" t="s">
        <v>268</v>
      </c>
      <c r="D149" s="253">
        <f t="shared" si="6"/>
        <v>0</v>
      </c>
      <c r="E149" s="260"/>
      <c r="F149" s="260"/>
      <c r="G149" s="260"/>
      <c r="H149" s="260"/>
      <c r="I149" s="260"/>
      <c r="J149" s="260"/>
      <c r="K149" s="260"/>
      <c r="L149" s="260"/>
      <c r="M149" s="260"/>
      <c r="N149" s="260"/>
      <c r="O149" s="260"/>
      <c r="P149" s="260"/>
      <c r="Q149" s="260"/>
      <c r="R149" s="260"/>
      <c r="S149" s="260"/>
      <c r="T149" s="260"/>
      <c r="U149" s="260"/>
      <c r="V149" s="260"/>
      <c r="W149" s="260"/>
      <c r="X149" s="260"/>
      <c r="Y149" s="260"/>
      <c r="Z149" s="260"/>
      <c r="AA149" s="260"/>
      <c r="AB149" s="260"/>
      <c r="AC149" s="260"/>
      <c r="AD149" s="260"/>
      <c r="AE149" s="260"/>
      <c r="AF149" s="260"/>
      <c r="AG149" s="260"/>
      <c r="AH149" s="260"/>
      <c r="AI149" s="264"/>
      <c r="AK149" s="256">
        <f t="shared" si="7"/>
        <v>0</v>
      </c>
    </row>
    <row r="150" spans="2:37" ht="18" hidden="1" customHeight="1">
      <c r="B150" s="270" t="s">
        <v>269</v>
      </c>
      <c r="C150" s="263" t="s">
        <v>268</v>
      </c>
      <c r="D150" s="253">
        <f t="shared" si="6"/>
        <v>0</v>
      </c>
      <c r="E150" s="260"/>
      <c r="F150" s="260"/>
      <c r="G150" s="260"/>
      <c r="H150" s="260"/>
      <c r="I150" s="260"/>
      <c r="J150" s="260"/>
      <c r="K150" s="260"/>
      <c r="L150" s="260"/>
      <c r="M150" s="260"/>
      <c r="N150" s="260"/>
      <c r="O150" s="260"/>
      <c r="P150" s="260"/>
      <c r="Q150" s="260"/>
      <c r="R150" s="260"/>
      <c r="S150" s="260"/>
      <c r="T150" s="260"/>
      <c r="U150" s="260"/>
      <c r="V150" s="260"/>
      <c r="W150" s="260"/>
      <c r="X150" s="260"/>
      <c r="Y150" s="260"/>
      <c r="Z150" s="260"/>
      <c r="AA150" s="260"/>
      <c r="AB150" s="260"/>
      <c r="AC150" s="260"/>
      <c r="AD150" s="260"/>
      <c r="AE150" s="260"/>
      <c r="AF150" s="260"/>
      <c r="AG150" s="260"/>
      <c r="AH150" s="260"/>
      <c r="AI150" s="264"/>
      <c r="AK150" s="256">
        <f t="shared" si="7"/>
        <v>0</v>
      </c>
    </row>
    <row r="151" spans="2:37" ht="18" hidden="1" customHeight="1">
      <c r="B151" s="270" t="s">
        <v>270</v>
      </c>
      <c r="C151" s="263" t="s">
        <v>271</v>
      </c>
      <c r="D151" s="253">
        <f t="shared" si="6"/>
        <v>0</v>
      </c>
      <c r="E151" s="260"/>
      <c r="F151" s="260"/>
      <c r="G151" s="260"/>
      <c r="H151" s="260"/>
      <c r="I151" s="260"/>
      <c r="J151" s="260"/>
      <c r="K151" s="260"/>
      <c r="L151" s="260"/>
      <c r="M151" s="260"/>
      <c r="N151" s="260"/>
      <c r="O151" s="260"/>
      <c r="P151" s="260"/>
      <c r="Q151" s="260"/>
      <c r="R151" s="260"/>
      <c r="S151" s="260"/>
      <c r="T151" s="260"/>
      <c r="U151" s="260"/>
      <c r="V151" s="260"/>
      <c r="W151" s="260"/>
      <c r="X151" s="260"/>
      <c r="Y151" s="260"/>
      <c r="Z151" s="260"/>
      <c r="AA151" s="260"/>
      <c r="AB151" s="260"/>
      <c r="AC151" s="260"/>
      <c r="AD151" s="260"/>
      <c r="AE151" s="260"/>
      <c r="AF151" s="260"/>
      <c r="AG151" s="260"/>
      <c r="AH151" s="260"/>
      <c r="AI151" s="264"/>
      <c r="AK151" s="256">
        <f t="shared" si="7"/>
        <v>0</v>
      </c>
    </row>
    <row r="152" spans="2:37" ht="18" hidden="1" customHeight="1">
      <c r="B152" s="270" t="s">
        <v>272</v>
      </c>
      <c r="C152" s="263" t="s">
        <v>273</v>
      </c>
      <c r="D152" s="253">
        <f t="shared" si="6"/>
        <v>0</v>
      </c>
      <c r="E152" s="260"/>
      <c r="F152" s="260"/>
      <c r="G152" s="260"/>
      <c r="H152" s="260"/>
      <c r="I152" s="260"/>
      <c r="J152" s="260"/>
      <c r="K152" s="260"/>
      <c r="L152" s="260"/>
      <c r="M152" s="260"/>
      <c r="N152" s="260"/>
      <c r="O152" s="260"/>
      <c r="P152" s="260"/>
      <c r="Q152" s="260"/>
      <c r="R152" s="260"/>
      <c r="S152" s="260"/>
      <c r="T152" s="260"/>
      <c r="U152" s="260"/>
      <c r="V152" s="260"/>
      <c r="W152" s="260"/>
      <c r="X152" s="260"/>
      <c r="Y152" s="260"/>
      <c r="Z152" s="260"/>
      <c r="AA152" s="260"/>
      <c r="AB152" s="260"/>
      <c r="AC152" s="260"/>
      <c r="AD152" s="260"/>
      <c r="AE152" s="260"/>
      <c r="AF152" s="260"/>
      <c r="AG152" s="260"/>
      <c r="AH152" s="260"/>
      <c r="AI152" s="264"/>
      <c r="AK152" s="256">
        <f t="shared" si="7"/>
        <v>0</v>
      </c>
    </row>
    <row r="153" spans="2:37" ht="18" hidden="1" customHeight="1">
      <c r="B153" s="270" t="s">
        <v>274</v>
      </c>
      <c r="C153" s="263" t="s">
        <v>275</v>
      </c>
      <c r="D153" s="253">
        <f t="shared" si="6"/>
        <v>0</v>
      </c>
      <c r="E153" s="260"/>
      <c r="F153" s="260"/>
      <c r="G153" s="260"/>
      <c r="H153" s="260"/>
      <c r="I153" s="260"/>
      <c r="J153" s="260"/>
      <c r="K153" s="260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260"/>
      <c r="W153" s="260"/>
      <c r="X153" s="260"/>
      <c r="Y153" s="260"/>
      <c r="Z153" s="260"/>
      <c r="AA153" s="260"/>
      <c r="AB153" s="260"/>
      <c r="AC153" s="260"/>
      <c r="AD153" s="260"/>
      <c r="AE153" s="260"/>
      <c r="AF153" s="260"/>
      <c r="AG153" s="260"/>
      <c r="AH153" s="260"/>
      <c r="AI153" s="264"/>
      <c r="AK153" s="256">
        <f t="shared" si="7"/>
        <v>0</v>
      </c>
    </row>
    <row r="154" spans="2:37" ht="18" hidden="1" customHeight="1">
      <c r="B154" s="270" t="s">
        <v>276</v>
      </c>
      <c r="C154" s="263" t="s">
        <v>275</v>
      </c>
      <c r="D154" s="253">
        <f t="shared" si="6"/>
        <v>0</v>
      </c>
      <c r="E154" s="260"/>
      <c r="F154" s="260"/>
      <c r="G154" s="260"/>
      <c r="H154" s="260"/>
      <c r="I154" s="260"/>
      <c r="J154" s="260"/>
      <c r="K154" s="260"/>
      <c r="L154" s="260"/>
      <c r="M154" s="260"/>
      <c r="N154" s="260"/>
      <c r="O154" s="260"/>
      <c r="P154" s="260"/>
      <c r="Q154" s="260"/>
      <c r="R154" s="260"/>
      <c r="S154" s="260"/>
      <c r="T154" s="260"/>
      <c r="U154" s="260"/>
      <c r="V154" s="260"/>
      <c r="W154" s="260"/>
      <c r="X154" s="260"/>
      <c r="Y154" s="260"/>
      <c r="Z154" s="260"/>
      <c r="AA154" s="260"/>
      <c r="AB154" s="260"/>
      <c r="AC154" s="260"/>
      <c r="AD154" s="260"/>
      <c r="AE154" s="260"/>
      <c r="AF154" s="260"/>
      <c r="AG154" s="260"/>
      <c r="AH154" s="260"/>
      <c r="AI154" s="264"/>
      <c r="AK154" s="256"/>
    </row>
    <row r="155" spans="2:37" ht="18" hidden="1" customHeight="1">
      <c r="B155" s="270" t="s">
        <v>277</v>
      </c>
      <c r="C155" s="263" t="s">
        <v>278</v>
      </c>
      <c r="D155" s="253">
        <f t="shared" si="6"/>
        <v>0</v>
      </c>
      <c r="E155" s="260"/>
      <c r="F155" s="260"/>
      <c r="G155" s="260"/>
      <c r="H155" s="260"/>
      <c r="I155" s="260"/>
      <c r="J155" s="260"/>
      <c r="K155" s="260"/>
      <c r="L155" s="260"/>
      <c r="M155" s="260"/>
      <c r="N155" s="260"/>
      <c r="O155" s="260"/>
      <c r="P155" s="260"/>
      <c r="Q155" s="260"/>
      <c r="R155" s="260"/>
      <c r="S155" s="260"/>
      <c r="T155" s="260"/>
      <c r="U155" s="260"/>
      <c r="V155" s="260"/>
      <c r="W155" s="260"/>
      <c r="X155" s="260"/>
      <c r="Y155" s="260"/>
      <c r="Z155" s="260"/>
      <c r="AA155" s="260"/>
      <c r="AB155" s="260"/>
      <c r="AC155" s="260"/>
      <c r="AD155" s="260"/>
      <c r="AE155" s="260"/>
      <c r="AF155" s="260"/>
      <c r="AG155" s="260"/>
      <c r="AH155" s="260"/>
      <c r="AI155" s="264"/>
      <c r="AK155" s="256">
        <f t="shared" si="7"/>
        <v>0</v>
      </c>
    </row>
    <row r="156" spans="2:37" ht="18" hidden="1" customHeight="1">
      <c r="B156" s="270" t="s">
        <v>279</v>
      </c>
      <c r="C156" s="263" t="s">
        <v>280</v>
      </c>
      <c r="D156" s="253">
        <f t="shared" si="6"/>
        <v>0</v>
      </c>
      <c r="E156" s="260"/>
      <c r="F156" s="260"/>
      <c r="G156" s="260"/>
      <c r="H156" s="260"/>
      <c r="I156" s="260"/>
      <c r="J156" s="260"/>
      <c r="K156" s="260"/>
      <c r="L156" s="260"/>
      <c r="M156" s="260"/>
      <c r="N156" s="260"/>
      <c r="O156" s="260"/>
      <c r="P156" s="260"/>
      <c r="Q156" s="260"/>
      <c r="R156" s="260"/>
      <c r="S156" s="260"/>
      <c r="T156" s="260"/>
      <c r="U156" s="260"/>
      <c r="V156" s="260"/>
      <c r="W156" s="260"/>
      <c r="X156" s="260"/>
      <c r="Y156" s="260"/>
      <c r="Z156" s="260"/>
      <c r="AA156" s="260"/>
      <c r="AB156" s="260"/>
      <c r="AC156" s="260"/>
      <c r="AD156" s="260"/>
      <c r="AE156" s="260"/>
      <c r="AF156" s="260"/>
      <c r="AG156" s="260"/>
      <c r="AH156" s="260"/>
      <c r="AI156" s="264"/>
      <c r="AK156" s="256">
        <f t="shared" si="7"/>
        <v>0</v>
      </c>
    </row>
    <row r="157" spans="2:37" ht="18" hidden="1" customHeight="1">
      <c r="B157" s="270" t="s">
        <v>281</v>
      </c>
      <c r="C157" s="263" t="s">
        <v>280</v>
      </c>
      <c r="D157" s="253">
        <f t="shared" si="6"/>
        <v>0</v>
      </c>
      <c r="E157" s="260"/>
      <c r="F157" s="260"/>
      <c r="G157" s="260"/>
      <c r="H157" s="260"/>
      <c r="I157" s="260"/>
      <c r="J157" s="260"/>
      <c r="K157" s="260"/>
      <c r="L157" s="260"/>
      <c r="M157" s="260"/>
      <c r="N157" s="260"/>
      <c r="O157" s="260"/>
      <c r="P157" s="260"/>
      <c r="Q157" s="260"/>
      <c r="R157" s="260"/>
      <c r="S157" s="260"/>
      <c r="T157" s="260"/>
      <c r="U157" s="260"/>
      <c r="V157" s="260"/>
      <c r="W157" s="260"/>
      <c r="X157" s="260"/>
      <c r="Y157" s="260"/>
      <c r="Z157" s="260"/>
      <c r="AA157" s="260"/>
      <c r="AB157" s="260"/>
      <c r="AC157" s="260"/>
      <c r="AD157" s="260"/>
      <c r="AE157" s="260"/>
      <c r="AF157" s="260"/>
      <c r="AG157" s="260"/>
      <c r="AH157" s="260"/>
      <c r="AI157" s="264"/>
      <c r="AK157" s="256"/>
    </row>
    <row r="158" spans="2:37" ht="18" hidden="1" customHeight="1">
      <c r="B158" s="270" t="s">
        <v>282</v>
      </c>
      <c r="C158" s="263" t="s">
        <v>280</v>
      </c>
      <c r="D158" s="253">
        <f t="shared" si="6"/>
        <v>0</v>
      </c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260"/>
      <c r="W158" s="260"/>
      <c r="X158" s="260"/>
      <c r="Y158" s="260"/>
      <c r="Z158" s="260"/>
      <c r="AA158" s="260"/>
      <c r="AB158" s="260"/>
      <c r="AC158" s="260"/>
      <c r="AD158" s="260"/>
      <c r="AE158" s="260"/>
      <c r="AF158" s="260"/>
      <c r="AG158" s="260"/>
      <c r="AH158" s="260"/>
      <c r="AI158" s="264"/>
      <c r="AK158" s="256"/>
    </row>
    <row r="159" spans="2:37" ht="18" hidden="1" customHeight="1">
      <c r="B159" s="270" t="s">
        <v>283</v>
      </c>
      <c r="C159" s="263" t="s">
        <v>284</v>
      </c>
      <c r="D159" s="253">
        <f t="shared" si="6"/>
        <v>0</v>
      </c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260"/>
      <c r="W159" s="260"/>
      <c r="X159" s="260"/>
      <c r="Y159" s="260"/>
      <c r="Z159" s="260"/>
      <c r="AA159" s="260"/>
      <c r="AB159" s="260"/>
      <c r="AC159" s="260"/>
      <c r="AD159" s="260"/>
      <c r="AE159" s="260"/>
      <c r="AF159" s="260"/>
      <c r="AG159" s="260"/>
      <c r="AH159" s="260"/>
      <c r="AI159" s="264"/>
      <c r="AK159" s="256">
        <f t="shared" si="7"/>
        <v>0</v>
      </c>
    </row>
    <row r="160" spans="2:37" ht="18" hidden="1" customHeight="1">
      <c r="B160" s="270" t="s">
        <v>285</v>
      </c>
      <c r="C160" s="263" t="s">
        <v>286</v>
      </c>
      <c r="D160" s="253">
        <f t="shared" si="6"/>
        <v>0</v>
      </c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260"/>
      <c r="W160" s="260"/>
      <c r="X160" s="260"/>
      <c r="Y160" s="260"/>
      <c r="Z160" s="260"/>
      <c r="AA160" s="260"/>
      <c r="AB160" s="260"/>
      <c r="AC160" s="260"/>
      <c r="AD160" s="260"/>
      <c r="AE160" s="260"/>
      <c r="AF160" s="260"/>
      <c r="AG160" s="260"/>
      <c r="AH160" s="260"/>
      <c r="AI160" s="264"/>
      <c r="AK160" s="256">
        <f t="shared" si="7"/>
        <v>0</v>
      </c>
    </row>
    <row r="161" spans="2:37" ht="18" hidden="1" customHeight="1">
      <c r="B161" s="270" t="s">
        <v>287</v>
      </c>
      <c r="C161" s="263" t="s">
        <v>288</v>
      </c>
      <c r="D161" s="253">
        <f t="shared" si="6"/>
        <v>0</v>
      </c>
      <c r="E161" s="260"/>
      <c r="F161" s="260"/>
      <c r="G161" s="260"/>
      <c r="H161" s="260"/>
      <c r="I161" s="260"/>
      <c r="J161" s="260"/>
      <c r="K161" s="260"/>
      <c r="L161" s="260"/>
      <c r="M161" s="260"/>
      <c r="N161" s="260"/>
      <c r="O161" s="260"/>
      <c r="P161" s="260"/>
      <c r="Q161" s="260"/>
      <c r="R161" s="260"/>
      <c r="S161" s="260"/>
      <c r="T161" s="260"/>
      <c r="U161" s="260"/>
      <c r="V161" s="260"/>
      <c r="W161" s="260"/>
      <c r="X161" s="260"/>
      <c r="Y161" s="260"/>
      <c r="Z161" s="260"/>
      <c r="AA161" s="260"/>
      <c r="AB161" s="260"/>
      <c r="AC161" s="260"/>
      <c r="AD161" s="260"/>
      <c r="AE161" s="260"/>
      <c r="AF161" s="260"/>
      <c r="AG161" s="260"/>
      <c r="AH161" s="260"/>
      <c r="AI161" s="264"/>
      <c r="AK161" s="256">
        <f t="shared" si="7"/>
        <v>0</v>
      </c>
    </row>
    <row r="162" spans="2:37" ht="18" hidden="1" customHeight="1">
      <c r="B162" s="270" t="s">
        <v>289</v>
      </c>
      <c r="C162" s="263" t="s">
        <v>288</v>
      </c>
      <c r="D162" s="253">
        <f t="shared" ref="D162" si="8">SUM(E162:AI162)</f>
        <v>0</v>
      </c>
      <c r="E162" s="260"/>
      <c r="F162" s="260"/>
      <c r="G162" s="260"/>
      <c r="H162" s="260"/>
      <c r="I162" s="260"/>
      <c r="J162" s="260"/>
      <c r="K162" s="260"/>
      <c r="L162" s="260"/>
      <c r="M162" s="260"/>
      <c r="N162" s="260"/>
      <c r="O162" s="260"/>
      <c r="P162" s="260"/>
      <c r="Q162" s="260"/>
      <c r="R162" s="260"/>
      <c r="S162" s="260"/>
      <c r="T162" s="260"/>
      <c r="U162" s="260"/>
      <c r="V162" s="260"/>
      <c r="W162" s="260"/>
      <c r="X162" s="260"/>
      <c r="Y162" s="260"/>
      <c r="Z162" s="260"/>
      <c r="AA162" s="260"/>
      <c r="AB162" s="260"/>
      <c r="AC162" s="260"/>
      <c r="AD162" s="260"/>
      <c r="AE162" s="260"/>
      <c r="AF162" s="260"/>
      <c r="AG162" s="260"/>
      <c r="AH162" s="260"/>
      <c r="AI162" s="264"/>
      <c r="AK162" s="256"/>
    </row>
    <row r="163" spans="2:37" ht="18" hidden="1" customHeight="1">
      <c r="B163" s="270" t="s">
        <v>290</v>
      </c>
      <c r="C163" s="263" t="s">
        <v>291</v>
      </c>
      <c r="D163" s="253">
        <f t="shared" si="6"/>
        <v>0</v>
      </c>
      <c r="E163" s="260"/>
      <c r="F163" s="260"/>
      <c r="G163" s="260"/>
      <c r="H163" s="260"/>
      <c r="I163" s="260"/>
      <c r="J163" s="260"/>
      <c r="K163" s="260"/>
      <c r="L163" s="260"/>
      <c r="M163" s="260"/>
      <c r="N163" s="260"/>
      <c r="O163" s="260"/>
      <c r="P163" s="260"/>
      <c r="Q163" s="260"/>
      <c r="R163" s="260"/>
      <c r="S163" s="260"/>
      <c r="T163" s="260"/>
      <c r="U163" s="260"/>
      <c r="V163" s="260"/>
      <c r="W163" s="260"/>
      <c r="X163" s="260"/>
      <c r="Y163" s="260"/>
      <c r="Z163" s="260"/>
      <c r="AA163" s="260"/>
      <c r="AB163" s="260"/>
      <c r="AC163" s="260"/>
      <c r="AD163" s="260"/>
      <c r="AE163" s="260"/>
      <c r="AF163" s="260"/>
      <c r="AG163" s="260"/>
      <c r="AH163" s="260"/>
      <c r="AI163" s="264"/>
      <c r="AK163" s="256">
        <f t="shared" si="7"/>
        <v>0</v>
      </c>
    </row>
    <row r="164" spans="2:37" ht="18" hidden="1" customHeight="1">
      <c r="B164" s="270" t="s">
        <v>292</v>
      </c>
      <c r="C164" s="263" t="s">
        <v>293</v>
      </c>
      <c r="D164" s="253">
        <f t="shared" si="6"/>
        <v>0</v>
      </c>
      <c r="E164" s="260"/>
      <c r="F164" s="260"/>
      <c r="G164" s="260"/>
      <c r="H164" s="260"/>
      <c r="I164" s="260"/>
      <c r="J164" s="260"/>
      <c r="K164" s="260"/>
      <c r="L164" s="260"/>
      <c r="M164" s="260"/>
      <c r="N164" s="260"/>
      <c r="O164" s="260"/>
      <c r="P164" s="260"/>
      <c r="Q164" s="260"/>
      <c r="R164" s="260"/>
      <c r="S164" s="260"/>
      <c r="T164" s="260"/>
      <c r="U164" s="260"/>
      <c r="V164" s="260"/>
      <c r="W164" s="260"/>
      <c r="X164" s="260"/>
      <c r="Y164" s="260"/>
      <c r="Z164" s="260"/>
      <c r="AA164" s="260"/>
      <c r="AB164" s="260"/>
      <c r="AC164" s="260"/>
      <c r="AD164" s="260"/>
      <c r="AE164" s="260"/>
      <c r="AF164" s="260"/>
      <c r="AG164" s="260"/>
      <c r="AH164" s="260"/>
      <c r="AI164" s="264"/>
      <c r="AK164" s="256">
        <f t="shared" si="7"/>
        <v>0</v>
      </c>
    </row>
    <row r="165" spans="2:37" ht="18" hidden="1" customHeight="1">
      <c r="B165" s="270" t="s">
        <v>294</v>
      </c>
      <c r="C165" s="263" t="s">
        <v>295</v>
      </c>
      <c r="D165" s="253">
        <f t="shared" si="6"/>
        <v>0</v>
      </c>
      <c r="E165" s="260"/>
      <c r="F165" s="260"/>
      <c r="G165" s="260"/>
      <c r="H165" s="260"/>
      <c r="I165" s="260"/>
      <c r="J165" s="260"/>
      <c r="K165" s="260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260"/>
      <c r="W165" s="260"/>
      <c r="X165" s="260"/>
      <c r="Y165" s="260"/>
      <c r="Z165" s="260"/>
      <c r="AA165" s="260"/>
      <c r="AB165" s="260"/>
      <c r="AC165" s="260"/>
      <c r="AD165" s="260"/>
      <c r="AE165" s="260"/>
      <c r="AF165" s="260"/>
      <c r="AG165" s="260"/>
      <c r="AH165" s="260"/>
      <c r="AI165" s="264"/>
      <c r="AK165" s="256">
        <f t="shared" si="7"/>
        <v>0</v>
      </c>
    </row>
    <row r="166" spans="2:37" ht="18" hidden="1" customHeight="1">
      <c r="B166" s="270" t="s">
        <v>296</v>
      </c>
      <c r="C166" s="263" t="s">
        <v>297</v>
      </c>
      <c r="D166" s="253">
        <f t="shared" si="6"/>
        <v>0</v>
      </c>
      <c r="E166" s="260"/>
      <c r="F166" s="260"/>
      <c r="G166" s="260"/>
      <c r="H166" s="260"/>
      <c r="I166" s="260"/>
      <c r="J166" s="260"/>
      <c r="K166" s="260"/>
      <c r="L166" s="260"/>
      <c r="M166" s="260"/>
      <c r="N166" s="260"/>
      <c r="O166" s="260"/>
      <c r="P166" s="260"/>
      <c r="Q166" s="260"/>
      <c r="R166" s="260"/>
      <c r="S166" s="260"/>
      <c r="T166" s="260"/>
      <c r="U166" s="260"/>
      <c r="V166" s="260"/>
      <c r="W166" s="260"/>
      <c r="X166" s="260"/>
      <c r="Y166" s="260"/>
      <c r="Z166" s="260"/>
      <c r="AA166" s="260"/>
      <c r="AB166" s="260"/>
      <c r="AC166" s="260"/>
      <c r="AD166" s="260"/>
      <c r="AE166" s="260"/>
      <c r="AF166" s="260"/>
      <c r="AG166" s="260"/>
      <c r="AH166" s="260"/>
      <c r="AI166" s="264"/>
      <c r="AK166" s="256">
        <f t="shared" si="7"/>
        <v>0</v>
      </c>
    </row>
    <row r="167" spans="2:37" ht="18" hidden="1" customHeight="1">
      <c r="B167" s="270" t="s">
        <v>298</v>
      </c>
      <c r="C167" s="263" t="s">
        <v>299</v>
      </c>
      <c r="D167" s="253">
        <f t="shared" si="6"/>
        <v>0</v>
      </c>
      <c r="E167" s="260"/>
      <c r="F167" s="260"/>
      <c r="G167" s="260"/>
      <c r="H167" s="260"/>
      <c r="I167" s="260"/>
      <c r="J167" s="260"/>
      <c r="K167" s="260"/>
      <c r="L167" s="260"/>
      <c r="M167" s="260"/>
      <c r="N167" s="260"/>
      <c r="O167" s="260"/>
      <c r="P167" s="260"/>
      <c r="Q167" s="260"/>
      <c r="R167" s="260"/>
      <c r="S167" s="260"/>
      <c r="T167" s="260"/>
      <c r="U167" s="260"/>
      <c r="V167" s="260"/>
      <c r="W167" s="260"/>
      <c r="X167" s="260"/>
      <c r="Y167" s="260"/>
      <c r="Z167" s="260"/>
      <c r="AA167" s="260"/>
      <c r="AB167" s="260"/>
      <c r="AC167" s="260"/>
      <c r="AD167" s="260"/>
      <c r="AE167" s="260"/>
      <c r="AF167" s="260"/>
      <c r="AG167" s="260"/>
      <c r="AH167" s="260"/>
      <c r="AI167" s="264"/>
      <c r="AK167" s="256">
        <f t="shared" si="7"/>
        <v>0</v>
      </c>
    </row>
    <row r="168" spans="2:37" ht="18" hidden="1" customHeight="1">
      <c r="B168" s="270" t="s">
        <v>300</v>
      </c>
      <c r="C168" s="263" t="s">
        <v>301</v>
      </c>
      <c r="D168" s="253">
        <f t="shared" si="6"/>
        <v>0</v>
      </c>
      <c r="E168" s="260"/>
      <c r="F168" s="260"/>
      <c r="G168" s="260"/>
      <c r="H168" s="260"/>
      <c r="I168" s="260"/>
      <c r="J168" s="260"/>
      <c r="K168" s="260"/>
      <c r="L168" s="260"/>
      <c r="M168" s="260"/>
      <c r="N168" s="260"/>
      <c r="O168" s="260"/>
      <c r="P168" s="260"/>
      <c r="Q168" s="260"/>
      <c r="R168" s="260"/>
      <c r="S168" s="260"/>
      <c r="T168" s="260"/>
      <c r="U168" s="260"/>
      <c r="V168" s="260"/>
      <c r="W168" s="260"/>
      <c r="X168" s="260"/>
      <c r="Y168" s="260"/>
      <c r="Z168" s="260"/>
      <c r="AA168" s="260"/>
      <c r="AB168" s="260"/>
      <c r="AC168" s="260"/>
      <c r="AD168" s="260"/>
      <c r="AE168" s="260"/>
      <c r="AF168" s="260"/>
      <c r="AG168" s="260"/>
      <c r="AH168" s="260"/>
      <c r="AI168" s="264"/>
      <c r="AK168" s="256">
        <f t="shared" si="7"/>
        <v>0</v>
      </c>
    </row>
    <row r="169" spans="2:37" ht="18" hidden="1" customHeight="1">
      <c r="B169" s="270" t="s">
        <v>302</v>
      </c>
      <c r="C169" s="263" t="s">
        <v>301</v>
      </c>
      <c r="D169" s="253">
        <f t="shared" si="6"/>
        <v>0</v>
      </c>
      <c r="E169" s="260"/>
      <c r="F169" s="260"/>
      <c r="G169" s="260"/>
      <c r="H169" s="260"/>
      <c r="I169" s="260"/>
      <c r="J169" s="260"/>
      <c r="K169" s="260"/>
      <c r="L169" s="260"/>
      <c r="M169" s="260"/>
      <c r="N169" s="260"/>
      <c r="O169" s="260"/>
      <c r="P169" s="260"/>
      <c r="Q169" s="260"/>
      <c r="R169" s="260"/>
      <c r="S169" s="260"/>
      <c r="T169" s="260"/>
      <c r="U169" s="260"/>
      <c r="V169" s="260"/>
      <c r="W169" s="260"/>
      <c r="X169" s="260"/>
      <c r="Y169" s="260"/>
      <c r="Z169" s="260"/>
      <c r="AA169" s="260"/>
      <c r="AB169" s="260"/>
      <c r="AC169" s="260"/>
      <c r="AD169" s="260"/>
      <c r="AE169" s="260"/>
      <c r="AF169" s="260"/>
      <c r="AG169" s="260"/>
      <c r="AH169" s="260"/>
      <c r="AI169" s="264"/>
      <c r="AK169" s="256">
        <f t="shared" si="7"/>
        <v>0</v>
      </c>
    </row>
    <row r="170" spans="2:37" ht="18" hidden="1" customHeight="1">
      <c r="B170" s="270" t="s">
        <v>303</v>
      </c>
      <c r="C170" s="263" t="s">
        <v>304</v>
      </c>
      <c r="D170" s="253">
        <f t="shared" si="6"/>
        <v>0</v>
      </c>
      <c r="E170" s="260"/>
      <c r="F170" s="260"/>
      <c r="G170" s="260"/>
      <c r="H170" s="260"/>
      <c r="I170" s="260"/>
      <c r="J170" s="260"/>
      <c r="K170" s="260"/>
      <c r="L170" s="260"/>
      <c r="M170" s="260"/>
      <c r="N170" s="260"/>
      <c r="O170" s="260"/>
      <c r="P170" s="260"/>
      <c r="Q170" s="260"/>
      <c r="R170" s="260"/>
      <c r="S170" s="260"/>
      <c r="T170" s="260"/>
      <c r="U170" s="260"/>
      <c r="V170" s="260"/>
      <c r="W170" s="260"/>
      <c r="X170" s="260"/>
      <c r="Y170" s="260"/>
      <c r="Z170" s="260"/>
      <c r="AA170" s="260"/>
      <c r="AB170" s="260"/>
      <c r="AC170" s="260"/>
      <c r="AD170" s="260"/>
      <c r="AE170" s="260"/>
      <c r="AF170" s="260"/>
      <c r="AG170" s="260"/>
      <c r="AH170" s="260"/>
      <c r="AI170" s="264"/>
      <c r="AK170" s="256">
        <f t="shared" si="7"/>
        <v>0</v>
      </c>
    </row>
    <row r="171" spans="2:37" ht="18" hidden="1" customHeight="1">
      <c r="B171" s="270" t="s">
        <v>305</v>
      </c>
      <c r="C171" s="263" t="s">
        <v>306</v>
      </c>
      <c r="D171" s="253">
        <f t="shared" si="6"/>
        <v>0</v>
      </c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0"/>
      <c r="S171" s="260"/>
      <c r="T171" s="260"/>
      <c r="U171" s="260"/>
      <c r="V171" s="260"/>
      <c r="W171" s="260"/>
      <c r="X171" s="260"/>
      <c r="Y171" s="260"/>
      <c r="Z171" s="260"/>
      <c r="AA171" s="260"/>
      <c r="AB171" s="260"/>
      <c r="AC171" s="260"/>
      <c r="AD171" s="260"/>
      <c r="AE171" s="260"/>
      <c r="AF171" s="260"/>
      <c r="AG171" s="260"/>
      <c r="AH171" s="260"/>
      <c r="AI171" s="264"/>
      <c r="AK171" s="256">
        <f t="shared" si="7"/>
        <v>0</v>
      </c>
    </row>
    <row r="172" spans="2:37" ht="18" hidden="1" customHeight="1">
      <c r="B172" s="270" t="s">
        <v>307</v>
      </c>
      <c r="C172" s="263" t="s">
        <v>219</v>
      </c>
      <c r="D172" s="253">
        <f t="shared" si="6"/>
        <v>0</v>
      </c>
      <c r="E172" s="260"/>
      <c r="F172" s="260"/>
      <c r="G172" s="260"/>
      <c r="H172" s="260"/>
      <c r="I172" s="260"/>
      <c r="J172" s="260"/>
      <c r="K172" s="260"/>
      <c r="L172" s="260"/>
      <c r="M172" s="260"/>
      <c r="N172" s="260"/>
      <c r="O172" s="260"/>
      <c r="P172" s="260"/>
      <c r="Q172" s="260"/>
      <c r="R172" s="260"/>
      <c r="S172" s="260"/>
      <c r="T172" s="260"/>
      <c r="U172" s="260"/>
      <c r="V172" s="260"/>
      <c r="W172" s="260"/>
      <c r="X172" s="260"/>
      <c r="Y172" s="260"/>
      <c r="Z172" s="260"/>
      <c r="AA172" s="260"/>
      <c r="AB172" s="260"/>
      <c r="AC172" s="260"/>
      <c r="AD172" s="260"/>
      <c r="AE172" s="260"/>
      <c r="AF172" s="260"/>
      <c r="AG172" s="260"/>
      <c r="AH172" s="260"/>
      <c r="AI172" s="264"/>
      <c r="AK172" s="256">
        <f t="shared" si="7"/>
        <v>0</v>
      </c>
    </row>
    <row r="173" spans="2:37" ht="18" hidden="1" customHeight="1">
      <c r="B173" s="270" t="s">
        <v>308</v>
      </c>
      <c r="C173" s="263" t="s">
        <v>309</v>
      </c>
      <c r="D173" s="253">
        <f t="shared" si="6"/>
        <v>0</v>
      </c>
      <c r="E173" s="260"/>
      <c r="F173" s="260"/>
      <c r="G173" s="260"/>
      <c r="H173" s="260"/>
      <c r="I173" s="260"/>
      <c r="J173" s="260"/>
      <c r="K173" s="260"/>
      <c r="L173" s="260"/>
      <c r="M173" s="260"/>
      <c r="N173" s="260"/>
      <c r="O173" s="260"/>
      <c r="P173" s="260"/>
      <c r="Q173" s="260"/>
      <c r="R173" s="260"/>
      <c r="S173" s="260"/>
      <c r="T173" s="260"/>
      <c r="U173" s="260"/>
      <c r="V173" s="260"/>
      <c r="W173" s="260"/>
      <c r="X173" s="260"/>
      <c r="Y173" s="260"/>
      <c r="Z173" s="260"/>
      <c r="AA173" s="260"/>
      <c r="AB173" s="260"/>
      <c r="AC173" s="260"/>
      <c r="AD173" s="260"/>
      <c r="AE173" s="260"/>
      <c r="AF173" s="260"/>
      <c r="AG173" s="260"/>
      <c r="AH173" s="260"/>
      <c r="AI173" s="264"/>
      <c r="AK173" s="256">
        <f t="shared" si="7"/>
        <v>0</v>
      </c>
    </row>
    <row r="174" spans="2:37" ht="18" hidden="1" customHeight="1">
      <c r="B174" s="270" t="s">
        <v>310</v>
      </c>
      <c r="C174" s="263" t="s">
        <v>309</v>
      </c>
      <c r="D174" s="253">
        <f t="shared" si="6"/>
        <v>0</v>
      </c>
      <c r="E174" s="260"/>
      <c r="F174" s="260"/>
      <c r="G174" s="260"/>
      <c r="H174" s="260"/>
      <c r="I174" s="260"/>
      <c r="J174" s="260"/>
      <c r="K174" s="260"/>
      <c r="L174" s="260"/>
      <c r="M174" s="260"/>
      <c r="N174" s="260"/>
      <c r="O174" s="260"/>
      <c r="P174" s="260"/>
      <c r="Q174" s="260"/>
      <c r="R174" s="260"/>
      <c r="S174" s="260"/>
      <c r="T174" s="260"/>
      <c r="U174" s="260"/>
      <c r="V174" s="260"/>
      <c r="W174" s="260"/>
      <c r="X174" s="260"/>
      <c r="Y174" s="260"/>
      <c r="Z174" s="260"/>
      <c r="AA174" s="260"/>
      <c r="AB174" s="260"/>
      <c r="AC174" s="260"/>
      <c r="AD174" s="260"/>
      <c r="AE174" s="260"/>
      <c r="AF174" s="260"/>
      <c r="AG174" s="260"/>
      <c r="AH174" s="260"/>
      <c r="AI174" s="264"/>
      <c r="AK174" s="256"/>
    </row>
    <row r="175" spans="2:37" ht="18" hidden="1" customHeight="1">
      <c r="B175" s="270" t="s">
        <v>311</v>
      </c>
      <c r="C175" s="263" t="s">
        <v>312</v>
      </c>
      <c r="D175" s="253">
        <f t="shared" si="6"/>
        <v>0</v>
      </c>
      <c r="E175" s="260"/>
      <c r="F175" s="260"/>
      <c r="G175" s="260"/>
      <c r="H175" s="260"/>
      <c r="I175" s="260"/>
      <c r="J175" s="260"/>
      <c r="K175" s="260"/>
      <c r="L175" s="260"/>
      <c r="M175" s="260"/>
      <c r="N175" s="260"/>
      <c r="O175" s="260"/>
      <c r="P175" s="260"/>
      <c r="Q175" s="260"/>
      <c r="R175" s="260"/>
      <c r="S175" s="260"/>
      <c r="T175" s="260"/>
      <c r="U175" s="260"/>
      <c r="V175" s="260"/>
      <c r="W175" s="260"/>
      <c r="X175" s="260"/>
      <c r="Y175" s="260"/>
      <c r="Z175" s="260"/>
      <c r="AA175" s="260"/>
      <c r="AB175" s="260"/>
      <c r="AC175" s="260"/>
      <c r="AD175" s="260"/>
      <c r="AE175" s="260"/>
      <c r="AF175" s="260"/>
      <c r="AG175" s="260"/>
      <c r="AH175" s="260"/>
      <c r="AI175" s="264"/>
      <c r="AK175" s="256">
        <f t="shared" si="7"/>
        <v>0</v>
      </c>
    </row>
    <row r="176" spans="2:37" ht="18" hidden="1" customHeight="1">
      <c r="B176" s="270" t="s">
        <v>313</v>
      </c>
      <c r="C176" s="263" t="s">
        <v>312</v>
      </c>
      <c r="D176" s="253">
        <f t="shared" si="6"/>
        <v>0</v>
      </c>
      <c r="E176" s="260"/>
      <c r="F176" s="260"/>
      <c r="G176" s="260"/>
      <c r="H176" s="260"/>
      <c r="I176" s="260"/>
      <c r="J176" s="260"/>
      <c r="K176" s="260"/>
      <c r="L176" s="260"/>
      <c r="M176" s="260"/>
      <c r="N176" s="260"/>
      <c r="O176" s="260"/>
      <c r="P176" s="260"/>
      <c r="Q176" s="260"/>
      <c r="R176" s="260"/>
      <c r="S176" s="260"/>
      <c r="T176" s="260"/>
      <c r="U176" s="260"/>
      <c r="V176" s="260"/>
      <c r="W176" s="260"/>
      <c r="X176" s="260"/>
      <c r="Y176" s="260"/>
      <c r="Z176" s="260"/>
      <c r="AA176" s="260"/>
      <c r="AB176" s="260"/>
      <c r="AC176" s="260"/>
      <c r="AD176" s="260"/>
      <c r="AE176" s="260"/>
      <c r="AF176" s="260"/>
      <c r="AG176" s="260"/>
      <c r="AH176" s="260"/>
      <c r="AI176" s="264"/>
      <c r="AK176" s="256"/>
    </row>
    <row r="177" spans="2:37" ht="18" hidden="1" customHeight="1">
      <c r="B177" s="270" t="s">
        <v>314</v>
      </c>
      <c r="C177" s="263" t="s">
        <v>315</v>
      </c>
      <c r="D177" s="253">
        <f t="shared" si="6"/>
        <v>0</v>
      </c>
      <c r="E177" s="260"/>
      <c r="F177" s="260"/>
      <c r="G177" s="260"/>
      <c r="H177" s="260"/>
      <c r="I177" s="260"/>
      <c r="J177" s="260"/>
      <c r="K177" s="260"/>
      <c r="L177" s="260"/>
      <c r="M177" s="260"/>
      <c r="N177" s="260"/>
      <c r="O177" s="260"/>
      <c r="P177" s="260"/>
      <c r="Q177" s="260"/>
      <c r="R177" s="260"/>
      <c r="S177" s="260"/>
      <c r="T177" s="260"/>
      <c r="U177" s="260"/>
      <c r="V177" s="260"/>
      <c r="W177" s="260"/>
      <c r="X177" s="260"/>
      <c r="Y177" s="260"/>
      <c r="Z177" s="260"/>
      <c r="AA177" s="260"/>
      <c r="AB177" s="260"/>
      <c r="AC177" s="260"/>
      <c r="AD177" s="260"/>
      <c r="AE177" s="260"/>
      <c r="AF177" s="260"/>
      <c r="AG177" s="260"/>
      <c r="AH177" s="260"/>
      <c r="AI177" s="264"/>
      <c r="AK177" s="256">
        <f t="shared" si="7"/>
        <v>0</v>
      </c>
    </row>
    <row r="178" spans="2:37" ht="18" hidden="1" customHeight="1">
      <c r="B178" s="270" t="s">
        <v>316</v>
      </c>
      <c r="C178" s="263" t="s">
        <v>317</v>
      </c>
      <c r="D178" s="253">
        <f t="shared" si="6"/>
        <v>0</v>
      </c>
      <c r="E178" s="260"/>
      <c r="F178" s="260"/>
      <c r="G178" s="260"/>
      <c r="H178" s="260"/>
      <c r="I178" s="260"/>
      <c r="J178" s="260"/>
      <c r="K178" s="260"/>
      <c r="L178" s="260"/>
      <c r="M178" s="260"/>
      <c r="N178" s="260"/>
      <c r="O178" s="260"/>
      <c r="P178" s="260"/>
      <c r="Q178" s="260"/>
      <c r="R178" s="260"/>
      <c r="S178" s="260"/>
      <c r="T178" s="260"/>
      <c r="U178" s="260"/>
      <c r="V178" s="260"/>
      <c r="W178" s="260"/>
      <c r="X178" s="260"/>
      <c r="Y178" s="260"/>
      <c r="Z178" s="260"/>
      <c r="AA178" s="260"/>
      <c r="AB178" s="260"/>
      <c r="AC178" s="260"/>
      <c r="AD178" s="260"/>
      <c r="AE178" s="260"/>
      <c r="AF178" s="260"/>
      <c r="AG178" s="260"/>
      <c r="AH178" s="260"/>
      <c r="AI178" s="264"/>
      <c r="AK178" s="256">
        <f t="shared" si="7"/>
        <v>0</v>
      </c>
    </row>
    <row r="179" spans="2:37" ht="18" hidden="1" customHeight="1">
      <c r="B179" s="270" t="s">
        <v>318</v>
      </c>
      <c r="C179" s="263" t="s">
        <v>317</v>
      </c>
      <c r="D179" s="253">
        <f t="shared" si="6"/>
        <v>0</v>
      </c>
      <c r="E179" s="260"/>
      <c r="F179" s="260"/>
      <c r="G179" s="260"/>
      <c r="H179" s="260"/>
      <c r="I179" s="260"/>
      <c r="J179" s="260"/>
      <c r="K179" s="260"/>
      <c r="L179" s="260"/>
      <c r="M179" s="260"/>
      <c r="N179" s="260"/>
      <c r="O179" s="260"/>
      <c r="P179" s="260"/>
      <c r="Q179" s="260"/>
      <c r="R179" s="260"/>
      <c r="S179" s="260"/>
      <c r="T179" s="260"/>
      <c r="U179" s="260"/>
      <c r="V179" s="260"/>
      <c r="W179" s="260"/>
      <c r="X179" s="260"/>
      <c r="Y179" s="260"/>
      <c r="Z179" s="260"/>
      <c r="AA179" s="260"/>
      <c r="AB179" s="260"/>
      <c r="AC179" s="260"/>
      <c r="AD179" s="260"/>
      <c r="AE179" s="260"/>
      <c r="AF179" s="260"/>
      <c r="AG179" s="260"/>
      <c r="AH179" s="260"/>
      <c r="AI179" s="264"/>
      <c r="AK179" s="256">
        <f t="shared" si="7"/>
        <v>0</v>
      </c>
    </row>
    <row r="180" spans="2:37" ht="18" hidden="1" customHeight="1">
      <c r="B180" s="270" t="s">
        <v>319</v>
      </c>
      <c r="C180" s="263" t="s">
        <v>317</v>
      </c>
      <c r="D180" s="253">
        <f t="shared" si="6"/>
        <v>0</v>
      </c>
      <c r="E180" s="260"/>
      <c r="F180" s="260"/>
      <c r="G180" s="260"/>
      <c r="H180" s="260"/>
      <c r="I180" s="260"/>
      <c r="J180" s="260"/>
      <c r="K180" s="260"/>
      <c r="L180" s="260"/>
      <c r="M180" s="260"/>
      <c r="N180" s="260"/>
      <c r="O180" s="260"/>
      <c r="P180" s="260"/>
      <c r="Q180" s="260"/>
      <c r="R180" s="260"/>
      <c r="S180" s="260"/>
      <c r="T180" s="260"/>
      <c r="U180" s="260"/>
      <c r="V180" s="260"/>
      <c r="W180" s="260"/>
      <c r="X180" s="260"/>
      <c r="Y180" s="260"/>
      <c r="Z180" s="260"/>
      <c r="AA180" s="260"/>
      <c r="AB180" s="260"/>
      <c r="AC180" s="260"/>
      <c r="AD180" s="260"/>
      <c r="AE180" s="260"/>
      <c r="AF180" s="260"/>
      <c r="AG180" s="260"/>
      <c r="AH180" s="260"/>
      <c r="AI180" s="264"/>
      <c r="AK180" s="256">
        <f t="shared" si="7"/>
        <v>0</v>
      </c>
    </row>
    <row r="181" spans="2:37" ht="18" hidden="1" customHeight="1">
      <c r="B181" s="270" t="s">
        <v>320</v>
      </c>
      <c r="C181" s="263" t="s">
        <v>321</v>
      </c>
      <c r="D181" s="253">
        <f t="shared" si="6"/>
        <v>0</v>
      </c>
      <c r="E181" s="260"/>
      <c r="F181" s="260"/>
      <c r="G181" s="260"/>
      <c r="H181" s="260"/>
      <c r="I181" s="260"/>
      <c r="J181" s="260"/>
      <c r="K181" s="260"/>
      <c r="L181" s="260"/>
      <c r="M181" s="260"/>
      <c r="N181" s="260"/>
      <c r="O181" s="260"/>
      <c r="P181" s="260"/>
      <c r="Q181" s="260"/>
      <c r="R181" s="260"/>
      <c r="S181" s="260"/>
      <c r="T181" s="260"/>
      <c r="U181" s="260"/>
      <c r="V181" s="260"/>
      <c r="W181" s="260"/>
      <c r="X181" s="260"/>
      <c r="Y181" s="260"/>
      <c r="Z181" s="260"/>
      <c r="AA181" s="260"/>
      <c r="AB181" s="260"/>
      <c r="AC181" s="260"/>
      <c r="AD181" s="260"/>
      <c r="AE181" s="260"/>
      <c r="AF181" s="260"/>
      <c r="AG181" s="260"/>
      <c r="AH181" s="260"/>
      <c r="AI181" s="264"/>
      <c r="AK181" s="256">
        <f t="shared" si="7"/>
        <v>0</v>
      </c>
    </row>
    <row r="182" spans="2:37" ht="18" hidden="1" customHeight="1">
      <c r="B182" s="270" t="s">
        <v>322</v>
      </c>
      <c r="C182" s="263" t="s">
        <v>323</v>
      </c>
      <c r="D182" s="253">
        <f t="shared" si="6"/>
        <v>0</v>
      </c>
      <c r="E182" s="260"/>
      <c r="F182" s="260"/>
      <c r="G182" s="260"/>
      <c r="H182" s="260"/>
      <c r="I182" s="260"/>
      <c r="J182" s="260"/>
      <c r="K182" s="260"/>
      <c r="L182" s="260"/>
      <c r="M182" s="260"/>
      <c r="N182" s="260"/>
      <c r="O182" s="260"/>
      <c r="P182" s="260"/>
      <c r="Q182" s="260"/>
      <c r="R182" s="260"/>
      <c r="S182" s="260"/>
      <c r="T182" s="260"/>
      <c r="U182" s="260"/>
      <c r="V182" s="260"/>
      <c r="W182" s="260"/>
      <c r="X182" s="260"/>
      <c r="Y182" s="260"/>
      <c r="Z182" s="260"/>
      <c r="AA182" s="260"/>
      <c r="AB182" s="260"/>
      <c r="AC182" s="260"/>
      <c r="AD182" s="260"/>
      <c r="AE182" s="260"/>
      <c r="AF182" s="260"/>
      <c r="AG182" s="260"/>
      <c r="AH182" s="260"/>
      <c r="AI182" s="264"/>
      <c r="AK182" s="256"/>
    </row>
    <row r="183" spans="2:37" ht="18" hidden="1" customHeight="1">
      <c r="B183" s="270" t="s">
        <v>324</v>
      </c>
      <c r="C183" s="263" t="s">
        <v>325</v>
      </c>
      <c r="D183" s="253">
        <f t="shared" si="6"/>
        <v>0</v>
      </c>
      <c r="E183" s="260"/>
      <c r="F183" s="260"/>
      <c r="G183" s="260"/>
      <c r="H183" s="260"/>
      <c r="I183" s="260"/>
      <c r="J183" s="260"/>
      <c r="K183" s="260"/>
      <c r="L183" s="260"/>
      <c r="M183" s="260"/>
      <c r="N183" s="260"/>
      <c r="O183" s="260"/>
      <c r="P183" s="260"/>
      <c r="Q183" s="260"/>
      <c r="R183" s="260"/>
      <c r="S183" s="260"/>
      <c r="T183" s="260"/>
      <c r="U183" s="260"/>
      <c r="V183" s="260"/>
      <c r="W183" s="260"/>
      <c r="X183" s="260"/>
      <c r="Y183" s="260"/>
      <c r="Z183" s="260"/>
      <c r="AA183" s="260"/>
      <c r="AB183" s="260"/>
      <c r="AC183" s="260"/>
      <c r="AD183" s="260"/>
      <c r="AE183" s="260"/>
      <c r="AF183" s="260"/>
      <c r="AG183" s="260"/>
      <c r="AH183" s="260"/>
      <c r="AI183" s="264"/>
      <c r="AK183" s="256">
        <f t="shared" si="7"/>
        <v>0</v>
      </c>
    </row>
    <row r="184" spans="2:37" ht="18" hidden="1" customHeight="1">
      <c r="B184" s="270" t="s">
        <v>326</v>
      </c>
      <c r="C184" s="263" t="s">
        <v>325</v>
      </c>
      <c r="D184" s="253">
        <f t="shared" si="6"/>
        <v>0</v>
      </c>
      <c r="E184" s="260"/>
      <c r="F184" s="260"/>
      <c r="G184" s="260"/>
      <c r="H184" s="260"/>
      <c r="I184" s="260"/>
      <c r="J184" s="260"/>
      <c r="K184" s="260"/>
      <c r="L184" s="260"/>
      <c r="M184" s="260"/>
      <c r="N184" s="260"/>
      <c r="O184" s="260"/>
      <c r="P184" s="260"/>
      <c r="Q184" s="260"/>
      <c r="R184" s="260"/>
      <c r="S184" s="260"/>
      <c r="T184" s="260"/>
      <c r="U184" s="260"/>
      <c r="V184" s="260"/>
      <c r="W184" s="260"/>
      <c r="X184" s="260"/>
      <c r="Y184" s="260"/>
      <c r="Z184" s="260"/>
      <c r="AA184" s="260"/>
      <c r="AB184" s="260"/>
      <c r="AC184" s="260"/>
      <c r="AD184" s="260"/>
      <c r="AE184" s="260"/>
      <c r="AF184" s="260"/>
      <c r="AG184" s="260"/>
      <c r="AH184" s="260"/>
      <c r="AI184" s="264"/>
      <c r="AK184" s="256"/>
    </row>
    <row r="185" spans="2:37" ht="18" hidden="1" customHeight="1">
      <c r="B185" s="270" t="s">
        <v>327</v>
      </c>
      <c r="C185" s="263" t="s">
        <v>328</v>
      </c>
      <c r="D185" s="253">
        <f t="shared" si="6"/>
        <v>0</v>
      </c>
      <c r="E185" s="260"/>
      <c r="F185" s="260"/>
      <c r="G185" s="260"/>
      <c r="H185" s="260"/>
      <c r="I185" s="260"/>
      <c r="J185" s="260"/>
      <c r="K185" s="260"/>
      <c r="L185" s="260"/>
      <c r="M185" s="260"/>
      <c r="N185" s="260"/>
      <c r="O185" s="260"/>
      <c r="P185" s="260"/>
      <c r="Q185" s="260"/>
      <c r="R185" s="260"/>
      <c r="S185" s="260"/>
      <c r="T185" s="260"/>
      <c r="U185" s="260"/>
      <c r="V185" s="260"/>
      <c r="W185" s="260"/>
      <c r="X185" s="260"/>
      <c r="Y185" s="260"/>
      <c r="Z185" s="260"/>
      <c r="AA185" s="260"/>
      <c r="AB185" s="260"/>
      <c r="AC185" s="260"/>
      <c r="AD185" s="260"/>
      <c r="AE185" s="260"/>
      <c r="AF185" s="260"/>
      <c r="AG185" s="260"/>
      <c r="AH185" s="260"/>
      <c r="AI185" s="264"/>
      <c r="AK185" s="256">
        <f t="shared" si="7"/>
        <v>0</v>
      </c>
    </row>
    <row r="186" spans="2:37" ht="18" hidden="1" customHeight="1">
      <c r="B186" s="270" t="s">
        <v>329</v>
      </c>
      <c r="C186" s="263" t="s">
        <v>328</v>
      </c>
      <c r="D186" s="253">
        <f t="shared" si="6"/>
        <v>0</v>
      </c>
      <c r="E186" s="260"/>
      <c r="F186" s="260"/>
      <c r="G186" s="260"/>
      <c r="H186" s="260"/>
      <c r="I186" s="260"/>
      <c r="J186" s="260"/>
      <c r="K186" s="260"/>
      <c r="L186" s="260"/>
      <c r="M186" s="260"/>
      <c r="N186" s="260"/>
      <c r="O186" s="260"/>
      <c r="P186" s="260"/>
      <c r="Q186" s="260"/>
      <c r="R186" s="260"/>
      <c r="S186" s="260"/>
      <c r="T186" s="260"/>
      <c r="U186" s="260"/>
      <c r="V186" s="260"/>
      <c r="W186" s="260"/>
      <c r="X186" s="260"/>
      <c r="Y186" s="260"/>
      <c r="Z186" s="260"/>
      <c r="AA186" s="260"/>
      <c r="AB186" s="260"/>
      <c r="AC186" s="260"/>
      <c r="AD186" s="260"/>
      <c r="AE186" s="260"/>
      <c r="AF186" s="260"/>
      <c r="AG186" s="260"/>
      <c r="AH186" s="260"/>
      <c r="AI186" s="264"/>
      <c r="AK186" s="256">
        <f t="shared" si="7"/>
        <v>0</v>
      </c>
    </row>
    <row r="187" spans="2:37" ht="18" hidden="1" customHeight="1">
      <c r="B187" s="270" t="s">
        <v>330</v>
      </c>
      <c r="C187" s="263" t="s">
        <v>331</v>
      </c>
      <c r="D187" s="253">
        <f t="shared" si="6"/>
        <v>0</v>
      </c>
      <c r="E187" s="260"/>
      <c r="F187" s="260"/>
      <c r="G187" s="260"/>
      <c r="H187" s="260"/>
      <c r="I187" s="260"/>
      <c r="J187" s="260"/>
      <c r="K187" s="260"/>
      <c r="L187" s="260"/>
      <c r="M187" s="260"/>
      <c r="N187" s="260"/>
      <c r="O187" s="260"/>
      <c r="P187" s="260"/>
      <c r="Q187" s="260"/>
      <c r="R187" s="260"/>
      <c r="S187" s="260"/>
      <c r="T187" s="260"/>
      <c r="U187" s="260"/>
      <c r="V187" s="260"/>
      <c r="W187" s="260"/>
      <c r="X187" s="260"/>
      <c r="Y187" s="260"/>
      <c r="Z187" s="260"/>
      <c r="AA187" s="260"/>
      <c r="AB187" s="260"/>
      <c r="AC187" s="260"/>
      <c r="AD187" s="260"/>
      <c r="AE187" s="260"/>
      <c r="AF187" s="260"/>
      <c r="AG187" s="260"/>
      <c r="AH187" s="260"/>
      <c r="AI187" s="264"/>
      <c r="AK187" s="256">
        <f t="shared" si="7"/>
        <v>0</v>
      </c>
    </row>
    <row r="188" spans="2:37" ht="18" hidden="1" customHeight="1">
      <c r="B188" s="270" t="s">
        <v>332</v>
      </c>
      <c r="C188" s="263" t="s">
        <v>333</v>
      </c>
      <c r="D188" s="253">
        <f t="shared" si="6"/>
        <v>0</v>
      </c>
      <c r="E188" s="260"/>
      <c r="F188" s="260"/>
      <c r="G188" s="260"/>
      <c r="H188" s="260"/>
      <c r="I188" s="260"/>
      <c r="J188" s="260"/>
      <c r="K188" s="260"/>
      <c r="L188" s="260"/>
      <c r="M188" s="260"/>
      <c r="N188" s="260"/>
      <c r="O188" s="260"/>
      <c r="P188" s="260"/>
      <c r="Q188" s="260"/>
      <c r="R188" s="260"/>
      <c r="S188" s="260"/>
      <c r="T188" s="260"/>
      <c r="U188" s="260"/>
      <c r="V188" s="260"/>
      <c r="W188" s="260"/>
      <c r="X188" s="260"/>
      <c r="Y188" s="260"/>
      <c r="Z188" s="260"/>
      <c r="AA188" s="260"/>
      <c r="AB188" s="260"/>
      <c r="AC188" s="260"/>
      <c r="AD188" s="260"/>
      <c r="AE188" s="260"/>
      <c r="AF188" s="260"/>
      <c r="AG188" s="260"/>
      <c r="AH188" s="260"/>
      <c r="AI188" s="264"/>
      <c r="AK188" s="256">
        <f t="shared" si="7"/>
        <v>0</v>
      </c>
    </row>
    <row r="189" spans="2:37" ht="18" hidden="1" customHeight="1">
      <c r="B189" s="270" t="s">
        <v>334</v>
      </c>
      <c r="C189" s="263" t="s">
        <v>335</v>
      </c>
      <c r="D189" s="253">
        <f t="shared" si="6"/>
        <v>0</v>
      </c>
      <c r="E189" s="260"/>
      <c r="F189" s="260"/>
      <c r="G189" s="260"/>
      <c r="H189" s="260"/>
      <c r="I189" s="260"/>
      <c r="J189" s="260"/>
      <c r="K189" s="260"/>
      <c r="L189" s="260"/>
      <c r="M189" s="260"/>
      <c r="N189" s="260"/>
      <c r="O189" s="260"/>
      <c r="P189" s="260"/>
      <c r="Q189" s="260"/>
      <c r="R189" s="260"/>
      <c r="S189" s="260"/>
      <c r="T189" s="260"/>
      <c r="U189" s="260"/>
      <c r="V189" s="260"/>
      <c r="W189" s="260"/>
      <c r="X189" s="260"/>
      <c r="Y189" s="260"/>
      <c r="Z189" s="260"/>
      <c r="AA189" s="260"/>
      <c r="AB189" s="260"/>
      <c r="AC189" s="260"/>
      <c r="AD189" s="260"/>
      <c r="AE189" s="260"/>
      <c r="AF189" s="260"/>
      <c r="AG189" s="260"/>
      <c r="AH189" s="260"/>
      <c r="AI189" s="264"/>
      <c r="AK189" s="256">
        <f t="shared" si="7"/>
        <v>0</v>
      </c>
    </row>
    <row r="190" spans="2:37" ht="18" hidden="1" customHeight="1">
      <c r="B190" s="270" t="s">
        <v>336</v>
      </c>
      <c r="C190" s="263" t="s">
        <v>337</v>
      </c>
      <c r="D190" s="253">
        <f t="shared" si="6"/>
        <v>0</v>
      </c>
      <c r="E190" s="260"/>
      <c r="F190" s="260"/>
      <c r="G190" s="260"/>
      <c r="H190" s="260"/>
      <c r="I190" s="260"/>
      <c r="J190" s="260"/>
      <c r="K190" s="260"/>
      <c r="L190" s="260"/>
      <c r="M190" s="260"/>
      <c r="N190" s="260"/>
      <c r="O190" s="260"/>
      <c r="P190" s="260"/>
      <c r="Q190" s="260"/>
      <c r="R190" s="260"/>
      <c r="S190" s="260"/>
      <c r="T190" s="260"/>
      <c r="U190" s="260"/>
      <c r="V190" s="260"/>
      <c r="W190" s="260"/>
      <c r="X190" s="260"/>
      <c r="Y190" s="260"/>
      <c r="Z190" s="260"/>
      <c r="AA190" s="260"/>
      <c r="AB190" s="260"/>
      <c r="AC190" s="260"/>
      <c r="AD190" s="260"/>
      <c r="AE190" s="260"/>
      <c r="AF190" s="260"/>
      <c r="AG190" s="260"/>
      <c r="AH190" s="260"/>
      <c r="AI190" s="264"/>
      <c r="AK190" s="256">
        <f t="shared" si="7"/>
        <v>0</v>
      </c>
    </row>
    <row r="191" spans="2:37" ht="18" hidden="1" customHeight="1">
      <c r="B191" s="270" t="s">
        <v>338</v>
      </c>
      <c r="C191" s="263" t="s">
        <v>339</v>
      </c>
      <c r="D191" s="253">
        <f t="shared" si="6"/>
        <v>0</v>
      </c>
      <c r="E191" s="260"/>
      <c r="F191" s="260"/>
      <c r="G191" s="260"/>
      <c r="H191" s="260"/>
      <c r="I191" s="260"/>
      <c r="J191" s="260"/>
      <c r="K191" s="260"/>
      <c r="L191" s="260"/>
      <c r="M191" s="260"/>
      <c r="N191" s="260"/>
      <c r="O191" s="260"/>
      <c r="P191" s="260"/>
      <c r="Q191" s="260"/>
      <c r="R191" s="260"/>
      <c r="S191" s="260"/>
      <c r="T191" s="260"/>
      <c r="U191" s="260"/>
      <c r="V191" s="260"/>
      <c r="W191" s="260"/>
      <c r="X191" s="260"/>
      <c r="Y191" s="260"/>
      <c r="Z191" s="260"/>
      <c r="AA191" s="260"/>
      <c r="AB191" s="260"/>
      <c r="AC191" s="260"/>
      <c r="AD191" s="260"/>
      <c r="AE191" s="260"/>
      <c r="AF191" s="260"/>
      <c r="AG191" s="260"/>
      <c r="AH191" s="260"/>
      <c r="AI191" s="264"/>
      <c r="AK191" s="256">
        <f t="shared" si="7"/>
        <v>0</v>
      </c>
    </row>
    <row r="192" spans="2:37" ht="18" hidden="1" customHeight="1">
      <c r="B192" s="270" t="s">
        <v>340</v>
      </c>
      <c r="C192" s="263" t="s">
        <v>341</v>
      </c>
      <c r="D192" s="253">
        <f t="shared" si="6"/>
        <v>0</v>
      </c>
      <c r="E192" s="260"/>
      <c r="F192" s="260"/>
      <c r="G192" s="260"/>
      <c r="H192" s="260"/>
      <c r="I192" s="260"/>
      <c r="J192" s="260"/>
      <c r="K192" s="260"/>
      <c r="L192" s="260"/>
      <c r="M192" s="260"/>
      <c r="N192" s="260"/>
      <c r="O192" s="260"/>
      <c r="P192" s="260"/>
      <c r="Q192" s="260"/>
      <c r="R192" s="260"/>
      <c r="S192" s="260"/>
      <c r="T192" s="260"/>
      <c r="U192" s="260"/>
      <c r="V192" s="260"/>
      <c r="W192" s="260"/>
      <c r="X192" s="260"/>
      <c r="Y192" s="260"/>
      <c r="Z192" s="260"/>
      <c r="AA192" s="260"/>
      <c r="AB192" s="260"/>
      <c r="AC192" s="260"/>
      <c r="AD192" s="260"/>
      <c r="AE192" s="260"/>
      <c r="AF192" s="260"/>
      <c r="AG192" s="260"/>
      <c r="AH192" s="260"/>
      <c r="AI192" s="264"/>
      <c r="AK192" s="256">
        <f t="shared" si="7"/>
        <v>0</v>
      </c>
    </row>
    <row r="193" spans="2:37" ht="18" hidden="1" customHeight="1">
      <c r="B193" s="270" t="s">
        <v>342</v>
      </c>
      <c r="C193" s="263" t="s">
        <v>343</v>
      </c>
      <c r="D193" s="253">
        <f t="shared" si="6"/>
        <v>0</v>
      </c>
      <c r="E193" s="260"/>
      <c r="F193" s="260"/>
      <c r="G193" s="260"/>
      <c r="H193" s="260"/>
      <c r="I193" s="260"/>
      <c r="J193" s="260"/>
      <c r="K193" s="260"/>
      <c r="L193" s="260"/>
      <c r="M193" s="260"/>
      <c r="N193" s="260"/>
      <c r="O193" s="260"/>
      <c r="P193" s="260"/>
      <c r="Q193" s="260"/>
      <c r="R193" s="260"/>
      <c r="S193" s="260"/>
      <c r="T193" s="260"/>
      <c r="U193" s="260"/>
      <c r="V193" s="260"/>
      <c r="W193" s="260"/>
      <c r="X193" s="260"/>
      <c r="Y193" s="260"/>
      <c r="Z193" s="260"/>
      <c r="AA193" s="260"/>
      <c r="AB193" s="260"/>
      <c r="AC193" s="260"/>
      <c r="AD193" s="260"/>
      <c r="AE193" s="260"/>
      <c r="AF193" s="260"/>
      <c r="AG193" s="260"/>
      <c r="AH193" s="260"/>
      <c r="AI193" s="264"/>
      <c r="AK193" s="256">
        <f t="shared" si="7"/>
        <v>0</v>
      </c>
    </row>
    <row r="194" spans="2:37" ht="18" hidden="1" customHeight="1">
      <c r="B194" s="270" t="s">
        <v>344</v>
      </c>
      <c r="C194" s="263" t="s">
        <v>345</v>
      </c>
      <c r="D194" s="253">
        <f t="shared" si="6"/>
        <v>0</v>
      </c>
      <c r="E194" s="260"/>
      <c r="F194" s="260"/>
      <c r="G194" s="260"/>
      <c r="H194" s="260"/>
      <c r="I194" s="260"/>
      <c r="J194" s="260"/>
      <c r="K194" s="260"/>
      <c r="L194" s="260"/>
      <c r="M194" s="260"/>
      <c r="N194" s="260"/>
      <c r="O194" s="260"/>
      <c r="P194" s="260"/>
      <c r="Q194" s="260"/>
      <c r="R194" s="260"/>
      <c r="S194" s="260"/>
      <c r="T194" s="260"/>
      <c r="U194" s="260"/>
      <c r="V194" s="260"/>
      <c r="W194" s="260"/>
      <c r="X194" s="260"/>
      <c r="Y194" s="260"/>
      <c r="Z194" s="260"/>
      <c r="AA194" s="260"/>
      <c r="AB194" s="260"/>
      <c r="AC194" s="260"/>
      <c r="AD194" s="260"/>
      <c r="AE194" s="260"/>
      <c r="AF194" s="260"/>
      <c r="AG194" s="260"/>
      <c r="AH194" s="260"/>
      <c r="AI194" s="264"/>
      <c r="AK194" s="256">
        <f t="shared" si="7"/>
        <v>0</v>
      </c>
    </row>
    <row r="195" spans="2:37" ht="18" hidden="1" customHeight="1">
      <c r="B195" s="270" t="s">
        <v>346</v>
      </c>
      <c r="C195" s="263" t="s">
        <v>347</v>
      </c>
      <c r="D195" s="253">
        <f t="shared" si="6"/>
        <v>0</v>
      </c>
      <c r="E195" s="260"/>
      <c r="F195" s="260"/>
      <c r="G195" s="260"/>
      <c r="H195" s="260"/>
      <c r="I195" s="260"/>
      <c r="J195" s="260"/>
      <c r="K195" s="260"/>
      <c r="L195" s="260"/>
      <c r="M195" s="260"/>
      <c r="N195" s="260"/>
      <c r="O195" s="260"/>
      <c r="P195" s="260"/>
      <c r="Q195" s="260"/>
      <c r="R195" s="260"/>
      <c r="S195" s="260"/>
      <c r="T195" s="260"/>
      <c r="U195" s="260"/>
      <c r="V195" s="260"/>
      <c r="W195" s="260"/>
      <c r="X195" s="260"/>
      <c r="Y195" s="260"/>
      <c r="Z195" s="260"/>
      <c r="AA195" s="260"/>
      <c r="AB195" s="260"/>
      <c r="AC195" s="260"/>
      <c r="AD195" s="260"/>
      <c r="AE195" s="260"/>
      <c r="AF195" s="260"/>
      <c r="AG195" s="260"/>
      <c r="AH195" s="260"/>
      <c r="AI195" s="264"/>
      <c r="AK195" s="256">
        <f t="shared" si="7"/>
        <v>0</v>
      </c>
    </row>
    <row r="196" spans="2:37" ht="18" hidden="1" customHeight="1">
      <c r="B196" s="270" t="s">
        <v>348</v>
      </c>
      <c r="C196" s="263" t="s">
        <v>349</v>
      </c>
      <c r="D196" s="253">
        <f t="shared" si="6"/>
        <v>0</v>
      </c>
      <c r="E196" s="260"/>
      <c r="F196" s="260"/>
      <c r="G196" s="260"/>
      <c r="H196" s="260"/>
      <c r="I196" s="260"/>
      <c r="J196" s="260"/>
      <c r="K196" s="260"/>
      <c r="L196" s="260"/>
      <c r="M196" s="260"/>
      <c r="N196" s="260"/>
      <c r="O196" s="260"/>
      <c r="P196" s="260"/>
      <c r="Q196" s="260"/>
      <c r="R196" s="260"/>
      <c r="S196" s="260"/>
      <c r="T196" s="260"/>
      <c r="U196" s="260"/>
      <c r="V196" s="260"/>
      <c r="W196" s="260"/>
      <c r="X196" s="260"/>
      <c r="Y196" s="260"/>
      <c r="Z196" s="260"/>
      <c r="AA196" s="260"/>
      <c r="AB196" s="260"/>
      <c r="AC196" s="260"/>
      <c r="AD196" s="260"/>
      <c r="AE196" s="260"/>
      <c r="AF196" s="260"/>
      <c r="AG196" s="260"/>
      <c r="AH196" s="260"/>
      <c r="AI196" s="264"/>
      <c r="AK196" s="256">
        <f t="shared" si="7"/>
        <v>0</v>
      </c>
    </row>
    <row r="197" spans="2:37" ht="18" hidden="1" customHeight="1">
      <c r="B197" s="270" t="s">
        <v>350</v>
      </c>
      <c r="C197" s="263" t="s">
        <v>351</v>
      </c>
      <c r="D197" s="253">
        <f t="shared" si="6"/>
        <v>0</v>
      </c>
      <c r="E197" s="260"/>
      <c r="F197" s="260"/>
      <c r="G197" s="260"/>
      <c r="H197" s="260"/>
      <c r="I197" s="260"/>
      <c r="J197" s="260"/>
      <c r="K197" s="260"/>
      <c r="L197" s="260"/>
      <c r="M197" s="260"/>
      <c r="N197" s="260"/>
      <c r="O197" s="260"/>
      <c r="P197" s="260"/>
      <c r="Q197" s="260"/>
      <c r="R197" s="260"/>
      <c r="S197" s="260"/>
      <c r="T197" s="260"/>
      <c r="U197" s="260"/>
      <c r="V197" s="260"/>
      <c r="W197" s="260"/>
      <c r="X197" s="260"/>
      <c r="Y197" s="260"/>
      <c r="Z197" s="260"/>
      <c r="AA197" s="260"/>
      <c r="AB197" s="260"/>
      <c r="AC197" s="260"/>
      <c r="AD197" s="260"/>
      <c r="AE197" s="260"/>
      <c r="AF197" s="260"/>
      <c r="AG197" s="260"/>
      <c r="AH197" s="260"/>
      <c r="AI197" s="264"/>
      <c r="AK197" s="256">
        <f t="shared" si="7"/>
        <v>0</v>
      </c>
    </row>
    <row r="198" spans="2:37" ht="18" hidden="1" customHeight="1">
      <c r="B198" s="270" t="s">
        <v>352</v>
      </c>
      <c r="C198" s="263" t="s">
        <v>353</v>
      </c>
      <c r="D198" s="253">
        <f t="shared" si="6"/>
        <v>0</v>
      </c>
      <c r="E198" s="260"/>
      <c r="F198" s="260"/>
      <c r="G198" s="260"/>
      <c r="H198" s="260"/>
      <c r="I198" s="260"/>
      <c r="J198" s="260"/>
      <c r="K198" s="260"/>
      <c r="L198" s="260"/>
      <c r="M198" s="260"/>
      <c r="N198" s="260"/>
      <c r="O198" s="260"/>
      <c r="P198" s="260"/>
      <c r="Q198" s="260"/>
      <c r="R198" s="260"/>
      <c r="S198" s="260"/>
      <c r="T198" s="260"/>
      <c r="U198" s="260"/>
      <c r="V198" s="260"/>
      <c r="W198" s="260"/>
      <c r="X198" s="260"/>
      <c r="Y198" s="260"/>
      <c r="Z198" s="260"/>
      <c r="AA198" s="260"/>
      <c r="AB198" s="260"/>
      <c r="AC198" s="260"/>
      <c r="AD198" s="260"/>
      <c r="AE198" s="260"/>
      <c r="AF198" s="260"/>
      <c r="AG198" s="260"/>
      <c r="AH198" s="260"/>
      <c r="AI198" s="264"/>
      <c r="AK198" s="256">
        <f t="shared" si="7"/>
        <v>0</v>
      </c>
    </row>
    <row r="199" spans="2:37" ht="18" hidden="1" customHeight="1">
      <c r="B199" s="270" t="s">
        <v>354</v>
      </c>
      <c r="C199" s="263" t="s">
        <v>355</v>
      </c>
      <c r="D199" s="253">
        <f t="shared" si="6"/>
        <v>0</v>
      </c>
      <c r="E199" s="260"/>
      <c r="F199" s="260"/>
      <c r="G199" s="260"/>
      <c r="H199" s="260"/>
      <c r="I199" s="260"/>
      <c r="J199" s="260"/>
      <c r="K199" s="260"/>
      <c r="L199" s="260"/>
      <c r="M199" s="260"/>
      <c r="N199" s="260"/>
      <c r="O199" s="260"/>
      <c r="P199" s="260"/>
      <c r="Q199" s="260"/>
      <c r="R199" s="260"/>
      <c r="S199" s="260"/>
      <c r="T199" s="260"/>
      <c r="U199" s="260"/>
      <c r="V199" s="260"/>
      <c r="W199" s="260"/>
      <c r="X199" s="260"/>
      <c r="Y199" s="260"/>
      <c r="Z199" s="260"/>
      <c r="AA199" s="260"/>
      <c r="AB199" s="260"/>
      <c r="AC199" s="260"/>
      <c r="AD199" s="260"/>
      <c r="AE199" s="260"/>
      <c r="AF199" s="260"/>
      <c r="AG199" s="260"/>
      <c r="AH199" s="260"/>
      <c r="AI199" s="264"/>
      <c r="AK199" s="256">
        <f t="shared" si="7"/>
        <v>0</v>
      </c>
    </row>
    <row r="200" spans="2:37" ht="18" hidden="1" customHeight="1">
      <c r="B200" s="270" t="s">
        <v>356</v>
      </c>
      <c r="C200" s="263" t="s">
        <v>357</v>
      </c>
      <c r="D200" s="253">
        <f t="shared" ref="D200:D263" si="9">SUM(E200:AI200)</f>
        <v>0</v>
      </c>
      <c r="E200" s="260"/>
      <c r="F200" s="260"/>
      <c r="G200" s="260"/>
      <c r="H200" s="260"/>
      <c r="I200" s="260"/>
      <c r="J200" s="260"/>
      <c r="K200" s="260"/>
      <c r="L200" s="260"/>
      <c r="M200" s="260"/>
      <c r="N200" s="260"/>
      <c r="O200" s="260"/>
      <c r="P200" s="260"/>
      <c r="Q200" s="260"/>
      <c r="R200" s="260"/>
      <c r="S200" s="260"/>
      <c r="T200" s="260"/>
      <c r="U200" s="260"/>
      <c r="V200" s="260"/>
      <c r="W200" s="260"/>
      <c r="X200" s="260"/>
      <c r="Y200" s="260"/>
      <c r="Z200" s="260"/>
      <c r="AA200" s="260"/>
      <c r="AB200" s="260"/>
      <c r="AC200" s="260"/>
      <c r="AD200" s="260"/>
      <c r="AE200" s="260"/>
      <c r="AF200" s="260"/>
      <c r="AG200" s="260"/>
      <c r="AH200" s="260"/>
      <c r="AI200" s="264"/>
      <c r="AK200" s="256">
        <f t="shared" si="7"/>
        <v>0</v>
      </c>
    </row>
    <row r="201" spans="2:37" ht="18" hidden="1" customHeight="1">
      <c r="B201" s="270" t="s">
        <v>358</v>
      </c>
      <c r="C201" s="263" t="s">
        <v>506</v>
      </c>
      <c r="D201" s="253">
        <f t="shared" si="9"/>
        <v>0</v>
      </c>
      <c r="E201" s="260"/>
      <c r="F201" s="260"/>
      <c r="G201" s="260"/>
      <c r="H201" s="260"/>
      <c r="I201" s="260"/>
      <c r="J201" s="260"/>
      <c r="K201" s="260"/>
      <c r="L201" s="260"/>
      <c r="M201" s="260"/>
      <c r="N201" s="260"/>
      <c r="O201" s="260"/>
      <c r="P201" s="260"/>
      <c r="Q201" s="260"/>
      <c r="R201" s="260"/>
      <c r="S201" s="260"/>
      <c r="T201" s="260"/>
      <c r="U201" s="260"/>
      <c r="V201" s="260"/>
      <c r="W201" s="260"/>
      <c r="X201" s="260"/>
      <c r="Y201" s="260"/>
      <c r="Z201" s="260"/>
      <c r="AA201" s="260"/>
      <c r="AB201" s="260"/>
      <c r="AC201" s="260"/>
      <c r="AD201" s="260"/>
      <c r="AE201" s="260"/>
      <c r="AF201" s="260"/>
      <c r="AG201" s="260"/>
      <c r="AH201" s="260"/>
      <c r="AI201" s="264"/>
      <c r="AK201" s="256">
        <f t="shared" si="7"/>
        <v>0</v>
      </c>
    </row>
    <row r="202" spans="2:37" ht="18" hidden="1" customHeight="1">
      <c r="B202" s="270" t="s">
        <v>360</v>
      </c>
      <c r="C202" s="263" t="s">
        <v>361</v>
      </c>
      <c r="D202" s="253">
        <f t="shared" si="9"/>
        <v>0</v>
      </c>
      <c r="E202" s="260"/>
      <c r="F202" s="260"/>
      <c r="G202" s="260"/>
      <c r="H202" s="260"/>
      <c r="I202" s="260"/>
      <c r="J202" s="260"/>
      <c r="K202" s="260"/>
      <c r="L202" s="260"/>
      <c r="M202" s="260"/>
      <c r="N202" s="260"/>
      <c r="O202" s="260"/>
      <c r="P202" s="260"/>
      <c r="Q202" s="260"/>
      <c r="R202" s="260"/>
      <c r="S202" s="260"/>
      <c r="T202" s="260"/>
      <c r="U202" s="260"/>
      <c r="V202" s="260"/>
      <c r="W202" s="260"/>
      <c r="X202" s="260"/>
      <c r="Y202" s="260"/>
      <c r="Z202" s="260"/>
      <c r="AA202" s="260"/>
      <c r="AB202" s="260"/>
      <c r="AC202" s="260"/>
      <c r="AD202" s="260"/>
      <c r="AE202" s="260"/>
      <c r="AF202" s="260"/>
      <c r="AG202" s="260"/>
      <c r="AH202" s="260"/>
      <c r="AI202" s="264"/>
      <c r="AK202" s="256">
        <f t="shared" si="7"/>
        <v>0</v>
      </c>
    </row>
    <row r="203" spans="2:37" ht="18" hidden="1" customHeight="1">
      <c r="B203" s="270" t="s">
        <v>362</v>
      </c>
      <c r="C203" s="263" t="s">
        <v>256</v>
      </c>
      <c r="D203" s="253">
        <f t="shared" si="9"/>
        <v>0</v>
      </c>
      <c r="E203" s="260"/>
      <c r="F203" s="260"/>
      <c r="G203" s="260"/>
      <c r="H203" s="260"/>
      <c r="I203" s="260"/>
      <c r="J203" s="260"/>
      <c r="K203" s="260"/>
      <c r="L203" s="260"/>
      <c r="M203" s="260"/>
      <c r="N203" s="260"/>
      <c r="O203" s="260"/>
      <c r="P203" s="260"/>
      <c r="Q203" s="260"/>
      <c r="R203" s="260"/>
      <c r="S203" s="260"/>
      <c r="T203" s="260"/>
      <c r="U203" s="260"/>
      <c r="V203" s="260"/>
      <c r="W203" s="260"/>
      <c r="X203" s="260"/>
      <c r="Y203" s="260"/>
      <c r="Z203" s="260"/>
      <c r="AA203" s="260"/>
      <c r="AB203" s="260"/>
      <c r="AC203" s="260"/>
      <c r="AD203" s="260"/>
      <c r="AE203" s="260"/>
      <c r="AF203" s="260"/>
      <c r="AG203" s="260"/>
      <c r="AH203" s="260"/>
      <c r="AI203" s="264"/>
      <c r="AK203" s="256">
        <f t="shared" si="7"/>
        <v>0</v>
      </c>
    </row>
    <row r="204" spans="2:37" ht="18" hidden="1" customHeight="1">
      <c r="B204" s="270" t="s">
        <v>363</v>
      </c>
      <c r="C204" s="263" t="s">
        <v>364</v>
      </c>
      <c r="D204" s="253">
        <f t="shared" si="9"/>
        <v>0</v>
      </c>
      <c r="E204" s="260"/>
      <c r="F204" s="260"/>
      <c r="G204" s="260"/>
      <c r="H204" s="260"/>
      <c r="I204" s="260"/>
      <c r="J204" s="260"/>
      <c r="K204" s="260"/>
      <c r="L204" s="260"/>
      <c r="M204" s="260"/>
      <c r="N204" s="260"/>
      <c r="O204" s="260"/>
      <c r="P204" s="260"/>
      <c r="Q204" s="260"/>
      <c r="R204" s="260"/>
      <c r="S204" s="260"/>
      <c r="T204" s="260"/>
      <c r="U204" s="260"/>
      <c r="V204" s="260"/>
      <c r="W204" s="260"/>
      <c r="X204" s="260"/>
      <c r="Y204" s="260"/>
      <c r="Z204" s="260"/>
      <c r="AA204" s="260"/>
      <c r="AB204" s="260"/>
      <c r="AC204" s="260"/>
      <c r="AD204" s="260"/>
      <c r="AE204" s="260"/>
      <c r="AF204" s="260"/>
      <c r="AG204" s="260"/>
      <c r="AH204" s="260"/>
      <c r="AI204" s="264"/>
      <c r="AK204" s="256">
        <f t="shared" si="7"/>
        <v>0</v>
      </c>
    </row>
    <row r="205" spans="2:37" ht="18" hidden="1" customHeight="1">
      <c r="B205" s="270" t="s">
        <v>365</v>
      </c>
      <c r="C205" s="263" t="s">
        <v>366</v>
      </c>
      <c r="D205" s="253">
        <f t="shared" si="9"/>
        <v>0</v>
      </c>
      <c r="E205" s="260"/>
      <c r="F205" s="260"/>
      <c r="G205" s="260"/>
      <c r="H205" s="260"/>
      <c r="I205" s="260"/>
      <c r="J205" s="260"/>
      <c r="K205" s="260"/>
      <c r="L205" s="260"/>
      <c r="M205" s="260"/>
      <c r="N205" s="260"/>
      <c r="O205" s="260"/>
      <c r="P205" s="260"/>
      <c r="Q205" s="260"/>
      <c r="R205" s="260"/>
      <c r="S205" s="260"/>
      <c r="T205" s="260"/>
      <c r="U205" s="260"/>
      <c r="V205" s="260"/>
      <c r="W205" s="260"/>
      <c r="X205" s="260"/>
      <c r="Y205" s="260"/>
      <c r="Z205" s="260"/>
      <c r="AA205" s="260"/>
      <c r="AB205" s="260"/>
      <c r="AC205" s="260"/>
      <c r="AD205" s="260"/>
      <c r="AE205" s="260"/>
      <c r="AF205" s="260"/>
      <c r="AG205" s="260"/>
      <c r="AH205" s="260"/>
      <c r="AI205" s="264"/>
      <c r="AK205" s="256">
        <f t="shared" si="7"/>
        <v>0</v>
      </c>
    </row>
    <row r="206" spans="2:37" ht="18" hidden="1" customHeight="1">
      <c r="B206" s="270" t="s">
        <v>369</v>
      </c>
      <c r="C206" s="263" t="s">
        <v>368</v>
      </c>
      <c r="D206" s="253">
        <f t="shared" si="9"/>
        <v>0</v>
      </c>
      <c r="E206" s="260"/>
      <c r="F206" s="260"/>
      <c r="G206" s="260"/>
      <c r="H206" s="260"/>
      <c r="I206" s="260"/>
      <c r="J206" s="260"/>
      <c r="K206" s="260"/>
      <c r="L206" s="260"/>
      <c r="M206" s="260"/>
      <c r="N206" s="260"/>
      <c r="O206" s="260"/>
      <c r="P206" s="260"/>
      <c r="Q206" s="260"/>
      <c r="R206" s="260"/>
      <c r="S206" s="260"/>
      <c r="T206" s="260"/>
      <c r="U206" s="260"/>
      <c r="V206" s="260"/>
      <c r="W206" s="260"/>
      <c r="X206" s="260"/>
      <c r="Y206" s="260"/>
      <c r="Z206" s="260"/>
      <c r="AA206" s="260"/>
      <c r="AB206" s="260"/>
      <c r="AC206" s="260"/>
      <c r="AD206" s="260"/>
      <c r="AE206" s="260"/>
      <c r="AF206" s="260"/>
      <c r="AG206" s="260"/>
      <c r="AH206" s="260"/>
      <c r="AI206" s="264"/>
      <c r="AK206" s="256">
        <f t="shared" si="7"/>
        <v>0</v>
      </c>
    </row>
    <row r="207" spans="2:37" ht="18" hidden="1" customHeight="1">
      <c r="B207" s="270" t="s">
        <v>372</v>
      </c>
      <c r="C207" s="263" t="s">
        <v>373</v>
      </c>
      <c r="D207" s="253">
        <f t="shared" si="9"/>
        <v>0</v>
      </c>
      <c r="E207" s="260"/>
      <c r="F207" s="260"/>
      <c r="G207" s="260"/>
      <c r="H207" s="260"/>
      <c r="I207" s="260"/>
      <c r="J207" s="260"/>
      <c r="K207" s="260"/>
      <c r="L207" s="260"/>
      <c r="M207" s="260"/>
      <c r="N207" s="260"/>
      <c r="O207" s="260"/>
      <c r="P207" s="260"/>
      <c r="Q207" s="260"/>
      <c r="R207" s="260"/>
      <c r="S207" s="260"/>
      <c r="T207" s="260"/>
      <c r="U207" s="260"/>
      <c r="V207" s="260"/>
      <c r="W207" s="260"/>
      <c r="X207" s="260"/>
      <c r="Y207" s="260"/>
      <c r="Z207" s="260"/>
      <c r="AA207" s="260"/>
      <c r="AB207" s="260"/>
      <c r="AC207" s="260"/>
      <c r="AD207" s="260"/>
      <c r="AE207" s="260"/>
      <c r="AF207" s="260"/>
      <c r="AG207" s="260"/>
      <c r="AH207" s="260"/>
      <c r="AI207" s="264"/>
      <c r="AK207" s="256">
        <f t="shared" ref="AK207:AK263" si="10">+D207-AJ207</f>
        <v>0</v>
      </c>
    </row>
    <row r="208" spans="2:37" ht="18" hidden="1" customHeight="1">
      <c r="B208" s="270" t="s">
        <v>374</v>
      </c>
      <c r="C208" s="263" t="s">
        <v>375</v>
      </c>
      <c r="D208" s="253">
        <f t="shared" si="9"/>
        <v>0</v>
      </c>
      <c r="E208" s="260"/>
      <c r="F208" s="260"/>
      <c r="G208" s="260"/>
      <c r="H208" s="260"/>
      <c r="I208" s="260"/>
      <c r="J208" s="260"/>
      <c r="K208" s="260"/>
      <c r="L208" s="260"/>
      <c r="M208" s="260"/>
      <c r="N208" s="260"/>
      <c r="O208" s="260"/>
      <c r="P208" s="260"/>
      <c r="Q208" s="260"/>
      <c r="R208" s="260"/>
      <c r="S208" s="260"/>
      <c r="T208" s="260"/>
      <c r="U208" s="260"/>
      <c r="V208" s="260"/>
      <c r="W208" s="260"/>
      <c r="X208" s="260"/>
      <c r="Y208" s="260"/>
      <c r="Z208" s="260"/>
      <c r="AA208" s="260"/>
      <c r="AB208" s="260"/>
      <c r="AC208" s="260"/>
      <c r="AD208" s="260"/>
      <c r="AE208" s="260"/>
      <c r="AF208" s="260"/>
      <c r="AG208" s="260"/>
      <c r="AH208" s="260"/>
      <c r="AI208" s="264"/>
      <c r="AK208" s="256">
        <f t="shared" si="10"/>
        <v>0</v>
      </c>
    </row>
    <row r="209" spans="2:37" ht="18" hidden="1" customHeight="1">
      <c r="B209" s="270" t="s">
        <v>378</v>
      </c>
      <c r="C209" s="263" t="s">
        <v>377</v>
      </c>
      <c r="D209" s="253">
        <f t="shared" si="9"/>
        <v>0</v>
      </c>
      <c r="E209" s="260"/>
      <c r="F209" s="260"/>
      <c r="G209" s="260"/>
      <c r="H209" s="260"/>
      <c r="I209" s="260"/>
      <c r="J209" s="260"/>
      <c r="K209" s="260"/>
      <c r="L209" s="260"/>
      <c r="M209" s="260"/>
      <c r="N209" s="260"/>
      <c r="O209" s="260"/>
      <c r="P209" s="260"/>
      <c r="Q209" s="260"/>
      <c r="R209" s="260"/>
      <c r="S209" s="260"/>
      <c r="T209" s="260"/>
      <c r="U209" s="260"/>
      <c r="V209" s="260"/>
      <c r="W209" s="260"/>
      <c r="X209" s="260"/>
      <c r="Y209" s="260"/>
      <c r="Z209" s="260"/>
      <c r="AA209" s="260"/>
      <c r="AB209" s="260"/>
      <c r="AC209" s="260"/>
      <c r="AD209" s="260"/>
      <c r="AE209" s="260"/>
      <c r="AF209" s="260"/>
      <c r="AG209" s="260"/>
      <c r="AH209" s="260"/>
      <c r="AI209" s="264"/>
      <c r="AK209" s="256">
        <f t="shared" si="10"/>
        <v>0</v>
      </c>
    </row>
    <row r="210" spans="2:37" ht="18" hidden="1" customHeight="1">
      <c r="B210" s="270" t="s">
        <v>376</v>
      </c>
      <c r="C210" s="263" t="s">
        <v>377</v>
      </c>
      <c r="D210" s="253">
        <f t="shared" si="9"/>
        <v>0</v>
      </c>
      <c r="E210" s="260"/>
      <c r="F210" s="260"/>
      <c r="G210" s="260"/>
      <c r="H210" s="260"/>
      <c r="I210" s="260"/>
      <c r="J210" s="260"/>
      <c r="K210" s="260"/>
      <c r="L210" s="260"/>
      <c r="M210" s="260"/>
      <c r="N210" s="260"/>
      <c r="O210" s="260"/>
      <c r="P210" s="260"/>
      <c r="Q210" s="260"/>
      <c r="R210" s="260"/>
      <c r="S210" s="260"/>
      <c r="T210" s="260"/>
      <c r="U210" s="260"/>
      <c r="V210" s="260"/>
      <c r="W210" s="260"/>
      <c r="X210" s="260"/>
      <c r="Y210" s="260"/>
      <c r="Z210" s="260"/>
      <c r="AA210" s="260"/>
      <c r="AB210" s="260"/>
      <c r="AC210" s="260"/>
      <c r="AD210" s="260"/>
      <c r="AE210" s="260"/>
      <c r="AF210" s="260"/>
      <c r="AG210" s="260"/>
      <c r="AH210" s="260"/>
      <c r="AI210" s="264"/>
      <c r="AK210" s="256"/>
    </row>
    <row r="211" spans="2:37" ht="18" hidden="1" customHeight="1">
      <c r="B211" s="270" t="s">
        <v>381</v>
      </c>
      <c r="C211" s="263" t="s">
        <v>382</v>
      </c>
      <c r="D211" s="253">
        <f t="shared" si="9"/>
        <v>0</v>
      </c>
      <c r="E211" s="260"/>
      <c r="F211" s="260"/>
      <c r="G211" s="260"/>
      <c r="H211" s="260"/>
      <c r="I211" s="260"/>
      <c r="J211" s="260"/>
      <c r="K211" s="260"/>
      <c r="L211" s="260"/>
      <c r="M211" s="260"/>
      <c r="N211" s="260"/>
      <c r="O211" s="260"/>
      <c r="P211" s="260"/>
      <c r="Q211" s="260"/>
      <c r="R211" s="260"/>
      <c r="S211" s="260"/>
      <c r="T211" s="260"/>
      <c r="U211" s="260"/>
      <c r="V211" s="260"/>
      <c r="W211" s="260"/>
      <c r="X211" s="260"/>
      <c r="Y211" s="260"/>
      <c r="Z211" s="260"/>
      <c r="AA211" s="260"/>
      <c r="AB211" s="260"/>
      <c r="AC211" s="260"/>
      <c r="AD211" s="260"/>
      <c r="AE211" s="260"/>
      <c r="AF211" s="260"/>
      <c r="AG211" s="260"/>
      <c r="AH211" s="260"/>
      <c r="AI211" s="264"/>
      <c r="AK211" s="256">
        <f t="shared" si="10"/>
        <v>0</v>
      </c>
    </row>
    <row r="212" spans="2:37" ht="18" hidden="1" customHeight="1">
      <c r="B212" s="270" t="s">
        <v>383</v>
      </c>
      <c r="C212" s="263" t="s">
        <v>384</v>
      </c>
      <c r="D212" s="253">
        <f t="shared" si="9"/>
        <v>0</v>
      </c>
      <c r="E212" s="260"/>
      <c r="F212" s="260"/>
      <c r="G212" s="260"/>
      <c r="H212" s="260"/>
      <c r="I212" s="260"/>
      <c r="J212" s="260"/>
      <c r="K212" s="260"/>
      <c r="L212" s="260"/>
      <c r="M212" s="260"/>
      <c r="N212" s="260"/>
      <c r="O212" s="260"/>
      <c r="P212" s="260"/>
      <c r="Q212" s="260"/>
      <c r="R212" s="260"/>
      <c r="S212" s="260"/>
      <c r="T212" s="260"/>
      <c r="U212" s="260"/>
      <c r="V212" s="260"/>
      <c r="W212" s="260"/>
      <c r="X212" s="260"/>
      <c r="Y212" s="260"/>
      <c r="Z212" s="260"/>
      <c r="AA212" s="260"/>
      <c r="AB212" s="260"/>
      <c r="AC212" s="260"/>
      <c r="AD212" s="260"/>
      <c r="AE212" s="260"/>
      <c r="AF212" s="260"/>
      <c r="AG212" s="260"/>
      <c r="AH212" s="260"/>
      <c r="AI212" s="264"/>
      <c r="AK212" s="256">
        <f t="shared" si="10"/>
        <v>0</v>
      </c>
    </row>
    <row r="213" spans="2:37" ht="18" hidden="1" customHeight="1">
      <c r="B213" s="270" t="s">
        <v>370</v>
      </c>
      <c r="C213" s="263" t="s">
        <v>371</v>
      </c>
      <c r="D213" s="253">
        <f t="shared" si="9"/>
        <v>0</v>
      </c>
      <c r="E213" s="260"/>
      <c r="F213" s="260"/>
      <c r="G213" s="260"/>
      <c r="H213" s="260"/>
      <c r="I213" s="260"/>
      <c r="J213" s="260"/>
      <c r="K213" s="260"/>
      <c r="L213" s="260"/>
      <c r="M213" s="260"/>
      <c r="N213" s="260"/>
      <c r="O213" s="260"/>
      <c r="P213" s="260"/>
      <c r="Q213" s="260"/>
      <c r="R213" s="260"/>
      <c r="S213" s="260"/>
      <c r="T213" s="260"/>
      <c r="U213" s="260"/>
      <c r="V213" s="260"/>
      <c r="W213" s="260"/>
      <c r="X213" s="260"/>
      <c r="Y213" s="260"/>
      <c r="Z213" s="260"/>
      <c r="AA213" s="260"/>
      <c r="AB213" s="260"/>
      <c r="AC213" s="260"/>
      <c r="AD213" s="260"/>
      <c r="AE213" s="260"/>
      <c r="AF213" s="260"/>
      <c r="AG213" s="260"/>
      <c r="AH213" s="260"/>
      <c r="AI213" s="264"/>
      <c r="AK213" s="256">
        <f t="shared" si="10"/>
        <v>0</v>
      </c>
    </row>
    <row r="214" spans="2:37" ht="18" hidden="1" customHeight="1">
      <c r="B214" s="270" t="s">
        <v>385</v>
      </c>
      <c r="C214" s="263" t="s">
        <v>386</v>
      </c>
      <c r="D214" s="253">
        <f t="shared" si="9"/>
        <v>0</v>
      </c>
      <c r="E214" s="260"/>
      <c r="F214" s="260"/>
      <c r="G214" s="260"/>
      <c r="H214" s="260"/>
      <c r="I214" s="260"/>
      <c r="J214" s="260"/>
      <c r="K214" s="260"/>
      <c r="L214" s="260"/>
      <c r="M214" s="260"/>
      <c r="N214" s="260"/>
      <c r="O214" s="260"/>
      <c r="P214" s="260"/>
      <c r="Q214" s="260"/>
      <c r="R214" s="260"/>
      <c r="S214" s="260"/>
      <c r="T214" s="260"/>
      <c r="U214" s="260"/>
      <c r="V214" s="260"/>
      <c r="W214" s="260"/>
      <c r="X214" s="260"/>
      <c r="Y214" s="260"/>
      <c r="Z214" s="260"/>
      <c r="AA214" s="260"/>
      <c r="AB214" s="260"/>
      <c r="AC214" s="260"/>
      <c r="AD214" s="260"/>
      <c r="AE214" s="260"/>
      <c r="AF214" s="260"/>
      <c r="AG214" s="260"/>
      <c r="AH214" s="260"/>
      <c r="AI214" s="264"/>
      <c r="AK214" s="256">
        <f t="shared" si="10"/>
        <v>0</v>
      </c>
    </row>
    <row r="215" spans="2:37" ht="18" hidden="1" customHeight="1">
      <c r="B215" s="270" t="s">
        <v>387</v>
      </c>
      <c r="C215" s="263" t="s">
        <v>388</v>
      </c>
      <c r="D215" s="253">
        <f t="shared" si="9"/>
        <v>0</v>
      </c>
      <c r="E215" s="260"/>
      <c r="F215" s="260"/>
      <c r="G215" s="260"/>
      <c r="H215" s="260"/>
      <c r="I215" s="260"/>
      <c r="J215" s="260"/>
      <c r="K215" s="260"/>
      <c r="L215" s="260"/>
      <c r="M215" s="260"/>
      <c r="N215" s="260"/>
      <c r="O215" s="260"/>
      <c r="P215" s="260"/>
      <c r="Q215" s="260"/>
      <c r="R215" s="260"/>
      <c r="S215" s="260"/>
      <c r="T215" s="260"/>
      <c r="U215" s="260"/>
      <c r="V215" s="260"/>
      <c r="W215" s="260"/>
      <c r="X215" s="260"/>
      <c r="Y215" s="260"/>
      <c r="Z215" s="260"/>
      <c r="AA215" s="260"/>
      <c r="AB215" s="260"/>
      <c r="AC215" s="260"/>
      <c r="AD215" s="260"/>
      <c r="AE215" s="260"/>
      <c r="AF215" s="260"/>
      <c r="AG215" s="260"/>
      <c r="AH215" s="260"/>
      <c r="AI215" s="264"/>
      <c r="AK215" s="256">
        <f t="shared" si="10"/>
        <v>0</v>
      </c>
    </row>
    <row r="216" spans="2:37" ht="18" hidden="1" customHeight="1">
      <c r="B216" s="270" t="s">
        <v>411</v>
      </c>
      <c r="C216" s="263" t="s">
        <v>412</v>
      </c>
      <c r="D216" s="253">
        <f t="shared" si="9"/>
        <v>0</v>
      </c>
      <c r="E216" s="260"/>
      <c r="F216" s="260"/>
      <c r="G216" s="260"/>
      <c r="H216" s="260"/>
      <c r="I216" s="260"/>
      <c r="J216" s="260"/>
      <c r="K216" s="260"/>
      <c r="L216" s="260"/>
      <c r="M216" s="260"/>
      <c r="N216" s="260"/>
      <c r="O216" s="260"/>
      <c r="P216" s="260"/>
      <c r="Q216" s="260"/>
      <c r="R216" s="260"/>
      <c r="S216" s="260"/>
      <c r="T216" s="260"/>
      <c r="U216" s="260"/>
      <c r="V216" s="260"/>
      <c r="W216" s="260"/>
      <c r="X216" s="260"/>
      <c r="Y216" s="260"/>
      <c r="Z216" s="260"/>
      <c r="AA216" s="260"/>
      <c r="AB216" s="260"/>
      <c r="AC216" s="260"/>
      <c r="AD216" s="260"/>
      <c r="AE216" s="260"/>
      <c r="AF216" s="260"/>
      <c r="AG216" s="260"/>
      <c r="AH216" s="260"/>
      <c r="AI216" s="264"/>
      <c r="AK216" s="256">
        <f t="shared" si="10"/>
        <v>0</v>
      </c>
    </row>
    <row r="217" spans="2:37" ht="18" hidden="1" customHeight="1">
      <c r="B217" s="270" t="s">
        <v>60</v>
      </c>
      <c r="C217" s="263" t="s">
        <v>61</v>
      </c>
      <c r="D217" s="253">
        <f t="shared" si="9"/>
        <v>0</v>
      </c>
      <c r="E217" s="260"/>
      <c r="F217" s="260"/>
      <c r="G217" s="260"/>
      <c r="H217" s="260"/>
      <c r="I217" s="260"/>
      <c r="J217" s="260"/>
      <c r="K217" s="260"/>
      <c r="L217" s="260"/>
      <c r="M217" s="260"/>
      <c r="N217" s="260"/>
      <c r="O217" s="260"/>
      <c r="P217" s="260"/>
      <c r="Q217" s="260"/>
      <c r="R217" s="260"/>
      <c r="S217" s="260"/>
      <c r="T217" s="260"/>
      <c r="U217" s="260"/>
      <c r="V217" s="260"/>
      <c r="W217" s="260"/>
      <c r="X217" s="260"/>
      <c r="Y217" s="260"/>
      <c r="Z217" s="260"/>
      <c r="AA217" s="260"/>
      <c r="AB217" s="260"/>
      <c r="AC217" s="260"/>
      <c r="AD217" s="260"/>
      <c r="AE217" s="260"/>
      <c r="AF217" s="260"/>
      <c r="AG217" s="260"/>
      <c r="AH217" s="260"/>
      <c r="AI217" s="264"/>
      <c r="AK217" s="256">
        <f t="shared" si="10"/>
        <v>0</v>
      </c>
    </row>
    <row r="218" spans="2:37" ht="18" hidden="1" customHeight="1">
      <c r="B218" s="270" t="s">
        <v>188</v>
      </c>
      <c r="C218" s="263" t="s">
        <v>189</v>
      </c>
      <c r="D218" s="253">
        <f t="shared" si="9"/>
        <v>0</v>
      </c>
      <c r="E218" s="260"/>
      <c r="F218" s="260"/>
      <c r="G218" s="260"/>
      <c r="H218" s="260"/>
      <c r="I218" s="260"/>
      <c r="J218" s="260"/>
      <c r="K218" s="260"/>
      <c r="L218" s="260"/>
      <c r="M218" s="260"/>
      <c r="N218" s="260"/>
      <c r="O218" s="260"/>
      <c r="P218" s="260"/>
      <c r="Q218" s="260"/>
      <c r="R218" s="260"/>
      <c r="S218" s="260"/>
      <c r="T218" s="260"/>
      <c r="U218" s="260"/>
      <c r="V218" s="260"/>
      <c r="W218" s="260"/>
      <c r="X218" s="260"/>
      <c r="Y218" s="260"/>
      <c r="Z218" s="260"/>
      <c r="AA218" s="260"/>
      <c r="AB218" s="260"/>
      <c r="AC218" s="260"/>
      <c r="AD218" s="260"/>
      <c r="AE218" s="260"/>
      <c r="AF218" s="260"/>
      <c r="AG218" s="260"/>
      <c r="AH218" s="260"/>
      <c r="AI218" s="264"/>
      <c r="AK218" s="256">
        <f t="shared" si="10"/>
        <v>0</v>
      </c>
    </row>
    <row r="219" spans="2:37" ht="18" hidden="1" customHeight="1">
      <c r="B219" s="270" t="s">
        <v>391</v>
      </c>
      <c r="C219" s="263" t="s">
        <v>392</v>
      </c>
      <c r="D219" s="253">
        <f t="shared" si="9"/>
        <v>0</v>
      </c>
      <c r="E219" s="260"/>
      <c r="F219" s="260"/>
      <c r="G219" s="260"/>
      <c r="H219" s="260"/>
      <c r="I219" s="260"/>
      <c r="J219" s="260"/>
      <c r="K219" s="260"/>
      <c r="L219" s="260"/>
      <c r="M219" s="260"/>
      <c r="N219" s="260"/>
      <c r="O219" s="260"/>
      <c r="P219" s="260"/>
      <c r="Q219" s="260"/>
      <c r="R219" s="260"/>
      <c r="S219" s="260"/>
      <c r="T219" s="260"/>
      <c r="U219" s="260"/>
      <c r="V219" s="260"/>
      <c r="W219" s="260"/>
      <c r="X219" s="260"/>
      <c r="Y219" s="260"/>
      <c r="Z219" s="260"/>
      <c r="AA219" s="260"/>
      <c r="AB219" s="260"/>
      <c r="AC219" s="260"/>
      <c r="AD219" s="260"/>
      <c r="AE219" s="260"/>
      <c r="AF219" s="260"/>
      <c r="AG219" s="260"/>
      <c r="AH219" s="260"/>
      <c r="AI219" s="264"/>
      <c r="AK219" s="256">
        <f t="shared" si="10"/>
        <v>0</v>
      </c>
    </row>
    <row r="220" spans="2:37" ht="18" hidden="1" customHeight="1">
      <c r="B220" s="270" t="s">
        <v>389</v>
      </c>
      <c r="C220" s="271" t="s">
        <v>390</v>
      </c>
      <c r="D220" s="253">
        <f t="shared" si="9"/>
        <v>0</v>
      </c>
      <c r="E220" s="260"/>
      <c r="F220" s="260"/>
      <c r="G220" s="260"/>
      <c r="H220" s="260"/>
      <c r="I220" s="260"/>
      <c r="J220" s="260"/>
      <c r="K220" s="260"/>
      <c r="L220" s="260"/>
      <c r="M220" s="260"/>
      <c r="N220" s="260"/>
      <c r="O220" s="260"/>
      <c r="P220" s="260"/>
      <c r="Q220" s="260"/>
      <c r="R220" s="260"/>
      <c r="S220" s="260"/>
      <c r="T220" s="260"/>
      <c r="U220" s="260"/>
      <c r="V220" s="260"/>
      <c r="W220" s="260"/>
      <c r="X220" s="260"/>
      <c r="Y220" s="260"/>
      <c r="Z220" s="260"/>
      <c r="AA220" s="260"/>
      <c r="AB220" s="260"/>
      <c r="AC220" s="260"/>
      <c r="AD220" s="260"/>
      <c r="AE220" s="260"/>
      <c r="AF220" s="260"/>
      <c r="AG220" s="260"/>
      <c r="AH220" s="260"/>
      <c r="AI220" s="264"/>
      <c r="AK220" s="256">
        <f t="shared" si="10"/>
        <v>0</v>
      </c>
    </row>
    <row r="221" spans="2:37" ht="18" hidden="1" customHeight="1">
      <c r="B221" s="270" t="s">
        <v>406</v>
      </c>
      <c r="C221" s="271" t="s">
        <v>394</v>
      </c>
      <c r="D221" s="253">
        <f t="shared" si="9"/>
        <v>0</v>
      </c>
      <c r="E221" s="260"/>
      <c r="F221" s="260"/>
      <c r="G221" s="260"/>
      <c r="H221" s="260"/>
      <c r="I221" s="260"/>
      <c r="J221" s="260"/>
      <c r="K221" s="260"/>
      <c r="L221" s="260"/>
      <c r="M221" s="260"/>
      <c r="N221" s="260"/>
      <c r="O221" s="260"/>
      <c r="P221" s="260"/>
      <c r="Q221" s="260"/>
      <c r="R221" s="260"/>
      <c r="S221" s="260"/>
      <c r="T221" s="260"/>
      <c r="U221" s="260"/>
      <c r="V221" s="260"/>
      <c r="W221" s="260"/>
      <c r="X221" s="260"/>
      <c r="Y221" s="260"/>
      <c r="Z221" s="260"/>
      <c r="AA221" s="260"/>
      <c r="AB221" s="260"/>
      <c r="AC221" s="260"/>
      <c r="AD221" s="260"/>
      <c r="AE221" s="260"/>
      <c r="AF221" s="260"/>
      <c r="AG221" s="260"/>
      <c r="AH221" s="260"/>
      <c r="AI221" s="264"/>
      <c r="AK221" s="256">
        <f t="shared" si="10"/>
        <v>0</v>
      </c>
    </row>
    <row r="222" spans="2:37" ht="18" hidden="1" customHeight="1">
      <c r="B222" s="270" t="s">
        <v>393</v>
      </c>
      <c r="C222" s="271" t="s">
        <v>394</v>
      </c>
      <c r="D222" s="253">
        <f t="shared" si="9"/>
        <v>0</v>
      </c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60"/>
      <c r="P222" s="260"/>
      <c r="Q222" s="260"/>
      <c r="R222" s="260"/>
      <c r="S222" s="260"/>
      <c r="T222" s="260"/>
      <c r="U222" s="260"/>
      <c r="V222" s="260"/>
      <c r="W222" s="260"/>
      <c r="X222" s="260"/>
      <c r="Y222" s="260"/>
      <c r="Z222" s="260"/>
      <c r="AA222" s="260"/>
      <c r="AB222" s="260"/>
      <c r="AC222" s="260"/>
      <c r="AD222" s="260"/>
      <c r="AE222" s="260"/>
      <c r="AF222" s="260"/>
      <c r="AG222" s="260"/>
      <c r="AH222" s="260"/>
      <c r="AI222" s="264"/>
      <c r="AK222" s="256">
        <f t="shared" si="10"/>
        <v>0</v>
      </c>
    </row>
    <row r="223" spans="2:37" ht="18" hidden="1" customHeight="1">
      <c r="B223" s="270" t="s">
        <v>395</v>
      </c>
      <c r="C223" s="271" t="s">
        <v>396</v>
      </c>
      <c r="D223" s="253">
        <f t="shared" si="9"/>
        <v>0</v>
      </c>
      <c r="E223" s="260"/>
      <c r="F223" s="260"/>
      <c r="G223" s="260"/>
      <c r="H223" s="260"/>
      <c r="I223" s="260"/>
      <c r="J223" s="260"/>
      <c r="K223" s="260"/>
      <c r="L223" s="260"/>
      <c r="M223" s="260"/>
      <c r="N223" s="260"/>
      <c r="O223" s="260"/>
      <c r="P223" s="260"/>
      <c r="Q223" s="260"/>
      <c r="R223" s="260"/>
      <c r="S223" s="260"/>
      <c r="T223" s="260"/>
      <c r="U223" s="260"/>
      <c r="V223" s="260"/>
      <c r="W223" s="260"/>
      <c r="X223" s="260"/>
      <c r="Y223" s="260"/>
      <c r="Z223" s="260"/>
      <c r="AA223" s="260"/>
      <c r="AB223" s="260"/>
      <c r="AC223" s="260"/>
      <c r="AD223" s="260"/>
      <c r="AE223" s="260"/>
      <c r="AF223" s="260"/>
      <c r="AG223" s="260"/>
      <c r="AH223" s="260"/>
      <c r="AI223" s="264"/>
      <c r="AK223" s="256">
        <f t="shared" si="10"/>
        <v>0</v>
      </c>
    </row>
    <row r="224" spans="2:37" ht="18" hidden="1" customHeight="1">
      <c r="B224" s="270" t="s">
        <v>399</v>
      </c>
      <c r="C224" s="271" t="s">
        <v>400</v>
      </c>
      <c r="D224" s="253">
        <f t="shared" si="9"/>
        <v>0</v>
      </c>
      <c r="E224" s="260"/>
      <c r="F224" s="260"/>
      <c r="G224" s="260"/>
      <c r="H224" s="260"/>
      <c r="I224" s="260"/>
      <c r="J224" s="260"/>
      <c r="K224" s="260"/>
      <c r="L224" s="260"/>
      <c r="M224" s="260"/>
      <c r="N224" s="260"/>
      <c r="O224" s="260"/>
      <c r="P224" s="260"/>
      <c r="Q224" s="260"/>
      <c r="R224" s="260"/>
      <c r="S224" s="260"/>
      <c r="T224" s="260"/>
      <c r="U224" s="260"/>
      <c r="V224" s="260"/>
      <c r="W224" s="260"/>
      <c r="X224" s="260"/>
      <c r="Y224" s="260"/>
      <c r="Z224" s="260"/>
      <c r="AA224" s="260"/>
      <c r="AB224" s="260"/>
      <c r="AC224" s="260"/>
      <c r="AD224" s="260"/>
      <c r="AE224" s="260"/>
      <c r="AF224" s="260"/>
      <c r="AG224" s="260"/>
      <c r="AH224" s="260"/>
      <c r="AI224" s="264"/>
      <c r="AK224" s="256">
        <f t="shared" si="10"/>
        <v>0</v>
      </c>
    </row>
    <row r="225" spans="2:37" ht="18" hidden="1" customHeight="1">
      <c r="B225" s="270" t="s">
        <v>401</v>
      </c>
      <c r="C225" s="271" t="s">
        <v>402</v>
      </c>
      <c r="D225" s="253">
        <f t="shared" si="9"/>
        <v>0</v>
      </c>
      <c r="E225" s="260"/>
      <c r="F225" s="260"/>
      <c r="G225" s="260"/>
      <c r="H225" s="260"/>
      <c r="I225" s="260"/>
      <c r="J225" s="260"/>
      <c r="K225" s="260"/>
      <c r="L225" s="260"/>
      <c r="M225" s="260"/>
      <c r="N225" s="260"/>
      <c r="O225" s="260"/>
      <c r="P225" s="260"/>
      <c r="Q225" s="260"/>
      <c r="R225" s="260"/>
      <c r="S225" s="260"/>
      <c r="T225" s="260"/>
      <c r="U225" s="260"/>
      <c r="V225" s="260"/>
      <c r="W225" s="260"/>
      <c r="X225" s="260"/>
      <c r="Y225" s="260"/>
      <c r="Z225" s="260"/>
      <c r="AA225" s="260"/>
      <c r="AB225" s="260"/>
      <c r="AC225" s="260"/>
      <c r="AD225" s="260"/>
      <c r="AE225" s="260"/>
      <c r="AF225" s="260"/>
      <c r="AG225" s="260"/>
      <c r="AH225" s="260"/>
      <c r="AI225" s="264"/>
      <c r="AK225" s="256">
        <f t="shared" si="10"/>
        <v>0</v>
      </c>
    </row>
    <row r="226" spans="2:37" ht="18" hidden="1" customHeight="1">
      <c r="B226" s="270" t="s">
        <v>397</v>
      </c>
      <c r="C226" s="271" t="s">
        <v>398</v>
      </c>
      <c r="D226" s="253">
        <f t="shared" si="9"/>
        <v>0</v>
      </c>
      <c r="E226" s="260"/>
      <c r="F226" s="260"/>
      <c r="G226" s="260"/>
      <c r="H226" s="260"/>
      <c r="I226" s="260"/>
      <c r="J226" s="260"/>
      <c r="K226" s="260"/>
      <c r="L226" s="260"/>
      <c r="M226" s="260"/>
      <c r="N226" s="260"/>
      <c r="O226" s="260"/>
      <c r="P226" s="260"/>
      <c r="Q226" s="260"/>
      <c r="R226" s="260"/>
      <c r="S226" s="260"/>
      <c r="T226" s="260"/>
      <c r="U226" s="260"/>
      <c r="V226" s="260"/>
      <c r="W226" s="260"/>
      <c r="X226" s="260"/>
      <c r="Y226" s="260"/>
      <c r="Z226" s="260"/>
      <c r="AA226" s="260"/>
      <c r="AB226" s="260"/>
      <c r="AC226" s="260"/>
      <c r="AD226" s="260"/>
      <c r="AE226" s="260"/>
      <c r="AF226" s="260"/>
      <c r="AG226" s="260"/>
      <c r="AH226" s="260"/>
      <c r="AI226" s="264"/>
      <c r="AK226" s="256">
        <f t="shared" si="10"/>
        <v>0</v>
      </c>
    </row>
    <row r="227" spans="2:37" ht="18" hidden="1" customHeight="1">
      <c r="B227" s="270" t="s">
        <v>403</v>
      </c>
      <c r="C227" s="271" t="s">
        <v>404</v>
      </c>
      <c r="D227" s="253">
        <f t="shared" si="9"/>
        <v>0</v>
      </c>
      <c r="E227" s="260"/>
      <c r="F227" s="260"/>
      <c r="G227" s="260"/>
      <c r="H227" s="260"/>
      <c r="I227" s="260"/>
      <c r="J227" s="260"/>
      <c r="K227" s="260"/>
      <c r="L227" s="260"/>
      <c r="M227" s="260"/>
      <c r="N227" s="260"/>
      <c r="O227" s="260"/>
      <c r="P227" s="260"/>
      <c r="Q227" s="260"/>
      <c r="R227" s="260"/>
      <c r="S227" s="260"/>
      <c r="T227" s="260"/>
      <c r="U227" s="260"/>
      <c r="V227" s="260"/>
      <c r="W227" s="260"/>
      <c r="X227" s="260"/>
      <c r="Y227" s="260"/>
      <c r="Z227" s="260"/>
      <c r="AA227" s="260"/>
      <c r="AB227" s="260"/>
      <c r="AC227" s="260"/>
      <c r="AD227" s="260"/>
      <c r="AE227" s="260"/>
      <c r="AF227" s="260"/>
      <c r="AG227" s="260"/>
      <c r="AH227" s="260"/>
      <c r="AI227" s="264"/>
      <c r="AK227" s="256">
        <f t="shared" si="10"/>
        <v>0</v>
      </c>
    </row>
    <row r="228" spans="2:37" ht="18" hidden="1" customHeight="1">
      <c r="B228" s="270" t="s">
        <v>367</v>
      </c>
      <c r="C228" s="271" t="s">
        <v>368</v>
      </c>
      <c r="D228" s="253">
        <f t="shared" si="9"/>
        <v>0</v>
      </c>
      <c r="E228" s="260"/>
      <c r="F228" s="260"/>
      <c r="G228" s="260"/>
      <c r="H228" s="260"/>
      <c r="I228" s="260"/>
      <c r="J228" s="260"/>
      <c r="K228" s="260"/>
      <c r="L228" s="260"/>
      <c r="M228" s="260"/>
      <c r="N228" s="260"/>
      <c r="O228" s="260"/>
      <c r="P228" s="260"/>
      <c r="Q228" s="260"/>
      <c r="R228" s="260"/>
      <c r="S228" s="260"/>
      <c r="T228" s="260"/>
      <c r="U228" s="260"/>
      <c r="V228" s="260"/>
      <c r="W228" s="260"/>
      <c r="X228" s="260"/>
      <c r="Y228" s="260"/>
      <c r="Z228" s="260"/>
      <c r="AA228" s="260"/>
      <c r="AB228" s="260"/>
      <c r="AC228" s="260"/>
      <c r="AD228" s="260"/>
      <c r="AE228" s="260"/>
      <c r="AF228" s="260"/>
      <c r="AG228" s="260"/>
      <c r="AH228" s="260"/>
      <c r="AI228" s="264"/>
      <c r="AK228" s="256">
        <f t="shared" si="10"/>
        <v>0</v>
      </c>
    </row>
    <row r="229" spans="2:37" ht="18" hidden="1" customHeight="1">
      <c r="B229" s="270" t="s">
        <v>405</v>
      </c>
      <c r="C229" s="271" t="s">
        <v>394</v>
      </c>
      <c r="D229" s="253">
        <f t="shared" si="9"/>
        <v>0</v>
      </c>
      <c r="E229" s="260"/>
      <c r="F229" s="260"/>
      <c r="G229" s="260"/>
      <c r="H229" s="260"/>
      <c r="I229" s="260"/>
      <c r="J229" s="260"/>
      <c r="K229" s="260"/>
      <c r="L229" s="260"/>
      <c r="M229" s="260"/>
      <c r="N229" s="260"/>
      <c r="O229" s="260"/>
      <c r="P229" s="260"/>
      <c r="Q229" s="260"/>
      <c r="R229" s="260"/>
      <c r="S229" s="260"/>
      <c r="T229" s="260"/>
      <c r="U229" s="260"/>
      <c r="V229" s="260"/>
      <c r="W229" s="260"/>
      <c r="X229" s="260"/>
      <c r="Y229" s="260"/>
      <c r="Z229" s="260"/>
      <c r="AA229" s="260"/>
      <c r="AB229" s="260"/>
      <c r="AC229" s="260"/>
      <c r="AD229" s="260"/>
      <c r="AE229" s="260"/>
      <c r="AF229" s="260"/>
      <c r="AG229" s="260"/>
      <c r="AH229" s="260"/>
      <c r="AI229" s="264"/>
      <c r="AK229" s="256">
        <f t="shared" si="10"/>
        <v>0</v>
      </c>
    </row>
    <row r="230" spans="2:37" ht="18" hidden="1" customHeight="1">
      <c r="B230" s="270" t="s">
        <v>409</v>
      </c>
      <c r="C230" s="271" t="s">
        <v>410</v>
      </c>
      <c r="D230" s="253">
        <f t="shared" si="9"/>
        <v>0</v>
      </c>
      <c r="E230" s="260"/>
      <c r="F230" s="260"/>
      <c r="G230" s="260"/>
      <c r="H230" s="260"/>
      <c r="I230" s="260"/>
      <c r="J230" s="260"/>
      <c r="K230" s="260"/>
      <c r="L230" s="260"/>
      <c r="M230" s="260"/>
      <c r="N230" s="260"/>
      <c r="O230" s="260"/>
      <c r="P230" s="260"/>
      <c r="Q230" s="260"/>
      <c r="R230" s="260"/>
      <c r="S230" s="260"/>
      <c r="T230" s="260"/>
      <c r="U230" s="260"/>
      <c r="V230" s="260"/>
      <c r="W230" s="260"/>
      <c r="X230" s="260"/>
      <c r="Y230" s="260"/>
      <c r="Z230" s="260"/>
      <c r="AA230" s="260"/>
      <c r="AB230" s="260"/>
      <c r="AC230" s="260"/>
      <c r="AD230" s="260"/>
      <c r="AE230" s="260"/>
      <c r="AF230" s="260"/>
      <c r="AG230" s="260"/>
      <c r="AH230" s="260"/>
      <c r="AI230" s="264"/>
      <c r="AK230" s="256">
        <f t="shared" si="10"/>
        <v>0</v>
      </c>
    </row>
    <row r="231" spans="2:37" ht="18" hidden="1" customHeight="1">
      <c r="B231" s="270" t="s">
        <v>413</v>
      </c>
      <c r="C231" s="263" t="s">
        <v>414</v>
      </c>
      <c r="D231" s="253">
        <f t="shared" si="9"/>
        <v>0</v>
      </c>
      <c r="E231" s="260"/>
      <c r="F231" s="260"/>
      <c r="G231" s="260"/>
      <c r="H231" s="260"/>
      <c r="I231" s="260"/>
      <c r="J231" s="260"/>
      <c r="K231" s="260"/>
      <c r="L231" s="260"/>
      <c r="M231" s="260"/>
      <c r="N231" s="260"/>
      <c r="O231" s="260"/>
      <c r="P231" s="260"/>
      <c r="Q231" s="260"/>
      <c r="R231" s="260"/>
      <c r="S231" s="260"/>
      <c r="T231" s="260"/>
      <c r="U231" s="260"/>
      <c r="V231" s="260"/>
      <c r="W231" s="260"/>
      <c r="X231" s="260"/>
      <c r="Y231" s="260"/>
      <c r="Z231" s="260"/>
      <c r="AA231" s="260"/>
      <c r="AB231" s="260"/>
      <c r="AC231" s="260"/>
      <c r="AD231" s="260"/>
      <c r="AE231" s="260"/>
      <c r="AF231" s="260"/>
      <c r="AG231" s="260"/>
      <c r="AH231" s="260"/>
      <c r="AI231" s="264"/>
      <c r="AK231" s="256">
        <f t="shared" si="10"/>
        <v>0</v>
      </c>
    </row>
    <row r="232" spans="2:37" ht="18" hidden="1" customHeight="1">
      <c r="B232" s="270" t="s">
        <v>415</v>
      </c>
      <c r="C232" s="263" t="s">
        <v>414</v>
      </c>
      <c r="D232" s="253">
        <f t="shared" si="9"/>
        <v>0</v>
      </c>
      <c r="E232" s="260"/>
      <c r="F232" s="260"/>
      <c r="G232" s="260"/>
      <c r="H232" s="260"/>
      <c r="I232" s="260"/>
      <c r="J232" s="260"/>
      <c r="K232" s="260"/>
      <c r="L232" s="260"/>
      <c r="M232" s="260"/>
      <c r="N232" s="260"/>
      <c r="O232" s="260"/>
      <c r="P232" s="260"/>
      <c r="Q232" s="260"/>
      <c r="R232" s="260"/>
      <c r="S232" s="260"/>
      <c r="T232" s="260"/>
      <c r="U232" s="260"/>
      <c r="V232" s="260"/>
      <c r="W232" s="260"/>
      <c r="X232" s="260"/>
      <c r="Y232" s="260"/>
      <c r="Z232" s="260"/>
      <c r="AA232" s="260"/>
      <c r="AB232" s="260"/>
      <c r="AC232" s="260"/>
      <c r="AD232" s="260"/>
      <c r="AE232" s="260"/>
      <c r="AF232" s="260"/>
      <c r="AG232" s="260"/>
      <c r="AH232" s="260"/>
      <c r="AI232" s="264"/>
      <c r="AK232" s="256"/>
    </row>
    <row r="233" spans="2:37" ht="18" hidden="1" customHeight="1">
      <c r="B233" s="270" t="s">
        <v>416</v>
      </c>
      <c r="C233" s="263" t="s">
        <v>417</v>
      </c>
      <c r="D233" s="253">
        <f t="shared" si="9"/>
        <v>0</v>
      </c>
      <c r="E233" s="260"/>
      <c r="F233" s="260"/>
      <c r="G233" s="260"/>
      <c r="H233" s="260"/>
      <c r="I233" s="260"/>
      <c r="J233" s="260"/>
      <c r="K233" s="260"/>
      <c r="L233" s="260"/>
      <c r="M233" s="260"/>
      <c r="N233" s="260"/>
      <c r="O233" s="260"/>
      <c r="P233" s="260"/>
      <c r="Q233" s="260"/>
      <c r="R233" s="260"/>
      <c r="S233" s="260"/>
      <c r="T233" s="260"/>
      <c r="U233" s="260"/>
      <c r="V233" s="260"/>
      <c r="W233" s="260"/>
      <c r="X233" s="260"/>
      <c r="Y233" s="260"/>
      <c r="Z233" s="260"/>
      <c r="AA233" s="260"/>
      <c r="AB233" s="260"/>
      <c r="AC233" s="260"/>
      <c r="AD233" s="260"/>
      <c r="AE233" s="260"/>
      <c r="AF233" s="260"/>
      <c r="AG233" s="260"/>
      <c r="AH233" s="260"/>
      <c r="AI233" s="264"/>
      <c r="AK233" s="256">
        <f t="shared" si="10"/>
        <v>0</v>
      </c>
    </row>
    <row r="234" spans="2:37" ht="18" hidden="1" customHeight="1">
      <c r="B234" s="270" t="s">
        <v>418</v>
      </c>
      <c r="C234" s="263" t="s">
        <v>419</v>
      </c>
      <c r="D234" s="253">
        <f t="shared" si="9"/>
        <v>0</v>
      </c>
      <c r="E234" s="260"/>
      <c r="F234" s="260"/>
      <c r="G234" s="260"/>
      <c r="H234" s="260"/>
      <c r="I234" s="260"/>
      <c r="J234" s="260"/>
      <c r="K234" s="260"/>
      <c r="L234" s="260"/>
      <c r="M234" s="260"/>
      <c r="N234" s="260"/>
      <c r="O234" s="260"/>
      <c r="P234" s="260"/>
      <c r="Q234" s="260"/>
      <c r="R234" s="260"/>
      <c r="S234" s="260"/>
      <c r="T234" s="260"/>
      <c r="U234" s="260"/>
      <c r="V234" s="260"/>
      <c r="W234" s="260"/>
      <c r="X234" s="260"/>
      <c r="Y234" s="260"/>
      <c r="Z234" s="260"/>
      <c r="AA234" s="260"/>
      <c r="AB234" s="260"/>
      <c r="AC234" s="260"/>
      <c r="AD234" s="260"/>
      <c r="AE234" s="260"/>
      <c r="AF234" s="260"/>
      <c r="AG234" s="260"/>
      <c r="AH234" s="260"/>
      <c r="AI234" s="264"/>
      <c r="AK234" s="256">
        <f t="shared" si="10"/>
        <v>0</v>
      </c>
    </row>
    <row r="235" spans="2:37" ht="18" hidden="1" customHeight="1">
      <c r="B235" s="270" t="s">
        <v>420</v>
      </c>
      <c r="C235" s="263" t="s">
        <v>421</v>
      </c>
      <c r="D235" s="253">
        <f t="shared" si="9"/>
        <v>0</v>
      </c>
      <c r="E235" s="260"/>
      <c r="F235" s="260"/>
      <c r="G235" s="260"/>
      <c r="H235" s="260"/>
      <c r="I235" s="260"/>
      <c r="J235" s="260"/>
      <c r="K235" s="260"/>
      <c r="L235" s="260"/>
      <c r="M235" s="260"/>
      <c r="N235" s="260"/>
      <c r="O235" s="260"/>
      <c r="P235" s="260"/>
      <c r="Q235" s="260"/>
      <c r="R235" s="260"/>
      <c r="S235" s="260"/>
      <c r="T235" s="260"/>
      <c r="U235" s="260"/>
      <c r="V235" s="260"/>
      <c r="W235" s="260"/>
      <c r="X235" s="260"/>
      <c r="Y235" s="260"/>
      <c r="Z235" s="260"/>
      <c r="AA235" s="260"/>
      <c r="AB235" s="260"/>
      <c r="AC235" s="260"/>
      <c r="AD235" s="260"/>
      <c r="AE235" s="260"/>
      <c r="AF235" s="260"/>
      <c r="AG235" s="260"/>
      <c r="AH235" s="260"/>
      <c r="AI235" s="264"/>
      <c r="AK235" s="256">
        <f t="shared" si="10"/>
        <v>0</v>
      </c>
    </row>
    <row r="236" spans="2:37" ht="18" hidden="1" customHeight="1">
      <c r="B236" s="270" t="s">
        <v>423</v>
      </c>
      <c r="C236" s="263" t="s">
        <v>424</v>
      </c>
      <c r="D236" s="253">
        <f t="shared" si="9"/>
        <v>0</v>
      </c>
      <c r="E236" s="260"/>
      <c r="F236" s="260"/>
      <c r="G236" s="260"/>
      <c r="H236" s="260"/>
      <c r="I236" s="260"/>
      <c r="J236" s="260"/>
      <c r="K236" s="260"/>
      <c r="L236" s="260"/>
      <c r="M236" s="260"/>
      <c r="N236" s="260"/>
      <c r="O236" s="260"/>
      <c r="P236" s="260"/>
      <c r="Q236" s="260"/>
      <c r="R236" s="260"/>
      <c r="S236" s="260"/>
      <c r="T236" s="260"/>
      <c r="U236" s="260"/>
      <c r="V236" s="260"/>
      <c r="W236" s="260"/>
      <c r="X236" s="260"/>
      <c r="Y236" s="260"/>
      <c r="Z236" s="260"/>
      <c r="AA236" s="260"/>
      <c r="AB236" s="260"/>
      <c r="AC236" s="260"/>
      <c r="AD236" s="260"/>
      <c r="AE236" s="260"/>
      <c r="AF236" s="260"/>
      <c r="AG236" s="260"/>
      <c r="AH236" s="260"/>
      <c r="AI236" s="264"/>
      <c r="AK236" s="256">
        <f t="shared" si="10"/>
        <v>0</v>
      </c>
    </row>
    <row r="237" spans="2:37" ht="17.25" hidden="1" customHeight="1">
      <c r="B237" s="272" t="s">
        <v>379</v>
      </c>
      <c r="C237" s="271" t="s">
        <v>380</v>
      </c>
      <c r="D237" s="253">
        <f t="shared" si="9"/>
        <v>0</v>
      </c>
      <c r="E237" s="260"/>
      <c r="F237" s="260"/>
      <c r="G237" s="260"/>
      <c r="H237" s="260"/>
      <c r="I237" s="260"/>
      <c r="J237" s="260"/>
      <c r="K237" s="260"/>
      <c r="L237" s="260"/>
      <c r="M237" s="260"/>
      <c r="N237" s="260"/>
      <c r="O237" s="260"/>
      <c r="P237" s="260"/>
      <c r="Q237" s="260"/>
      <c r="R237" s="260"/>
      <c r="S237" s="260"/>
      <c r="T237" s="260"/>
      <c r="U237" s="260"/>
      <c r="V237" s="260"/>
      <c r="W237" s="260"/>
      <c r="X237" s="260"/>
      <c r="Y237" s="260"/>
      <c r="Z237" s="260"/>
      <c r="AA237" s="260"/>
      <c r="AB237" s="260"/>
      <c r="AC237" s="260"/>
      <c r="AD237" s="260"/>
      <c r="AE237" s="260"/>
      <c r="AF237" s="260"/>
      <c r="AG237" s="260"/>
      <c r="AH237" s="260"/>
      <c r="AI237" s="264"/>
      <c r="AK237" s="256">
        <f t="shared" si="10"/>
        <v>0</v>
      </c>
    </row>
    <row r="238" spans="2:37" ht="18" hidden="1" customHeight="1">
      <c r="B238" s="270" t="s">
        <v>425</v>
      </c>
      <c r="C238" s="263" t="s">
        <v>426</v>
      </c>
      <c r="D238" s="253">
        <f t="shared" si="9"/>
        <v>0</v>
      </c>
      <c r="E238" s="260"/>
      <c r="F238" s="260"/>
      <c r="G238" s="260"/>
      <c r="H238" s="260"/>
      <c r="I238" s="260"/>
      <c r="J238" s="260"/>
      <c r="K238" s="260"/>
      <c r="L238" s="260"/>
      <c r="M238" s="260"/>
      <c r="N238" s="260"/>
      <c r="O238" s="260"/>
      <c r="P238" s="260"/>
      <c r="Q238" s="260"/>
      <c r="R238" s="260"/>
      <c r="S238" s="260"/>
      <c r="T238" s="260"/>
      <c r="U238" s="260"/>
      <c r="V238" s="260"/>
      <c r="W238" s="260"/>
      <c r="X238" s="260"/>
      <c r="Y238" s="260"/>
      <c r="Z238" s="260"/>
      <c r="AA238" s="260"/>
      <c r="AB238" s="260"/>
      <c r="AC238" s="260"/>
      <c r="AD238" s="260"/>
      <c r="AE238" s="260"/>
      <c r="AF238" s="260"/>
      <c r="AG238" s="260"/>
      <c r="AH238" s="260"/>
      <c r="AI238" s="264"/>
      <c r="AK238" s="256">
        <f t="shared" si="10"/>
        <v>0</v>
      </c>
    </row>
    <row r="239" spans="2:37" ht="18" hidden="1" customHeight="1">
      <c r="B239" s="270" t="s">
        <v>427</v>
      </c>
      <c r="C239" s="263" t="s">
        <v>428</v>
      </c>
      <c r="D239" s="253">
        <f t="shared" si="9"/>
        <v>0</v>
      </c>
      <c r="E239" s="260"/>
      <c r="F239" s="260"/>
      <c r="G239" s="260"/>
      <c r="H239" s="260"/>
      <c r="I239" s="260"/>
      <c r="J239" s="260"/>
      <c r="K239" s="260"/>
      <c r="L239" s="260"/>
      <c r="M239" s="260"/>
      <c r="N239" s="260"/>
      <c r="O239" s="260"/>
      <c r="P239" s="260"/>
      <c r="Q239" s="260"/>
      <c r="R239" s="260"/>
      <c r="S239" s="260"/>
      <c r="T239" s="260"/>
      <c r="U239" s="260"/>
      <c r="V239" s="260"/>
      <c r="W239" s="260"/>
      <c r="X239" s="260"/>
      <c r="Y239" s="260"/>
      <c r="Z239" s="260"/>
      <c r="AA239" s="260"/>
      <c r="AB239" s="260"/>
      <c r="AC239" s="260"/>
      <c r="AD239" s="260"/>
      <c r="AE239" s="260"/>
      <c r="AF239" s="260"/>
      <c r="AG239" s="260"/>
      <c r="AH239" s="260"/>
      <c r="AI239" s="264"/>
      <c r="AK239" s="256">
        <f t="shared" si="10"/>
        <v>0</v>
      </c>
    </row>
    <row r="240" spans="2:37" ht="18" hidden="1" customHeight="1">
      <c r="B240" s="270" t="s">
        <v>429</v>
      </c>
      <c r="C240" s="263" t="s">
        <v>430</v>
      </c>
      <c r="D240" s="253">
        <f t="shared" si="9"/>
        <v>0</v>
      </c>
      <c r="E240" s="260"/>
      <c r="F240" s="260"/>
      <c r="G240" s="260"/>
      <c r="H240" s="260"/>
      <c r="I240" s="260"/>
      <c r="J240" s="260"/>
      <c r="K240" s="260"/>
      <c r="L240" s="260"/>
      <c r="M240" s="260"/>
      <c r="N240" s="260"/>
      <c r="O240" s="260"/>
      <c r="P240" s="260"/>
      <c r="Q240" s="260"/>
      <c r="R240" s="260"/>
      <c r="S240" s="260"/>
      <c r="T240" s="260"/>
      <c r="U240" s="260"/>
      <c r="V240" s="260"/>
      <c r="W240" s="260"/>
      <c r="X240" s="260"/>
      <c r="Y240" s="260"/>
      <c r="Z240" s="260"/>
      <c r="AA240" s="260"/>
      <c r="AB240" s="260"/>
      <c r="AC240" s="260"/>
      <c r="AD240" s="260"/>
      <c r="AE240" s="260"/>
      <c r="AF240" s="260"/>
      <c r="AG240" s="260"/>
      <c r="AH240" s="260"/>
      <c r="AI240" s="264"/>
      <c r="AK240" s="256">
        <f t="shared" si="10"/>
        <v>0</v>
      </c>
    </row>
    <row r="241" spans="2:37" ht="18" hidden="1" customHeight="1">
      <c r="B241" s="270" t="s">
        <v>431</v>
      </c>
      <c r="C241" s="263" t="s">
        <v>432</v>
      </c>
      <c r="D241" s="253">
        <f t="shared" si="9"/>
        <v>0</v>
      </c>
      <c r="E241" s="260"/>
      <c r="F241" s="260"/>
      <c r="G241" s="260"/>
      <c r="H241" s="260"/>
      <c r="I241" s="260"/>
      <c r="J241" s="260"/>
      <c r="K241" s="260"/>
      <c r="L241" s="260"/>
      <c r="M241" s="260"/>
      <c r="N241" s="260"/>
      <c r="O241" s="260"/>
      <c r="P241" s="260"/>
      <c r="Q241" s="260"/>
      <c r="R241" s="260"/>
      <c r="S241" s="260"/>
      <c r="T241" s="260"/>
      <c r="U241" s="260"/>
      <c r="V241" s="260"/>
      <c r="W241" s="260"/>
      <c r="X241" s="260"/>
      <c r="Y241" s="260"/>
      <c r="Z241" s="260"/>
      <c r="AA241" s="260"/>
      <c r="AB241" s="260"/>
      <c r="AC241" s="260"/>
      <c r="AD241" s="260"/>
      <c r="AE241" s="260"/>
      <c r="AF241" s="260"/>
      <c r="AG241" s="260"/>
      <c r="AH241" s="260"/>
      <c r="AI241" s="264"/>
      <c r="AK241" s="256">
        <f t="shared" si="10"/>
        <v>0</v>
      </c>
    </row>
    <row r="242" spans="2:37" ht="18" hidden="1" customHeight="1">
      <c r="B242" s="270" t="s">
        <v>433</v>
      </c>
      <c r="C242" s="263" t="s">
        <v>434</v>
      </c>
      <c r="D242" s="253">
        <f t="shared" si="9"/>
        <v>0</v>
      </c>
      <c r="E242" s="260"/>
      <c r="F242" s="260"/>
      <c r="G242" s="260"/>
      <c r="H242" s="260"/>
      <c r="I242" s="260"/>
      <c r="J242" s="260"/>
      <c r="K242" s="260"/>
      <c r="L242" s="260"/>
      <c r="M242" s="260"/>
      <c r="N242" s="260"/>
      <c r="O242" s="260"/>
      <c r="P242" s="260"/>
      <c r="Q242" s="260"/>
      <c r="R242" s="260"/>
      <c r="S242" s="260"/>
      <c r="T242" s="260"/>
      <c r="U242" s="260"/>
      <c r="V242" s="260"/>
      <c r="W242" s="260"/>
      <c r="X242" s="260"/>
      <c r="Y242" s="260"/>
      <c r="Z242" s="260"/>
      <c r="AA242" s="260"/>
      <c r="AB242" s="260"/>
      <c r="AC242" s="260"/>
      <c r="AD242" s="260"/>
      <c r="AE242" s="260"/>
      <c r="AF242" s="260"/>
      <c r="AG242" s="260"/>
      <c r="AH242" s="260"/>
      <c r="AI242" s="264"/>
      <c r="AK242" s="256"/>
    </row>
    <row r="243" spans="2:37" ht="18" hidden="1" customHeight="1">
      <c r="B243" s="270" t="s">
        <v>435</v>
      </c>
      <c r="C243" s="263" t="s">
        <v>434</v>
      </c>
      <c r="D243" s="253">
        <f t="shared" si="9"/>
        <v>0</v>
      </c>
      <c r="E243" s="260"/>
      <c r="F243" s="260"/>
      <c r="G243" s="260"/>
      <c r="H243" s="260"/>
      <c r="I243" s="260"/>
      <c r="J243" s="260"/>
      <c r="K243" s="260"/>
      <c r="L243" s="260"/>
      <c r="M243" s="260"/>
      <c r="N243" s="260"/>
      <c r="O243" s="260"/>
      <c r="P243" s="260"/>
      <c r="Q243" s="260"/>
      <c r="R243" s="260"/>
      <c r="S243" s="260"/>
      <c r="T243" s="260"/>
      <c r="U243" s="260"/>
      <c r="V243" s="260"/>
      <c r="W243" s="260"/>
      <c r="X243" s="260"/>
      <c r="Y243" s="260"/>
      <c r="Z243" s="260"/>
      <c r="AA243" s="260"/>
      <c r="AB243" s="260"/>
      <c r="AC243" s="260"/>
      <c r="AD243" s="260"/>
      <c r="AE243" s="260"/>
      <c r="AF243" s="260"/>
      <c r="AG243" s="260"/>
      <c r="AH243" s="260"/>
      <c r="AI243" s="264"/>
      <c r="AK243" s="256">
        <f t="shared" si="10"/>
        <v>0</v>
      </c>
    </row>
    <row r="244" spans="2:37" ht="18" hidden="1" customHeight="1">
      <c r="B244" s="270" t="s">
        <v>436</v>
      </c>
      <c r="C244" s="263" t="s">
        <v>437</v>
      </c>
      <c r="D244" s="253">
        <f t="shared" si="9"/>
        <v>0</v>
      </c>
      <c r="E244" s="260"/>
      <c r="F244" s="260"/>
      <c r="G244" s="260"/>
      <c r="H244" s="260"/>
      <c r="I244" s="260"/>
      <c r="J244" s="260"/>
      <c r="K244" s="260"/>
      <c r="L244" s="260"/>
      <c r="M244" s="260"/>
      <c r="N244" s="260"/>
      <c r="O244" s="260"/>
      <c r="P244" s="260"/>
      <c r="Q244" s="260"/>
      <c r="R244" s="260"/>
      <c r="S244" s="260"/>
      <c r="T244" s="260"/>
      <c r="U244" s="260"/>
      <c r="V244" s="260"/>
      <c r="W244" s="260"/>
      <c r="X244" s="260"/>
      <c r="Y244" s="260"/>
      <c r="Z244" s="260"/>
      <c r="AA244" s="260"/>
      <c r="AB244" s="260"/>
      <c r="AC244" s="260"/>
      <c r="AD244" s="260"/>
      <c r="AE244" s="260"/>
      <c r="AF244" s="260"/>
      <c r="AG244" s="260"/>
      <c r="AH244" s="260"/>
      <c r="AI244" s="264"/>
      <c r="AK244" s="256">
        <f t="shared" si="10"/>
        <v>0</v>
      </c>
    </row>
    <row r="245" spans="2:37" ht="18" hidden="1" customHeight="1">
      <c r="B245" s="270" t="s">
        <v>438</v>
      </c>
      <c r="C245" s="263" t="s">
        <v>437</v>
      </c>
      <c r="D245" s="253">
        <f t="shared" si="9"/>
        <v>0</v>
      </c>
      <c r="E245" s="260"/>
      <c r="F245" s="260"/>
      <c r="G245" s="260"/>
      <c r="H245" s="260"/>
      <c r="I245" s="260"/>
      <c r="J245" s="260"/>
      <c r="K245" s="260"/>
      <c r="L245" s="260"/>
      <c r="M245" s="260"/>
      <c r="N245" s="260"/>
      <c r="O245" s="260"/>
      <c r="P245" s="260"/>
      <c r="Q245" s="260"/>
      <c r="R245" s="260"/>
      <c r="S245" s="260"/>
      <c r="T245" s="260"/>
      <c r="U245" s="260"/>
      <c r="V245" s="260"/>
      <c r="W245" s="260"/>
      <c r="X245" s="260"/>
      <c r="Y245" s="260"/>
      <c r="Z245" s="260"/>
      <c r="AA245" s="260"/>
      <c r="AB245" s="260"/>
      <c r="AC245" s="260"/>
      <c r="AD245" s="260"/>
      <c r="AE245" s="260"/>
      <c r="AF245" s="260"/>
      <c r="AG245" s="260"/>
      <c r="AH245" s="260"/>
      <c r="AI245" s="264"/>
      <c r="AK245" s="256"/>
    </row>
    <row r="246" spans="2:37" ht="18" hidden="1" customHeight="1">
      <c r="B246" s="270" t="s">
        <v>473</v>
      </c>
      <c r="C246" s="263" t="s">
        <v>474</v>
      </c>
      <c r="D246" s="253">
        <f t="shared" si="9"/>
        <v>0</v>
      </c>
      <c r="E246" s="260"/>
      <c r="F246" s="260"/>
      <c r="G246" s="260"/>
      <c r="H246" s="260"/>
      <c r="I246" s="260"/>
      <c r="J246" s="260"/>
      <c r="K246" s="260"/>
      <c r="L246" s="260"/>
      <c r="M246" s="260"/>
      <c r="N246" s="260"/>
      <c r="O246" s="260"/>
      <c r="P246" s="260"/>
      <c r="Q246" s="260"/>
      <c r="R246" s="260"/>
      <c r="S246" s="260"/>
      <c r="T246" s="260"/>
      <c r="U246" s="260"/>
      <c r="V246" s="260"/>
      <c r="W246" s="260"/>
      <c r="X246" s="260"/>
      <c r="Y246" s="260"/>
      <c r="Z246" s="260"/>
      <c r="AA246" s="260"/>
      <c r="AB246" s="260"/>
      <c r="AC246" s="260"/>
      <c r="AD246" s="260"/>
      <c r="AE246" s="260"/>
      <c r="AF246" s="260"/>
      <c r="AG246" s="260"/>
      <c r="AH246" s="260"/>
      <c r="AI246" s="264"/>
      <c r="AK246" s="256">
        <f t="shared" si="10"/>
        <v>0</v>
      </c>
    </row>
    <row r="247" spans="2:37" ht="18" hidden="1" customHeight="1">
      <c r="B247" s="270" t="s">
        <v>439</v>
      </c>
      <c r="C247" s="263" t="s">
        <v>440</v>
      </c>
      <c r="D247" s="253">
        <f t="shared" si="9"/>
        <v>0</v>
      </c>
      <c r="E247" s="260"/>
      <c r="F247" s="260"/>
      <c r="G247" s="260"/>
      <c r="H247" s="260"/>
      <c r="I247" s="260"/>
      <c r="J247" s="260"/>
      <c r="K247" s="260"/>
      <c r="L247" s="260"/>
      <c r="M247" s="260"/>
      <c r="N247" s="260"/>
      <c r="O247" s="260"/>
      <c r="P247" s="260"/>
      <c r="Q247" s="260"/>
      <c r="R247" s="260"/>
      <c r="S247" s="260"/>
      <c r="T247" s="260"/>
      <c r="U247" s="260"/>
      <c r="V247" s="260"/>
      <c r="W247" s="260"/>
      <c r="X247" s="260"/>
      <c r="Y247" s="260"/>
      <c r="Z247" s="260"/>
      <c r="AA247" s="260"/>
      <c r="AB247" s="260"/>
      <c r="AC247" s="260"/>
      <c r="AD247" s="260"/>
      <c r="AE247" s="260"/>
      <c r="AF247" s="260"/>
      <c r="AG247" s="260"/>
      <c r="AH247" s="260"/>
      <c r="AI247" s="264"/>
      <c r="AK247" s="256">
        <f t="shared" si="10"/>
        <v>0</v>
      </c>
    </row>
    <row r="248" spans="2:37" ht="18" hidden="1" customHeight="1">
      <c r="B248" s="270" t="s">
        <v>407</v>
      </c>
      <c r="C248" s="263" t="s">
        <v>408</v>
      </c>
      <c r="D248" s="253">
        <f t="shared" si="9"/>
        <v>0</v>
      </c>
      <c r="E248" s="260"/>
      <c r="F248" s="260"/>
      <c r="G248" s="260"/>
      <c r="H248" s="260"/>
      <c r="I248" s="260"/>
      <c r="J248" s="260"/>
      <c r="K248" s="260"/>
      <c r="L248" s="260"/>
      <c r="M248" s="260"/>
      <c r="N248" s="260"/>
      <c r="O248" s="260"/>
      <c r="P248" s="260"/>
      <c r="Q248" s="260"/>
      <c r="R248" s="260"/>
      <c r="S248" s="260"/>
      <c r="T248" s="260"/>
      <c r="U248" s="260"/>
      <c r="V248" s="260"/>
      <c r="W248" s="260"/>
      <c r="X248" s="260"/>
      <c r="Y248" s="260"/>
      <c r="Z248" s="260"/>
      <c r="AA248" s="260"/>
      <c r="AB248" s="260"/>
      <c r="AC248" s="260"/>
      <c r="AD248" s="260"/>
      <c r="AE248" s="260"/>
      <c r="AF248" s="260"/>
      <c r="AG248" s="260"/>
      <c r="AH248" s="260"/>
      <c r="AI248" s="264"/>
      <c r="AK248" s="256">
        <f t="shared" ref="AK248" si="11">+D248-AJ248</f>
        <v>0</v>
      </c>
    </row>
    <row r="249" spans="2:37" ht="18" hidden="1" customHeight="1">
      <c r="B249" s="270" t="s">
        <v>441</v>
      </c>
      <c r="C249" s="263" t="s">
        <v>442</v>
      </c>
      <c r="D249" s="253">
        <f t="shared" si="9"/>
        <v>0</v>
      </c>
      <c r="E249" s="260"/>
      <c r="F249" s="260"/>
      <c r="G249" s="260"/>
      <c r="H249" s="260"/>
      <c r="I249" s="260"/>
      <c r="J249" s="260"/>
      <c r="K249" s="260"/>
      <c r="L249" s="260"/>
      <c r="M249" s="260"/>
      <c r="N249" s="260"/>
      <c r="O249" s="260"/>
      <c r="P249" s="260"/>
      <c r="Q249" s="260"/>
      <c r="R249" s="260"/>
      <c r="S249" s="260"/>
      <c r="T249" s="260"/>
      <c r="U249" s="260"/>
      <c r="V249" s="260"/>
      <c r="W249" s="260"/>
      <c r="X249" s="260"/>
      <c r="Y249" s="260"/>
      <c r="Z249" s="260"/>
      <c r="AA249" s="260"/>
      <c r="AB249" s="260"/>
      <c r="AC249" s="260"/>
      <c r="AD249" s="260"/>
      <c r="AE249" s="260"/>
      <c r="AF249" s="260"/>
      <c r="AG249" s="260"/>
      <c r="AH249" s="260"/>
      <c r="AI249" s="264"/>
      <c r="AK249" s="256">
        <f t="shared" si="10"/>
        <v>0</v>
      </c>
    </row>
    <row r="250" spans="2:37" ht="18" hidden="1" customHeight="1">
      <c r="B250" s="270" t="s">
        <v>445</v>
      </c>
      <c r="C250" s="263" t="s">
        <v>446</v>
      </c>
      <c r="D250" s="253">
        <f t="shared" si="9"/>
        <v>0</v>
      </c>
      <c r="E250" s="260"/>
      <c r="F250" s="260"/>
      <c r="G250" s="260"/>
      <c r="H250" s="260"/>
      <c r="I250" s="260"/>
      <c r="J250" s="260"/>
      <c r="K250" s="260"/>
      <c r="L250" s="260"/>
      <c r="M250" s="260"/>
      <c r="N250" s="260"/>
      <c r="O250" s="260"/>
      <c r="P250" s="260"/>
      <c r="Q250" s="260"/>
      <c r="R250" s="260"/>
      <c r="S250" s="260"/>
      <c r="T250" s="260"/>
      <c r="U250" s="260"/>
      <c r="V250" s="260"/>
      <c r="W250" s="260"/>
      <c r="X250" s="260"/>
      <c r="Y250" s="260"/>
      <c r="Z250" s="260"/>
      <c r="AA250" s="260"/>
      <c r="AB250" s="260"/>
      <c r="AC250" s="260"/>
      <c r="AD250" s="260"/>
      <c r="AE250" s="260"/>
      <c r="AF250" s="260"/>
      <c r="AG250" s="260"/>
      <c r="AH250" s="260"/>
      <c r="AI250" s="264"/>
      <c r="AK250" s="256"/>
    </row>
    <row r="251" spans="2:37" ht="18" hidden="1" customHeight="1">
      <c r="B251" s="270" t="s">
        <v>447</v>
      </c>
      <c r="C251" s="263" t="s">
        <v>448</v>
      </c>
      <c r="D251" s="253">
        <f t="shared" si="9"/>
        <v>0</v>
      </c>
      <c r="E251" s="260"/>
      <c r="F251" s="260"/>
      <c r="G251" s="260"/>
      <c r="H251" s="260"/>
      <c r="I251" s="260"/>
      <c r="J251" s="260"/>
      <c r="K251" s="260"/>
      <c r="L251" s="260"/>
      <c r="M251" s="260"/>
      <c r="N251" s="260"/>
      <c r="O251" s="260"/>
      <c r="P251" s="260"/>
      <c r="Q251" s="260"/>
      <c r="R251" s="260"/>
      <c r="S251" s="260"/>
      <c r="T251" s="260"/>
      <c r="U251" s="260"/>
      <c r="V251" s="260"/>
      <c r="W251" s="260"/>
      <c r="X251" s="260"/>
      <c r="Y251" s="260"/>
      <c r="Z251" s="260"/>
      <c r="AA251" s="260"/>
      <c r="AB251" s="260"/>
      <c r="AC251" s="260"/>
      <c r="AD251" s="260"/>
      <c r="AE251" s="260"/>
      <c r="AF251" s="260"/>
      <c r="AG251" s="260"/>
      <c r="AH251" s="260"/>
      <c r="AI251" s="264"/>
      <c r="AK251" s="256"/>
    </row>
    <row r="252" spans="2:37" ht="18" hidden="1" customHeight="1">
      <c r="B252" s="270" t="s">
        <v>449</v>
      </c>
      <c r="C252" s="263" t="s">
        <v>450</v>
      </c>
      <c r="D252" s="253">
        <f t="shared" si="9"/>
        <v>0</v>
      </c>
      <c r="E252" s="260"/>
      <c r="F252" s="260"/>
      <c r="G252" s="260"/>
      <c r="H252" s="260"/>
      <c r="I252" s="260"/>
      <c r="J252" s="260"/>
      <c r="K252" s="260"/>
      <c r="L252" s="260"/>
      <c r="M252" s="260"/>
      <c r="N252" s="260"/>
      <c r="O252" s="260"/>
      <c r="P252" s="260"/>
      <c r="Q252" s="260"/>
      <c r="R252" s="260"/>
      <c r="S252" s="260"/>
      <c r="T252" s="260"/>
      <c r="U252" s="260"/>
      <c r="V252" s="260"/>
      <c r="W252" s="260"/>
      <c r="X252" s="260"/>
      <c r="Y252" s="260"/>
      <c r="Z252" s="260"/>
      <c r="AA252" s="260"/>
      <c r="AB252" s="260"/>
      <c r="AC252" s="260"/>
      <c r="AD252" s="260"/>
      <c r="AE252" s="260"/>
      <c r="AF252" s="260"/>
      <c r="AG252" s="260"/>
      <c r="AH252" s="260"/>
      <c r="AI252" s="264"/>
      <c r="AK252" s="256"/>
    </row>
    <row r="253" spans="2:37" ht="18" hidden="1" customHeight="1">
      <c r="B253" s="270" t="s">
        <v>451</v>
      </c>
      <c r="C253" s="263" t="s">
        <v>450</v>
      </c>
      <c r="D253" s="253">
        <f t="shared" si="9"/>
        <v>0</v>
      </c>
      <c r="E253" s="260"/>
      <c r="F253" s="260"/>
      <c r="G253" s="260"/>
      <c r="H253" s="260"/>
      <c r="I253" s="260"/>
      <c r="J253" s="260"/>
      <c r="K253" s="260"/>
      <c r="L253" s="260"/>
      <c r="M253" s="260"/>
      <c r="N253" s="260"/>
      <c r="O253" s="260"/>
      <c r="P253" s="260"/>
      <c r="Q253" s="260"/>
      <c r="R253" s="260"/>
      <c r="S253" s="260"/>
      <c r="T253" s="260"/>
      <c r="U253" s="260"/>
      <c r="V253" s="260"/>
      <c r="W253" s="260"/>
      <c r="X253" s="260"/>
      <c r="Y253" s="260"/>
      <c r="Z253" s="260"/>
      <c r="AA253" s="260"/>
      <c r="AB253" s="260"/>
      <c r="AC253" s="260"/>
      <c r="AD253" s="260"/>
      <c r="AE253" s="260"/>
      <c r="AF253" s="260"/>
      <c r="AG253" s="260"/>
      <c r="AH253" s="260"/>
      <c r="AI253" s="264"/>
      <c r="AK253" s="256"/>
    </row>
    <row r="254" spans="2:37" ht="18" hidden="1" customHeight="1">
      <c r="B254" s="270" t="s">
        <v>452</v>
      </c>
      <c r="C254" s="263" t="s">
        <v>453</v>
      </c>
      <c r="D254" s="253">
        <f t="shared" si="9"/>
        <v>0</v>
      </c>
      <c r="E254" s="260"/>
      <c r="F254" s="260"/>
      <c r="G254" s="260"/>
      <c r="H254" s="260"/>
      <c r="I254" s="260"/>
      <c r="J254" s="260"/>
      <c r="K254" s="260"/>
      <c r="L254" s="260"/>
      <c r="M254" s="260"/>
      <c r="N254" s="260"/>
      <c r="O254" s="260"/>
      <c r="P254" s="260"/>
      <c r="Q254" s="260"/>
      <c r="R254" s="260"/>
      <c r="S254" s="260"/>
      <c r="T254" s="260"/>
      <c r="U254" s="260"/>
      <c r="V254" s="260"/>
      <c r="W254" s="260"/>
      <c r="X254" s="260"/>
      <c r="Y254" s="260"/>
      <c r="Z254" s="260"/>
      <c r="AA254" s="260"/>
      <c r="AB254" s="260"/>
      <c r="AC254" s="260"/>
      <c r="AD254" s="260"/>
      <c r="AE254" s="260"/>
      <c r="AF254" s="260"/>
      <c r="AG254" s="260"/>
      <c r="AH254" s="260"/>
      <c r="AI254" s="264"/>
      <c r="AK254" s="256"/>
    </row>
    <row r="255" spans="2:37" ht="18" hidden="1" customHeight="1">
      <c r="B255" s="270" t="s">
        <v>454</v>
      </c>
      <c r="C255" s="263" t="s">
        <v>455</v>
      </c>
      <c r="D255" s="253">
        <f t="shared" si="9"/>
        <v>0</v>
      </c>
      <c r="E255" s="260"/>
      <c r="F255" s="260"/>
      <c r="G255" s="260"/>
      <c r="H255" s="260"/>
      <c r="I255" s="260"/>
      <c r="J255" s="260"/>
      <c r="K255" s="260"/>
      <c r="L255" s="260"/>
      <c r="M255" s="260"/>
      <c r="N255" s="260"/>
      <c r="O255" s="260"/>
      <c r="P255" s="260"/>
      <c r="Q255" s="260"/>
      <c r="R255" s="260"/>
      <c r="S255" s="260"/>
      <c r="T255" s="260"/>
      <c r="U255" s="260"/>
      <c r="V255" s="260"/>
      <c r="W255" s="260"/>
      <c r="X255" s="260"/>
      <c r="Y255" s="260"/>
      <c r="Z255" s="260"/>
      <c r="AA255" s="260"/>
      <c r="AB255" s="260"/>
      <c r="AC255" s="260"/>
      <c r="AD255" s="260"/>
      <c r="AE255" s="260"/>
      <c r="AF255" s="260"/>
      <c r="AG255" s="260"/>
      <c r="AH255" s="260"/>
      <c r="AI255" s="264"/>
      <c r="AK255" s="256"/>
    </row>
    <row r="256" spans="2:37" ht="18" hidden="1" customHeight="1">
      <c r="B256" s="270" t="s">
        <v>456</v>
      </c>
      <c r="C256" s="263" t="s">
        <v>457</v>
      </c>
      <c r="D256" s="253">
        <f t="shared" si="9"/>
        <v>0</v>
      </c>
      <c r="E256" s="260"/>
      <c r="F256" s="260"/>
      <c r="G256" s="260"/>
      <c r="H256" s="260"/>
      <c r="I256" s="260"/>
      <c r="J256" s="260"/>
      <c r="K256" s="260"/>
      <c r="L256" s="260"/>
      <c r="M256" s="260"/>
      <c r="N256" s="260"/>
      <c r="O256" s="260"/>
      <c r="P256" s="260"/>
      <c r="Q256" s="260"/>
      <c r="R256" s="260"/>
      <c r="S256" s="260"/>
      <c r="T256" s="260"/>
      <c r="U256" s="260"/>
      <c r="V256" s="260"/>
      <c r="W256" s="260"/>
      <c r="X256" s="260"/>
      <c r="Y256" s="260"/>
      <c r="Z256" s="260"/>
      <c r="AA256" s="260"/>
      <c r="AB256" s="260"/>
      <c r="AC256" s="260"/>
      <c r="AD256" s="260"/>
      <c r="AE256" s="260"/>
      <c r="AF256" s="260"/>
      <c r="AG256" s="260"/>
      <c r="AH256" s="260"/>
      <c r="AI256" s="264"/>
      <c r="AK256" s="256"/>
    </row>
    <row r="257" spans="2:37" ht="18" hidden="1" customHeight="1">
      <c r="B257" s="270" t="s">
        <v>458</v>
      </c>
      <c r="C257" s="263" t="s">
        <v>459</v>
      </c>
      <c r="D257" s="253">
        <f t="shared" si="9"/>
        <v>0</v>
      </c>
      <c r="E257" s="260"/>
      <c r="F257" s="260"/>
      <c r="G257" s="260"/>
      <c r="H257" s="260"/>
      <c r="I257" s="260"/>
      <c r="J257" s="260"/>
      <c r="K257" s="260"/>
      <c r="L257" s="260"/>
      <c r="M257" s="260"/>
      <c r="N257" s="260"/>
      <c r="O257" s="260"/>
      <c r="P257" s="260"/>
      <c r="Q257" s="260"/>
      <c r="R257" s="260"/>
      <c r="S257" s="260"/>
      <c r="T257" s="260"/>
      <c r="U257" s="260"/>
      <c r="V257" s="260"/>
      <c r="W257" s="260"/>
      <c r="X257" s="260"/>
      <c r="Y257" s="260"/>
      <c r="Z257" s="260"/>
      <c r="AA257" s="260"/>
      <c r="AB257" s="260"/>
      <c r="AC257" s="260"/>
      <c r="AD257" s="260"/>
      <c r="AE257" s="260"/>
      <c r="AF257" s="260"/>
      <c r="AG257" s="260"/>
      <c r="AH257" s="260"/>
      <c r="AI257" s="264"/>
      <c r="AK257" s="256"/>
    </row>
    <row r="258" spans="2:37" ht="18" hidden="1" customHeight="1">
      <c r="B258" s="270" t="s">
        <v>460</v>
      </c>
      <c r="C258" s="263" t="s">
        <v>461</v>
      </c>
      <c r="D258" s="253">
        <f t="shared" si="9"/>
        <v>0</v>
      </c>
      <c r="E258" s="260"/>
      <c r="F258" s="260"/>
      <c r="G258" s="260"/>
      <c r="H258" s="260"/>
      <c r="I258" s="260"/>
      <c r="J258" s="260"/>
      <c r="K258" s="260"/>
      <c r="L258" s="260"/>
      <c r="M258" s="260"/>
      <c r="N258" s="260"/>
      <c r="O258" s="260"/>
      <c r="P258" s="260"/>
      <c r="Q258" s="260"/>
      <c r="R258" s="260"/>
      <c r="S258" s="260"/>
      <c r="T258" s="260"/>
      <c r="U258" s="260"/>
      <c r="V258" s="260"/>
      <c r="W258" s="260"/>
      <c r="X258" s="260"/>
      <c r="Y258" s="260"/>
      <c r="Z258" s="260"/>
      <c r="AA258" s="260"/>
      <c r="AB258" s="260"/>
      <c r="AC258" s="260"/>
      <c r="AD258" s="260"/>
      <c r="AE258" s="260"/>
      <c r="AF258" s="260"/>
      <c r="AG258" s="260"/>
      <c r="AH258" s="260"/>
      <c r="AI258" s="264"/>
      <c r="AK258" s="256"/>
    </row>
    <row r="259" spans="2:37" ht="18" hidden="1" customHeight="1">
      <c r="B259" s="270" t="s">
        <v>462</v>
      </c>
      <c r="C259" s="263" t="s">
        <v>371</v>
      </c>
      <c r="D259" s="253">
        <f t="shared" si="9"/>
        <v>0</v>
      </c>
      <c r="E259" s="260"/>
      <c r="F259" s="260"/>
      <c r="G259" s="260"/>
      <c r="H259" s="260"/>
      <c r="I259" s="260"/>
      <c r="J259" s="260"/>
      <c r="K259" s="260"/>
      <c r="L259" s="260"/>
      <c r="M259" s="260"/>
      <c r="N259" s="260"/>
      <c r="O259" s="260"/>
      <c r="P259" s="260"/>
      <c r="Q259" s="260"/>
      <c r="R259" s="260"/>
      <c r="S259" s="260"/>
      <c r="T259" s="260"/>
      <c r="U259" s="260"/>
      <c r="V259" s="260"/>
      <c r="W259" s="260"/>
      <c r="X259" s="260"/>
      <c r="Y259" s="260"/>
      <c r="Z259" s="260"/>
      <c r="AA259" s="260"/>
      <c r="AB259" s="260"/>
      <c r="AC259" s="260"/>
      <c r="AD259" s="260"/>
      <c r="AE259" s="260"/>
      <c r="AF259" s="260"/>
      <c r="AG259" s="260"/>
      <c r="AH259" s="260"/>
      <c r="AI259" s="264"/>
      <c r="AK259" s="256"/>
    </row>
    <row r="260" spans="2:37" ht="18" hidden="1" customHeight="1">
      <c r="B260" s="270" t="s">
        <v>463</v>
      </c>
      <c r="C260" s="263" t="s">
        <v>464</v>
      </c>
      <c r="D260" s="253">
        <f t="shared" si="9"/>
        <v>0</v>
      </c>
      <c r="E260" s="260"/>
      <c r="F260" s="260"/>
      <c r="G260" s="260"/>
      <c r="H260" s="260"/>
      <c r="I260" s="260"/>
      <c r="J260" s="260"/>
      <c r="K260" s="260"/>
      <c r="L260" s="260"/>
      <c r="M260" s="260"/>
      <c r="N260" s="260"/>
      <c r="O260" s="260"/>
      <c r="P260" s="260"/>
      <c r="Q260" s="260"/>
      <c r="R260" s="260"/>
      <c r="S260" s="260"/>
      <c r="T260" s="260"/>
      <c r="U260" s="260"/>
      <c r="V260" s="260"/>
      <c r="W260" s="260"/>
      <c r="X260" s="260"/>
      <c r="Y260" s="260"/>
      <c r="Z260" s="260"/>
      <c r="AA260" s="260"/>
      <c r="AB260" s="260"/>
      <c r="AC260" s="260"/>
      <c r="AD260" s="260"/>
      <c r="AE260" s="260"/>
      <c r="AF260" s="260"/>
      <c r="AG260" s="260"/>
      <c r="AH260" s="260"/>
      <c r="AI260" s="264"/>
      <c r="AK260" s="256"/>
    </row>
    <row r="261" spans="2:37" ht="18" hidden="1" customHeight="1">
      <c r="B261" s="270" t="s">
        <v>465</v>
      </c>
      <c r="C261" s="263" t="s">
        <v>466</v>
      </c>
      <c r="D261" s="253">
        <f t="shared" si="9"/>
        <v>0</v>
      </c>
      <c r="E261" s="260"/>
      <c r="F261" s="260"/>
      <c r="G261" s="260"/>
      <c r="H261" s="260"/>
      <c r="I261" s="260"/>
      <c r="J261" s="260"/>
      <c r="K261" s="260"/>
      <c r="L261" s="260"/>
      <c r="M261" s="260"/>
      <c r="N261" s="260"/>
      <c r="O261" s="260"/>
      <c r="P261" s="260"/>
      <c r="Q261" s="260"/>
      <c r="R261" s="260"/>
      <c r="S261" s="260"/>
      <c r="T261" s="260"/>
      <c r="U261" s="260"/>
      <c r="V261" s="260"/>
      <c r="W261" s="260"/>
      <c r="X261" s="260"/>
      <c r="Y261" s="260"/>
      <c r="Z261" s="260"/>
      <c r="AA261" s="260"/>
      <c r="AB261" s="260"/>
      <c r="AC261" s="260"/>
      <c r="AD261" s="260"/>
      <c r="AE261" s="260"/>
      <c r="AF261" s="260"/>
      <c r="AG261" s="260"/>
      <c r="AH261" s="260"/>
      <c r="AI261" s="264"/>
      <c r="AK261" s="256"/>
    </row>
    <row r="262" spans="2:37" ht="18" hidden="1" customHeight="1">
      <c r="B262" s="270" t="s">
        <v>467</v>
      </c>
      <c r="C262" s="263" t="s">
        <v>468</v>
      </c>
      <c r="D262" s="253">
        <f t="shared" si="9"/>
        <v>0</v>
      </c>
      <c r="E262" s="260"/>
      <c r="F262" s="260"/>
      <c r="G262" s="260"/>
      <c r="H262" s="260"/>
      <c r="I262" s="260"/>
      <c r="J262" s="260"/>
      <c r="K262" s="260"/>
      <c r="L262" s="260"/>
      <c r="M262" s="260"/>
      <c r="N262" s="260"/>
      <c r="O262" s="260"/>
      <c r="P262" s="260"/>
      <c r="Q262" s="260"/>
      <c r="R262" s="260"/>
      <c r="S262" s="260"/>
      <c r="T262" s="260"/>
      <c r="U262" s="260"/>
      <c r="V262" s="260"/>
      <c r="W262" s="260"/>
      <c r="X262" s="260"/>
      <c r="Y262" s="260"/>
      <c r="Z262" s="260"/>
      <c r="AA262" s="260"/>
      <c r="AB262" s="260"/>
      <c r="AC262" s="260"/>
      <c r="AD262" s="260"/>
      <c r="AE262" s="260"/>
      <c r="AF262" s="260"/>
      <c r="AG262" s="260"/>
      <c r="AH262" s="260"/>
      <c r="AI262" s="264"/>
      <c r="AK262" s="256"/>
    </row>
    <row r="263" spans="2:37" ht="18" hidden="1" customHeight="1">
      <c r="B263" s="270" t="s">
        <v>443</v>
      </c>
      <c r="C263" s="263" t="s">
        <v>444</v>
      </c>
      <c r="D263" s="253">
        <f t="shared" si="9"/>
        <v>0</v>
      </c>
      <c r="E263" s="260"/>
      <c r="F263" s="260"/>
      <c r="G263" s="260"/>
      <c r="H263" s="260"/>
      <c r="I263" s="260"/>
      <c r="J263" s="260"/>
      <c r="K263" s="260"/>
      <c r="L263" s="260"/>
      <c r="M263" s="260"/>
      <c r="N263" s="260"/>
      <c r="O263" s="260"/>
      <c r="P263" s="260"/>
      <c r="Q263" s="260"/>
      <c r="R263" s="260"/>
      <c r="S263" s="260"/>
      <c r="T263" s="260"/>
      <c r="U263" s="260"/>
      <c r="V263" s="260"/>
      <c r="W263" s="260"/>
      <c r="X263" s="260"/>
      <c r="Y263" s="260"/>
      <c r="Z263" s="260"/>
      <c r="AA263" s="260"/>
      <c r="AB263" s="260"/>
      <c r="AC263" s="260"/>
      <c r="AD263" s="260"/>
      <c r="AE263" s="260"/>
      <c r="AF263" s="260"/>
      <c r="AG263" s="260"/>
      <c r="AH263" s="260"/>
      <c r="AI263" s="264"/>
      <c r="AK263" s="256">
        <f t="shared" si="10"/>
        <v>0</v>
      </c>
    </row>
    <row r="264" spans="2:37" ht="18" hidden="1" customHeight="1">
      <c r="B264" s="270" t="s">
        <v>471</v>
      </c>
      <c r="C264" s="263" t="s">
        <v>472</v>
      </c>
      <c r="D264" s="253">
        <f t="shared" ref="D264:D273" si="12">SUM(E264:AI264)</f>
        <v>0</v>
      </c>
      <c r="E264" s="260"/>
      <c r="F264" s="260"/>
      <c r="G264" s="260"/>
      <c r="H264" s="260"/>
      <c r="I264" s="260"/>
      <c r="J264" s="260"/>
      <c r="K264" s="260"/>
      <c r="L264" s="260"/>
      <c r="M264" s="260"/>
      <c r="N264" s="260"/>
      <c r="O264" s="260"/>
      <c r="P264" s="260"/>
      <c r="Q264" s="260"/>
      <c r="R264" s="260"/>
      <c r="S264" s="260"/>
      <c r="T264" s="260"/>
      <c r="U264" s="260"/>
      <c r="V264" s="260"/>
      <c r="W264" s="260"/>
      <c r="X264" s="260"/>
      <c r="Y264" s="260"/>
      <c r="Z264" s="260"/>
      <c r="AA264" s="260"/>
      <c r="AB264" s="260"/>
      <c r="AC264" s="260"/>
      <c r="AD264" s="260"/>
      <c r="AE264" s="260"/>
      <c r="AF264" s="260"/>
      <c r="AG264" s="260"/>
      <c r="AH264" s="260"/>
      <c r="AI264" s="264"/>
      <c r="AK264" s="256"/>
    </row>
    <row r="265" spans="2:37" ht="18" hidden="1" customHeight="1">
      <c r="B265" s="270" t="s">
        <v>469</v>
      </c>
      <c r="C265" s="263" t="s">
        <v>470</v>
      </c>
      <c r="D265" s="253">
        <f t="shared" si="12"/>
        <v>0</v>
      </c>
      <c r="E265" s="260"/>
      <c r="F265" s="260"/>
      <c r="G265" s="260"/>
      <c r="H265" s="260"/>
      <c r="I265" s="260"/>
      <c r="J265" s="260"/>
      <c r="K265" s="260"/>
      <c r="L265" s="260"/>
      <c r="M265" s="260"/>
      <c r="N265" s="260"/>
      <c r="O265" s="260"/>
      <c r="P265" s="260"/>
      <c r="Q265" s="260"/>
      <c r="R265" s="260"/>
      <c r="S265" s="260"/>
      <c r="T265" s="260"/>
      <c r="U265" s="260"/>
      <c r="V265" s="260"/>
      <c r="W265" s="260"/>
      <c r="X265" s="260"/>
      <c r="Y265" s="260"/>
      <c r="Z265" s="260"/>
      <c r="AA265" s="260"/>
      <c r="AB265" s="260"/>
      <c r="AC265" s="260"/>
      <c r="AD265" s="260"/>
      <c r="AE265" s="260"/>
      <c r="AF265" s="260"/>
      <c r="AG265" s="260"/>
      <c r="AH265" s="260"/>
      <c r="AI265" s="264"/>
      <c r="AK265" s="256"/>
    </row>
    <row r="266" spans="2:37" ht="18" hidden="1" customHeight="1">
      <c r="B266" s="270" t="s">
        <v>475</v>
      </c>
      <c r="C266" s="263" t="s">
        <v>476</v>
      </c>
      <c r="D266" s="253">
        <f t="shared" si="12"/>
        <v>0</v>
      </c>
      <c r="E266" s="260"/>
      <c r="F266" s="260"/>
      <c r="G266" s="260"/>
      <c r="H266" s="260"/>
      <c r="I266" s="260"/>
      <c r="J266" s="260"/>
      <c r="K266" s="260"/>
      <c r="L266" s="260"/>
      <c r="M266" s="260"/>
      <c r="N266" s="260"/>
      <c r="O266" s="260"/>
      <c r="P266" s="260"/>
      <c r="Q266" s="260"/>
      <c r="R266" s="260"/>
      <c r="S266" s="260"/>
      <c r="T266" s="260"/>
      <c r="U266" s="260"/>
      <c r="V266" s="260"/>
      <c r="W266" s="260"/>
      <c r="X266" s="260"/>
      <c r="Y266" s="260"/>
      <c r="Z266" s="260"/>
      <c r="AA266" s="260"/>
      <c r="AB266" s="260"/>
      <c r="AC266" s="260"/>
      <c r="AD266" s="260"/>
      <c r="AE266" s="260"/>
      <c r="AF266" s="260"/>
      <c r="AG266" s="260"/>
      <c r="AH266" s="260"/>
      <c r="AI266" s="264"/>
      <c r="AK266" s="256"/>
    </row>
    <row r="267" spans="2:37" ht="18" hidden="1" customHeight="1">
      <c r="B267" s="270" t="s">
        <v>477</v>
      </c>
      <c r="C267" s="263" t="s">
        <v>478</v>
      </c>
      <c r="D267" s="253">
        <f t="shared" si="12"/>
        <v>0</v>
      </c>
      <c r="E267" s="260"/>
      <c r="F267" s="260"/>
      <c r="G267" s="260"/>
      <c r="H267" s="260"/>
      <c r="I267" s="260"/>
      <c r="J267" s="260"/>
      <c r="K267" s="260"/>
      <c r="L267" s="260"/>
      <c r="M267" s="260"/>
      <c r="N267" s="260"/>
      <c r="O267" s="260"/>
      <c r="P267" s="260"/>
      <c r="Q267" s="260"/>
      <c r="R267" s="260"/>
      <c r="S267" s="260"/>
      <c r="T267" s="260"/>
      <c r="U267" s="260"/>
      <c r="V267" s="260"/>
      <c r="W267" s="260"/>
      <c r="X267" s="260"/>
      <c r="Y267" s="260"/>
      <c r="Z267" s="260"/>
      <c r="AA267" s="260"/>
      <c r="AB267" s="260"/>
      <c r="AC267" s="260"/>
      <c r="AD267" s="260"/>
      <c r="AE267" s="260"/>
      <c r="AF267" s="260"/>
      <c r="AG267" s="260"/>
      <c r="AH267" s="260"/>
      <c r="AI267" s="264"/>
      <c r="AK267" s="256"/>
    </row>
    <row r="268" spans="2:37" ht="18" hidden="1" customHeight="1">
      <c r="B268" s="270" t="s">
        <v>479</v>
      </c>
      <c r="C268" s="263" t="s">
        <v>480</v>
      </c>
      <c r="D268" s="253">
        <f t="shared" si="12"/>
        <v>0</v>
      </c>
      <c r="E268" s="260"/>
      <c r="F268" s="260"/>
      <c r="G268" s="260"/>
      <c r="H268" s="260"/>
      <c r="I268" s="260"/>
      <c r="J268" s="260"/>
      <c r="K268" s="260"/>
      <c r="L268" s="260"/>
      <c r="M268" s="260"/>
      <c r="N268" s="260"/>
      <c r="O268" s="260"/>
      <c r="P268" s="260"/>
      <c r="Q268" s="260"/>
      <c r="R268" s="260"/>
      <c r="S268" s="260"/>
      <c r="T268" s="260"/>
      <c r="U268" s="260"/>
      <c r="V268" s="260"/>
      <c r="W268" s="260"/>
      <c r="X268" s="260"/>
      <c r="Y268" s="260"/>
      <c r="Z268" s="260"/>
      <c r="AA268" s="260"/>
      <c r="AB268" s="260"/>
      <c r="AC268" s="260"/>
      <c r="AD268" s="260"/>
      <c r="AE268" s="260"/>
      <c r="AF268" s="260"/>
      <c r="AG268" s="260"/>
      <c r="AH268" s="260"/>
      <c r="AI268" s="264"/>
      <c r="AK268" s="256"/>
    </row>
    <row r="269" spans="2:37" ht="18" hidden="1" customHeight="1">
      <c r="B269" s="270" t="s">
        <v>481</v>
      </c>
      <c r="C269" s="263" t="s">
        <v>482</v>
      </c>
      <c r="D269" s="253">
        <f t="shared" si="12"/>
        <v>0</v>
      </c>
      <c r="E269" s="260"/>
      <c r="F269" s="260"/>
      <c r="G269" s="260"/>
      <c r="H269" s="260"/>
      <c r="I269" s="260"/>
      <c r="J269" s="260"/>
      <c r="K269" s="260"/>
      <c r="L269" s="260"/>
      <c r="M269" s="260"/>
      <c r="N269" s="260"/>
      <c r="O269" s="260"/>
      <c r="P269" s="260"/>
      <c r="Q269" s="260"/>
      <c r="R269" s="260"/>
      <c r="S269" s="260"/>
      <c r="T269" s="260"/>
      <c r="U269" s="260"/>
      <c r="V269" s="260"/>
      <c r="W269" s="260"/>
      <c r="X269" s="260"/>
      <c r="Y269" s="260"/>
      <c r="Z269" s="260"/>
      <c r="AA269" s="260"/>
      <c r="AB269" s="260"/>
      <c r="AC269" s="260"/>
      <c r="AD269" s="260"/>
      <c r="AE269" s="260"/>
      <c r="AF269" s="260"/>
      <c r="AG269" s="260"/>
      <c r="AH269" s="260"/>
      <c r="AI269" s="264"/>
      <c r="AK269" s="256"/>
    </row>
    <row r="270" spans="2:37" ht="18" hidden="1" customHeight="1">
      <c r="B270" s="270" t="s">
        <v>483</v>
      </c>
      <c r="C270" s="263" t="s">
        <v>484</v>
      </c>
      <c r="D270" s="253">
        <f t="shared" si="12"/>
        <v>0</v>
      </c>
      <c r="E270" s="260"/>
      <c r="F270" s="260"/>
      <c r="G270" s="260"/>
      <c r="H270" s="260"/>
      <c r="I270" s="260"/>
      <c r="J270" s="260"/>
      <c r="K270" s="260"/>
      <c r="L270" s="260"/>
      <c r="M270" s="260"/>
      <c r="N270" s="260"/>
      <c r="O270" s="260"/>
      <c r="P270" s="260"/>
      <c r="Q270" s="260"/>
      <c r="R270" s="260"/>
      <c r="S270" s="260"/>
      <c r="T270" s="260"/>
      <c r="U270" s="260"/>
      <c r="V270" s="260"/>
      <c r="W270" s="260"/>
      <c r="X270" s="260"/>
      <c r="Y270" s="260"/>
      <c r="Z270" s="260"/>
      <c r="AA270" s="260"/>
      <c r="AB270" s="260"/>
      <c r="AC270" s="260"/>
      <c r="AD270" s="260"/>
      <c r="AE270" s="260"/>
      <c r="AF270" s="260"/>
      <c r="AG270" s="260"/>
      <c r="AH270" s="260"/>
      <c r="AI270" s="264"/>
      <c r="AK270" s="256"/>
    </row>
    <row r="271" spans="2:37" ht="18" hidden="1" customHeight="1">
      <c r="B271" s="270" t="s">
        <v>485</v>
      </c>
      <c r="C271" s="263" t="s">
        <v>486</v>
      </c>
      <c r="D271" s="253">
        <f t="shared" si="12"/>
        <v>0</v>
      </c>
      <c r="E271" s="260"/>
      <c r="F271" s="260"/>
      <c r="G271" s="260"/>
      <c r="H271" s="260"/>
      <c r="I271" s="260"/>
      <c r="J271" s="260"/>
      <c r="K271" s="260"/>
      <c r="L271" s="260"/>
      <c r="M271" s="260"/>
      <c r="N271" s="260"/>
      <c r="O271" s="260"/>
      <c r="P271" s="260"/>
      <c r="Q271" s="260"/>
      <c r="R271" s="260"/>
      <c r="S271" s="260"/>
      <c r="T271" s="260"/>
      <c r="U271" s="260"/>
      <c r="V271" s="260"/>
      <c r="W271" s="260"/>
      <c r="X271" s="260"/>
      <c r="Y271" s="260"/>
      <c r="Z271" s="260"/>
      <c r="AA271" s="260"/>
      <c r="AB271" s="260"/>
      <c r="AC271" s="260"/>
      <c r="AD271" s="260"/>
      <c r="AE271" s="260"/>
      <c r="AF271" s="260"/>
      <c r="AG271" s="260"/>
      <c r="AH271" s="260"/>
      <c r="AI271" s="264"/>
      <c r="AK271" s="256"/>
    </row>
    <row r="272" spans="2:37" ht="18" hidden="1" customHeight="1">
      <c r="B272" s="270" t="s">
        <v>487</v>
      </c>
      <c r="C272" s="263" t="s">
        <v>488</v>
      </c>
      <c r="D272" s="253">
        <f t="shared" si="12"/>
        <v>0</v>
      </c>
      <c r="E272" s="260"/>
      <c r="F272" s="260"/>
      <c r="G272" s="260"/>
      <c r="H272" s="260"/>
      <c r="I272" s="260"/>
      <c r="J272" s="260"/>
      <c r="K272" s="260"/>
      <c r="L272" s="260"/>
      <c r="M272" s="260"/>
      <c r="N272" s="260"/>
      <c r="O272" s="260"/>
      <c r="P272" s="260"/>
      <c r="Q272" s="260"/>
      <c r="R272" s="260"/>
      <c r="S272" s="260"/>
      <c r="T272" s="260"/>
      <c r="U272" s="260"/>
      <c r="V272" s="260"/>
      <c r="W272" s="260"/>
      <c r="X272" s="260"/>
      <c r="Y272" s="260"/>
      <c r="Z272" s="260"/>
      <c r="AA272" s="260"/>
      <c r="AB272" s="260"/>
      <c r="AC272" s="260"/>
      <c r="AD272" s="260"/>
      <c r="AE272" s="260"/>
      <c r="AF272" s="260"/>
      <c r="AG272" s="260"/>
      <c r="AH272" s="260"/>
      <c r="AI272" s="264"/>
      <c r="AK272" s="256"/>
    </row>
    <row r="273" spans="1:37" ht="18" hidden="1" customHeight="1">
      <c r="B273" s="270" t="s">
        <v>489</v>
      </c>
      <c r="C273" s="263" t="s">
        <v>490</v>
      </c>
      <c r="D273" s="253">
        <f t="shared" si="12"/>
        <v>0</v>
      </c>
      <c r="E273" s="260"/>
      <c r="F273" s="260"/>
      <c r="G273" s="260"/>
      <c r="H273" s="260"/>
      <c r="I273" s="260"/>
      <c r="J273" s="260"/>
      <c r="K273" s="260"/>
      <c r="L273" s="260"/>
      <c r="M273" s="260"/>
      <c r="N273" s="260"/>
      <c r="O273" s="260"/>
      <c r="P273" s="260"/>
      <c r="Q273" s="260"/>
      <c r="R273" s="260"/>
      <c r="S273" s="260"/>
      <c r="T273" s="260"/>
      <c r="U273" s="260"/>
      <c r="V273" s="260"/>
      <c r="W273" s="260"/>
      <c r="X273" s="260"/>
      <c r="Y273" s="260"/>
      <c r="Z273" s="260"/>
      <c r="AA273" s="260"/>
      <c r="AB273" s="260"/>
      <c r="AC273" s="260"/>
      <c r="AD273" s="260"/>
      <c r="AE273" s="260"/>
      <c r="AF273" s="260"/>
      <c r="AG273" s="260"/>
      <c r="AH273" s="260"/>
      <c r="AI273" s="264"/>
      <c r="AK273" s="256"/>
    </row>
    <row r="274" spans="1:37" ht="23.25" customHeight="1">
      <c r="B274" s="390" t="s">
        <v>507</v>
      </c>
      <c r="C274" s="391"/>
      <c r="D274" s="273">
        <f>SUM(D4:D273)</f>
        <v>28400</v>
      </c>
      <c r="E274" s="274">
        <f>SUM(E4:E273)</f>
        <v>0</v>
      </c>
      <c r="F274" s="274">
        <f t="shared" ref="F274:AI274" si="13">SUM(F4:F273)</f>
        <v>0</v>
      </c>
      <c r="G274" s="274">
        <f t="shared" si="13"/>
        <v>8000</v>
      </c>
      <c r="H274" s="274">
        <f t="shared" si="13"/>
        <v>20400</v>
      </c>
      <c r="I274" s="274">
        <f t="shared" si="13"/>
        <v>0</v>
      </c>
      <c r="J274" s="274">
        <f t="shared" si="13"/>
        <v>0</v>
      </c>
      <c r="K274" s="274">
        <f t="shared" si="13"/>
        <v>0</v>
      </c>
      <c r="L274" s="274">
        <f t="shared" si="13"/>
        <v>0</v>
      </c>
      <c r="M274" s="274">
        <f t="shared" si="13"/>
        <v>0</v>
      </c>
      <c r="N274" s="274">
        <f t="shared" si="13"/>
        <v>0</v>
      </c>
      <c r="O274" s="274">
        <f t="shared" si="13"/>
        <v>0</v>
      </c>
      <c r="P274" s="274">
        <f t="shared" si="13"/>
        <v>0</v>
      </c>
      <c r="Q274" s="274">
        <f t="shared" si="13"/>
        <v>0</v>
      </c>
      <c r="R274" s="274">
        <f t="shared" si="13"/>
        <v>0</v>
      </c>
      <c r="S274" s="274">
        <f t="shared" si="13"/>
        <v>0</v>
      </c>
      <c r="T274" s="274">
        <f t="shared" si="13"/>
        <v>0</v>
      </c>
      <c r="U274" s="274">
        <f t="shared" si="13"/>
        <v>0</v>
      </c>
      <c r="V274" s="274">
        <f t="shared" si="13"/>
        <v>0</v>
      </c>
      <c r="W274" s="274">
        <f t="shared" si="13"/>
        <v>0</v>
      </c>
      <c r="X274" s="274">
        <f t="shared" si="13"/>
        <v>0</v>
      </c>
      <c r="Y274" s="274">
        <f t="shared" si="13"/>
        <v>0</v>
      </c>
      <c r="Z274" s="274">
        <f t="shared" si="13"/>
        <v>0</v>
      </c>
      <c r="AA274" s="274">
        <f t="shared" si="13"/>
        <v>0</v>
      </c>
      <c r="AB274" s="274">
        <f t="shared" si="13"/>
        <v>0</v>
      </c>
      <c r="AC274" s="274">
        <f t="shared" si="13"/>
        <v>0</v>
      </c>
      <c r="AD274" s="274">
        <f t="shared" si="13"/>
        <v>0</v>
      </c>
      <c r="AE274" s="274">
        <f t="shared" si="13"/>
        <v>0</v>
      </c>
      <c r="AF274" s="274">
        <f t="shared" si="13"/>
        <v>0</v>
      </c>
      <c r="AG274" s="274">
        <f t="shared" si="13"/>
        <v>0</v>
      </c>
      <c r="AH274" s="274">
        <f t="shared" si="13"/>
        <v>0</v>
      </c>
      <c r="AI274" s="275">
        <f t="shared" si="13"/>
        <v>0</v>
      </c>
    </row>
    <row r="275" spans="1:37" hidden="1"/>
    <row r="276" spans="1:37" hidden="1">
      <c r="F276" s="256"/>
      <c r="V276" s="241" t="s">
        <v>491</v>
      </c>
    </row>
    <row r="277" spans="1:37">
      <c r="H277" s="241" t="s">
        <v>492</v>
      </c>
    </row>
    <row r="279" spans="1:37" s="239" customFormat="1">
      <c r="A279" s="276"/>
      <c r="B279" s="277"/>
      <c r="E279" s="278"/>
      <c r="F279" s="278"/>
      <c r="G279" s="278"/>
      <c r="H279" s="278"/>
      <c r="I279" s="278"/>
      <c r="J279" s="278"/>
      <c r="K279" s="278"/>
      <c r="L279" s="278"/>
      <c r="M279" s="278"/>
      <c r="N279" s="278"/>
      <c r="O279" s="278"/>
      <c r="P279" s="278"/>
      <c r="Q279" s="278"/>
      <c r="R279" s="278"/>
      <c r="S279" s="278"/>
      <c r="T279" s="278"/>
      <c r="U279" s="278"/>
      <c r="V279" s="278"/>
      <c r="W279" s="278"/>
      <c r="X279" s="278"/>
      <c r="Y279" s="278"/>
      <c r="Z279" s="278"/>
      <c r="AA279" s="278"/>
      <c r="AB279" s="278"/>
      <c r="AC279" s="278"/>
      <c r="AD279" s="278"/>
      <c r="AE279" s="278"/>
      <c r="AF279" s="278"/>
      <c r="AG279" s="278"/>
      <c r="AH279" s="278"/>
      <c r="AI279" s="278"/>
    </row>
    <row r="281" spans="1:37">
      <c r="D281" s="256"/>
      <c r="L281" s="279"/>
    </row>
    <row r="282" spans="1:37">
      <c r="D282" s="256"/>
      <c r="J282" s="256"/>
      <c r="O282" s="256"/>
    </row>
    <row r="283" spans="1:37">
      <c r="D283" s="256"/>
    </row>
    <row r="285" spans="1:37">
      <c r="X285" s="256"/>
    </row>
    <row r="296" spans="20:20">
      <c r="T296" s="241" t="s">
        <v>500</v>
      </c>
    </row>
  </sheetData>
  <autoFilter ref="A3:XFB277">
    <filterColumn colId="3">
      <filters>
        <filter val="10,000"/>
        <filter val="28,400"/>
        <filter val="400"/>
        <filter val="8,000"/>
      </filters>
    </filterColumn>
  </autoFilter>
  <mergeCells count="4">
    <mergeCell ref="A1:C1"/>
    <mergeCell ref="B274:C274"/>
    <mergeCell ref="B2:B3"/>
    <mergeCell ref="C2:C3"/>
  </mergeCells>
  <phoneticPr fontId="73" type="noConversion"/>
  <conditionalFormatting sqref="B46">
    <cfRule type="duplicateValues" dxfId="256" priority="176"/>
  </conditionalFormatting>
  <conditionalFormatting sqref="B83">
    <cfRule type="duplicateValues" dxfId="255" priority="178"/>
  </conditionalFormatting>
  <conditionalFormatting sqref="B89:B114">
    <cfRule type="duplicateValues" dxfId="254" priority="126962"/>
  </conditionalFormatting>
  <conditionalFormatting sqref="B115">
    <cfRule type="duplicateValues" dxfId="253" priority="174"/>
  </conditionalFormatting>
  <conditionalFormatting sqref="B116:B182">
    <cfRule type="duplicateValues" dxfId="252" priority="106792"/>
  </conditionalFormatting>
  <conditionalFormatting sqref="B183:B199">
    <cfRule type="duplicateValues" dxfId="251" priority="166"/>
  </conditionalFormatting>
  <conditionalFormatting sqref="B200:B204">
    <cfRule type="duplicateValues" dxfId="250" priority="132"/>
  </conditionalFormatting>
  <conditionalFormatting sqref="B205:B213">
    <cfRule type="duplicateValues" dxfId="249" priority="124"/>
  </conditionalFormatting>
  <conditionalFormatting sqref="B214:B215">
    <cfRule type="duplicateValues" dxfId="248" priority="67"/>
  </conditionalFormatting>
  <conditionalFormatting sqref="B216">
    <cfRule type="duplicateValues" dxfId="247" priority="57"/>
  </conditionalFormatting>
  <conditionalFormatting sqref="B217">
    <cfRule type="duplicateValues" dxfId="246" priority="98"/>
  </conditionalFormatting>
  <conditionalFormatting sqref="B220:B230">
    <cfRule type="duplicateValues" dxfId="245" priority="6"/>
  </conditionalFormatting>
  <conditionalFormatting sqref="B237">
    <cfRule type="duplicateValues" dxfId="244" priority="1"/>
  </conditionalFormatting>
  <pageMargins left="0.7" right="0.7" top="0.75" bottom="0.75" header="0.3" footer="0.3"/>
  <pageSetup paperSize="9" orientation="portrait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WVM1300"/>
  <sheetViews>
    <sheetView showGridLines="0" zoomScale="85" zoomScaleNormal="85" workbookViewId="0">
      <pane ySplit="5" topLeftCell="A255" activePane="bottomLeft" state="frozen"/>
      <selection pane="bottomLeft" activeCell="F277" sqref="F277"/>
    </sheetView>
  </sheetViews>
  <sheetFormatPr defaultColWidth="10" defaultRowHeight="21.75" customHeight="1"/>
  <cols>
    <col min="1" max="1" width="21.125" style="201" customWidth="1"/>
    <col min="2" max="2" width="26.125" style="202" customWidth="1"/>
    <col min="3" max="3" width="16.625" style="345" customWidth="1"/>
    <col min="4" max="4" width="24.375" style="201" hidden="1" customWidth="1"/>
    <col min="5" max="5" width="23.625" style="347" customWidth="1"/>
    <col min="6" max="6" width="13.75" style="203" customWidth="1"/>
    <col min="7" max="7" width="10" style="204"/>
    <col min="8" max="8" width="22.25" style="204" customWidth="1"/>
    <col min="9" max="244" width="10" style="204"/>
    <col min="245" max="245" width="12.375" style="204" customWidth="1"/>
    <col min="246" max="246" width="10" style="204" hidden="1" customWidth="1"/>
    <col min="247" max="247" width="23.75" style="204" customWidth="1"/>
    <col min="248" max="249" width="10" style="204" hidden="1" customWidth="1"/>
    <col min="250" max="250" width="16.375" style="204" customWidth="1"/>
    <col min="251" max="251" width="10.375" style="204" customWidth="1"/>
    <col min="252" max="252" width="12.875" style="204" customWidth="1"/>
    <col min="253" max="253" width="13.25" style="204" customWidth="1"/>
    <col min="254" max="254" width="14" style="204" customWidth="1"/>
    <col min="255" max="255" width="13.625" style="204" customWidth="1"/>
    <col min="256" max="257" width="10" style="204" hidden="1" customWidth="1"/>
    <col min="258" max="258" width="37.25" style="204" customWidth="1"/>
    <col min="259" max="261" width="10" style="204" hidden="1" customWidth="1"/>
    <col min="262" max="262" width="8.625" style="204" customWidth="1"/>
    <col min="263" max="263" width="10" style="204"/>
    <col min="264" max="264" width="22.25" style="204" customWidth="1"/>
    <col min="265" max="500" width="10" style="204"/>
    <col min="501" max="501" width="12.375" style="204" customWidth="1"/>
    <col min="502" max="502" width="10" style="204" hidden="1" customWidth="1"/>
    <col min="503" max="503" width="23.75" style="204" customWidth="1"/>
    <col min="504" max="505" width="10" style="204" hidden="1" customWidth="1"/>
    <col min="506" max="506" width="16.375" style="204" customWidth="1"/>
    <col min="507" max="507" width="10.375" style="204" customWidth="1"/>
    <col min="508" max="508" width="12.875" style="204" customWidth="1"/>
    <col min="509" max="509" width="13.25" style="204" customWidth="1"/>
    <col min="510" max="510" width="14" style="204" customWidth="1"/>
    <col min="511" max="511" width="13.625" style="204" customWidth="1"/>
    <col min="512" max="513" width="10" style="204" hidden="1" customWidth="1"/>
    <col min="514" max="514" width="37.25" style="204" customWidth="1"/>
    <col min="515" max="517" width="10" style="204" hidden="1" customWidth="1"/>
    <col min="518" max="518" width="8.625" style="204" customWidth="1"/>
    <col min="519" max="519" width="10" style="204"/>
    <col min="520" max="520" width="22.25" style="204" customWidth="1"/>
    <col min="521" max="756" width="10" style="204"/>
    <col min="757" max="757" width="12.375" style="204" customWidth="1"/>
    <col min="758" max="758" width="10" style="204" hidden="1" customWidth="1"/>
    <col min="759" max="759" width="23.75" style="204" customWidth="1"/>
    <col min="760" max="761" width="10" style="204" hidden="1" customWidth="1"/>
    <col min="762" max="762" width="16.375" style="204" customWidth="1"/>
    <col min="763" max="763" width="10.375" style="204" customWidth="1"/>
    <col min="764" max="764" width="12.875" style="204" customWidth="1"/>
    <col min="765" max="765" width="13.25" style="204" customWidth="1"/>
    <col min="766" max="766" width="14" style="204" customWidth="1"/>
    <col min="767" max="767" width="13.625" style="204" customWidth="1"/>
    <col min="768" max="769" width="10" style="204" hidden="1" customWidth="1"/>
    <col min="770" max="770" width="37.25" style="204" customWidth="1"/>
    <col min="771" max="773" width="10" style="204" hidden="1" customWidth="1"/>
    <col min="774" max="774" width="8.625" style="204" customWidth="1"/>
    <col min="775" max="775" width="10" style="204"/>
    <col min="776" max="776" width="22.25" style="204" customWidth="1"/>
    <col min="777" max="1012" width="10" style="204"/>
    <col min="1013" max="1013" width="12.375" style="204" customWidth="1"/>
    <col min="1014" max="1014" width="10" style="204" hidden="1" customWidth="1"/>
    <col min="1015" max="1015" width="23.75" style="204" customWidth="1"/>
    <col min="1016" max="1017" width="10" style="204" hidden="1" customWidth="1"/>
    <col min="1018" max="1018" width="16.375" style="204" customWidth="1"/>
    <col min="1019" max="1019" width="10.375" style="204" customWidth="1"/>
    <col min="1020" max="1020" width="12.875" style="204" customWidth="1"/>
    <col min="1021" max="1021" width="13.25" style="204" customWidth="1"/>
    <col min="1022" max="1022" width="14" style="204" customWidth="1"/>
    <col min="1023" max="1023" width="13.625" style="204" customWidth="1"/>
    <col min="1024" max="1025" width="10" style="204" hidden="1" customWidth="1"/>
    <col min="1026" max="1026" width="37.25" style="204" customWidth="1"/>
    <col min="1027" max="1029" width="10" style="204" hidden="1" customWidth="1"/>
    <col min="1030" max="1030" width="8.625" style="204" customWidth="1"/>
    <col min="1031" max="1031" width="10" style="204"/>
    <col min="1032" max="1032" width="22.25" style="204" customWidth="1"/>
    <col min="1033" max="1268" width="10" style="204"/>
    <col min="1269" max="1269" width="12.375" style="204" customWidth="1"/>
    <col min="1270" max="1270" width="10" style="204" hidden="1" customWidth="1"/>
    <col min="1271" max="1271" width="23.75" style="204" customWidth="1"/>
    <col min="1272" max="1273" width="10" style="204" hidden="1" customWidth="1"/>
    <col min="1274" max="1274" width="16.375" style="204" customWidth="1"/>
    <col min="1275" max="1275" width="10.375" style="204" customWidth="1"/>
    <col min="1276" max="1276" width="12.875" style="204" customWidth="1"/>
    <col min="1277" max="1277" width="13.25" style="204" customWidth="1"/>
    <col min="1278" max="1278" width="14" style="204" customWidth="1"/>
    <col min="1279" max="1279" width="13.625" style="204" customWidth="1"/>
    <col min="1280" max="1281" width="10" style="204" hidden="1" customWidth="1"/>
    <col min="1282" max="1282" width="37.25" style="204" customWidth="1"/>
    <col min="1283" max="1285" width="10" style="204" hidden="1" customWidth="1"/>
    <col min="1286" max="1286" width="8.625" style="204" customWidth="1"/>
    <col min="1287" max="1287" width="10" style="204"/>
    <col min="1288" max="1288" width="22.25" style="204" customWidth="1"/>
    <col min="1289" max="1524" width="10" style="204"/>
    <col min="1525" max="1525" width="12.375" style="204" customWidth="1"/>
    <col min="1526" max="1526" width="10" style="204" hidden="1" customWidth="1"/>
    <col min="1527" max="1527" width="23.75" style="204" customWidth="1"/>
    <col min="1528" max="1529" width="10" style="204" hidden="1" customWidth="1"/>
    <col min="1530" max="1530" width="16.375" style="204" customWidth="1"/>
    <col min="1531" max="1531" width="10.375" style="204" customWidth="1"/>
    <col min="1532" max="1532" width="12.875" style="204" customWidth="1"/>
    <col min="1533" max="1533" width="13.25" style="204" customWidth="1"/>
    <col min="1534" max="1534" width="14" style="204" customWidth="1"/>
    <col min="1535" max="1535" width="13.625" style="204" customWidth="1"/>
    <col min="1536" max="1537" width="10" style="204" hidden="1" customWidth="1"/>
    <col min="1538" max="1538" width="37.25" style="204" customWidth="1"/>
    <col min="1539" max="1541" width="10" style="204" hidden="1" customWidth="1"/>
    <col min="1542" max="1542" width="8.625" style="204" customWidth="1"/>
    <col min="1543" max="1543" width="10" style="204"/>
    <col min="1544" max="1544" width="22.25" style="204" customWidth="1"/>
    <col min="1545" max="1780" width="10" style="204"/>
    <col min="1781" max="1781" width="12.375" style="204" customWidth="1"/>
    <col min="1782" max="1782" width="10" style="204" hidden="1" customWidth="1"/>
    <col min="1783" max="1783" width="23.75" style="204" customWidth="1"/>
    <col min="1784" max="1785" width="10" style="204" hidden="1" customWidth="1"/>
    <col min="1786" max="1786" width="16.375" style="204" customWidth="1"/>
    <col min="1787" max="1787" width="10.375" style="204" customWidth="1"/>
    <col min="1788" max="1788" width="12.875" style="204" customWidth="1"/>
    <col min="1789" max="1789" width="13.25" style="204" customWidth="1"/>
    <col min="1790" max="1790" width="14" style="204" customWidth="1"/>
    <col min="1791" max="1791" width="13.625" style="204" customWidth="1"/>
    <col min="1792" max="1793" width="10" style="204" hidden="1" customWidth="1"/>
    <col min="1794" max="1794" width="37.25" style="204" customWidth="1"/>
    <col min="1795" max="1797" width="10" style="204" hidden="1" customWidth="1"/>
    <col min="1798" max="1798" width="8.625" style="204" customWidth="1"/>
    <col min="1799" max="1799" width="10" style="204"/>
    <col min="1800" max="1800" width="22.25" style="204" customWidth="1"/>
    <col min="1801" max="2036" width="10" style="204"/>
    <col min="2037" max="2037" width="12.375" style="204" customWidth="1"/>
    <col min="2038" max="2038" width="10" style="204" hidden="1" customWidth="1"/>
    <col min="2039" max="2039" width="23.75" style="204" customWidth="1"/>
    <col min="2040" max="2041" width="10" style="204" hidden="1" customWidth="1"/>
    <col min="2042" max="2042" width="16.375" style="204" customWidth="1"/>
    <col min="2043" max="2043" width="10.375" style="204" customWidth="1"/>
    <col min="2044" max="2044" width="12.875" style="204" customWidth="1"/>
    <col min="2045" max="2045" width="13.25" style="204" customWidth="1"/>
    <col min="2046" max="2046" width="14" style="204" customWidth="1"/>
    <col min="2047" max="2047" width="13.625" style="204" customWidth="1"/>
    <col min="2048" max="2049" width="10" style="204" hidden="1" customWidth="1"/>
    <col min="2050" max="2050" width="37.25" style="204" customWidth="1"/>
    <col min="2051" max="2053" width="10" style="204" hidden="1" customWidth="1"/>
    <col min="2054" max="2054" width="8.625" style="204" customWidth="1"/>
    <col min="2055" max="2055" width="10" style="204"/>
    <col min="2056" max="2056" width="22.25" style="204" customWidth="1"/>
    <col min="2057" max="2292" width="10" style="204"/>
    <col min="2293" max="2293" width="12.375" style="204" customWidth="1"/>
    <col min="2294" max="2294" width="10" style="204" hidden="1" customWidth="1"/>
    <col min="2295" max="2295" width="23.75" style="204" customWidth="1"/>
    <col min="2296" max="2297" width="10" style="204" hidden="1" customWidth="1"/>
    <col min="2298" max="2298" width="16.375" style="204" customWidth="1"/>
    <col min="2299" max="2299" width="10.375" style="204" customWidth="1"/>
    <col min="2300" max="2300" width="12.875" style="204" customWidth="1"/>
    <col min="2301" max="2301" width="13.25" style="204" customWidth="1"/>
    <col min="2302" max="2302" width="14" style="204" customWidth="1"/>
    <col min="2303" max="2303" width="13.625" style="204" customWidth="1"/>
    <col min="2304" max="2305" width="10" style="204" hidden="1" customWidth="1"/>
    <col min="2306" max="2306" width="37.25" style="204" customWidth="1"/>
    <col min="2307" max="2309" width="10" style="204" hidden="1" customWidth="1"/>
    <col min="2310" max="2310" width="8.625" style="204" customWidth="1"/>
    <col min="2311" max="2311" width="10" style="204"/>
    <col min="2312" max="2312" width="22.25" style="204" customWidth="1"/>
    <col min="2313" max="2548" width="10" style="204"/>
    <col min="2549" max="2549" width="12.375" style="204" customWidth="1"/>
    <col min="2550" max="2550" width="10" style="204" hidden="1" customWidth="1"/>
    <col min="2551" max="2551" width="23.75" style="204" customWidth="1"/>
    <col min="2552" max="2553" width="10" style="204" hidden="1" customWidth="1"/>
    <col min="2554" max="2554" width="16.375" style="204" customWidth="1"/>
    <col min="2555" max="2555" width="10.375" style="204" customWidth="1"/>
    <col min="2556" max="2556" width="12.875" style="204" customWidth="1"/>
    <col min="2557" max="2557" width="13.25" style="204" customWidth="1"/>
    <col min="2558" max="2558" width="14" style="204" customWidth="1"/>
    <col min="2559" max="2559" width="13.625" style="204" customWidth="1"/>
    <col min="2560" max="2561" width="10" style="204" hidden="1" customWidth="1"/>
    <col min="2562" max="2562" width="37.25" style="204" customWidth="1"/>
    <col min="2563" max="2565" width="10" style="204" hidden="1" customWidth="1"/>
    <col min="2566" max="2566" width="8.625" style="204" customWidth="1"/>
    <col min="2567" max="2567" width="10" style="204"/>
    <col min="2568" max="2568" width="22.25" style="204" customWidth="1"/>
    <col min="2569" max="2804" width="10" style="204"/>
    <col min="2805" max="2805" width="12.375" style="204" customWidth="1"/>
    <col min="2806" max="2806" width="10" style="204" hidden="1" customWidth="1"/>
    <col min="2807" max="2807" width="23.75" style="204" customWidth="1"/>
    <col min="2808" max="2809" width="10" style="204" hidden="1" customWidth="1"/>
    <col min="2810" max="2810" width="16.375" style="204" customWidth="1"/>
    <col min="2811" max="2811" width="10.375" style="204" customWidth="1"/>
    <col min="2812" max="2812" width="12.875" style="204" customWidth="1"/>
    <col min="2813" max="2813" width="13.25" style="204" customWidth="1"/>
    <col min="2814" max="2814" width="14" style="204" customWidth="1"/>
    <col min="2815" max="2815" width="13.625" style="204" customWidth="1"/>
    <col min="2816" max="2817" width="10" style="204" hidden="1" customWidth="1"/>
    <col min="2818" max="2818" width="37.25" style="204" customWidth="1"/>
    <col min="2819" max="2821" width="10" style="204" hidden="1" customWidth="1"/>
    <col min="2822" max="2822" width="8.625" style="204" customWidth="1"/>
    <col min="2823" max="2823" width="10" style="204"/>
    <col min="2824" max="2824" width="22.25" style="204" customWidth="1"/>
    <col min="2825" max="3060" width="10" style="204"/>
    <col min="3061" max="3061" width="12.375" style="204" customWidth="1"/>
    <col min="3062" max="3062" width="10" style="204" hidden="1" customWidth="1"/>
    <col min="3063" max="3063" width="23.75" style="204" customWidth="1"/>
    <col min="3064" max="3065" width="10" style="204" hidden="1" customWidth="1"/>
    <col min="3066" max="3066" width="16.375" style="204" customWidth="1"/>
    <col min="3067" max="3067" width="10.375" style="204" customWidth="1"/>
    <col min="3068" max="3068" width="12.875" style="204" customWidth="1"/>
    <col min="3069" max="3069" width="13.25" style="204" customWidth="1"/>
    <col min="3070" max="3070" width="14" style="204" customWidth="1"/>
    <col min="3071" max="3071" width="13.625" style="204" customWidth="1"/>
    <col min="3072" max="3073" width="10" style="204" hidden="1" customWidth="1"/>
    <col min="3074" max="3074" width="37.25" style="204" customWidth="1"/>
    <col min="3075" max="3077" width="10" style="204" hidden="1" customWidth="1"/>
    <col min="3078" max="3078" width="8.625" style="204" customWidth="1"/>
    <col min="3079" max="3079" width="10" style="204"/>
    <col min="3080" max="3080" width="22.25" style="204" customWidth="1"/>
    <col min="3081" max="3316" width="10" style="204"/>
    <col min="3317" max="3317" width="12.375" style="204" customWidth="1"/>
    <col min="3318" max="3318" width="10" style="204" hidden="1" customWidth="1"/>
    <col min="3319" max="3319" width="23.75" style="204" customWidth="1"/>
    <col min="3320" max="3321" width="10" style="204" hidden="1" customWidth="1"/>
    <col min="3322" max="3322" width="16.375" style="204" customWidth="1"/>
    <col min="3323" max="3323" width="10.375" style="204" customWidth="1"/>
    <col min="3324" max="3324" width="12.875" style="204" customWidth="1"/>
    <col min="3325" max="3325" width="13.25" style="204" customWidth="1"/>
    <col min="3326" max="3326" width="14" style="204" customWidth="1"/>
    <col min="3327" max="3327" width="13.625" style="204" customWidth="1"/>
    <col min="3328" max="3329" width="10" style="204" hidden="1" customWidth="1"/>
    <col min="3330" max="3330" width="37.25" style="204" customWidth="1"/>
    <col min="3331" max="3333" width="10" style="204" hidden="1" customWidth="1"/>
    <col min="3334" max="3334" width="8.625" style="204" customWidth="1"/>
    <col min="3335" max="3335" width="10" style="204"/>
    <col min="3336" max="3336" width="22.25" style="204" customWidth="1"/>
    <col min="3337" max="3572" width="10" style="204"/>
    <col min="3573" max="3573" width="12.375" style="204" customWidth="1"/>
    <col min="3574" max="3574" width="10" style="204" hidden="1" customWidth="1"/>
    <col min="3575" max="3575" width="23.75" style="204" customWidth="1"/>
    <col min="3576" max="3577" width="10" style="204" hidden="1" customWidth="1"/>
    <col min="3578" max="3578" width="16.375" style="204" customWidth="1"/>
    <col min="3579" max="3579" width="10.375" style="204" customWidth="1"/>
    <col min="3580" max="3580" width="12.875" style="204" customWidth="1"/>
    <col min="3581" max="3581" width="13.25" style="204" customWidth="1"/>
    <col min="3582" max="3582" width="14" style="204" customWidth="1"/>
    <col min="3583" max="3583" width="13.625" style="204" customWidth="1"/>
    <col min="3584" max="3585" width="10" style="204" hidden="1" customWidth="1"/>
    <col min="3586" max="3586" width="37.25" style="204" customWidth="1"/>
    <col min="3587" max="3589" width="10" style="204" hidden="1" customWidth="1"/>
    <col min="3590" max="3590" width="8.625" style="204" customWidth="1"/>
    <col min="3591" max="3591" width="10" style="204"/>
    <col min="3592" max="3592" width="22.25" style="204" customWidth="1"/>
    <col min="3593" max="3828" width="10" style="204"/>
    <col min="3829" max="3829" width="12.375" style="204" customWidth="1"/>
    <col min="3830" max="3830" width="10" style="204" hidden="1" customWidth="1"/>
    <col min="3831" max="3831" width="23.75" style="204" customWidth="1"/>
    <col min="3832" max="3833" width="10" style="204" hidden="1" customWidth="1"/>
    <col min="3834" max="3834" width="16.375" style="204" customWidth="1"/>
    <col min="3835" max="3835" width="10.375" style="204" customWidth="1"/>
    <col min="3836" max="3836" width="12.875" style="204" customWidth="1"/>
    <col min="3837" max="3837" width="13.25" style="204" customWidth="1"/>
    <col min="3838" max="3838" width="14" style="204" customWidth="1"/>
    <col min="3839" max="3839" width="13.625" style="204" customWidth="1"/>
    <col min="3840" max="3841" width="10" style="204" hidden="1" customWidth="1"/>
    <col min="3842" max="3842" width="37.25" style="204" customWidth="1"/>
    <col min="3843" max="3845" width="10" style="204" hidden="1" customWidth="1"/>
    <col min="3846" max="3846" width="8.625" style="204" customWidth="1"/>
    <col min="3847" max="3847" width="10" style="204"/>
    <col min="3848" max="3848" width="22.25" style="204" customWidth="1"/>
    <col min="3849" max="4084" width="10" style="204"/>
    <col min="4085" max="4085" width="12.375" style="204" customWidth="1"/>
    <col min="4086" max="4086" width="10" style="204" hidden="1" customWidth="1"/>
    <col min="4087" max="4087" width="23.75" style="204" customWidth="1"/>
    <col min="4088" max="4089" width="10" style="204" hidden="1" customWidth="1"/>
    <col min="4090" max="4090" width="16.375" style="204" customWidth="1"/>
    <col min="4091" max="4091" width="10.375" style="204" customWidth="1"/>
    <col min="4092" max="4092" width="12.875" style="204" customWidth="1"/>
    <col min="4093" max="4093" width="13.25" style="204" customWidth="1"/>
    <col min="4094" max="4094" width="14" style="204" customWidth="1"/>
    <col min="4095" max="4095" width="13.625" style="204" customWidth="1"/>
    <col min="4096" max="4097" width="10" style="204" hidden="1" customWidth="1"/>
    <col min="4098" max="4098" width="37.25" style="204" customWidth="1"/>
    <col min="4099" max="4101" width="10" style="204" hidden="1" customWidth="1"/>
    <col min="4102" max="4102" width="8.625" style="204" customWidth="1"/>
    <col min="4103" max="4103" width="10" style="204"/>
    <col min="4104" max="4104" width="22.25" style="204" customWidth="1"/>
    <col min="4105" max="4340" width="10" style="204"/>
    <col min="4341" max="4341" width="12.375" style="204" customWidth="1"/>
    <col min="4342" max="4342" width="10" style="204" hidden="1" customWidth="1"/>
    <col min="4343" max="4343" width="23.75" style="204" customWidth="1"/>
    <col min="4344" max="4345" width="10" style="204" hidden="1" customWidth="1"/>
    <col min="4346" max="4346" width="16.375" style="204" customWidth="1"/>
    <col min="4347" max="4347" width="10.375" style="204" customWidth="1"/>
    <col min="4348" max="4348" width="12.875" style="204" customWidth="1"/>
    <col min="4349" max="4349" width="13.25" style="204" customWidth="1"/>
    <col min="4350" max="4350" width="14" style="204" customWidth="1"/>
    <col min="4351" max="4351" width="13.625" style="204" customWidth="1"/>
    <col min="4352" max="4353" width="10" style="204" hidden="1" customWidth="1"/>
    <col min="4354" max="4354" width="37.25" style="204" customWidth="1"/>
    <col min="4355" max="4357" width="10" style="204" hidden="1" customWidth="1"/>
    <col min="4358" max="4358" width="8.625" style="204" customWidth="1"/>
    <col min="4359" max="4359" width="10" style="204"/>
    <col min="4360" max="4360" width="22.25" style="204" customWidth="1"/>
    <col min="4361" max="4596" width="10" style="204"/>
    <col min="4597" max="4597" width="12.375" style="204" customWidth="1"/>
    <col min="4598" max="4598" width="10" style="204" hidden="1" customWidth="1"/>
    <col min="4599" max="4599" width="23.75" style="204" customWidth="1"/>
    <col min="4600" max="4601" width="10" style="204" hidden="1" customWidth="1"/>
    <col min="4602" max="4602" width="16.375" style="204" customWidth="1"/>
    <col min="4603" max="4603" width="10.375" style="204" customWidth="1"/>
    <col min="4604" max="4604" width="12.875" style="204" customWidth="1"/>
    <col min="4605" max="4605" width="13.25" style="204" customWidth="1"/>
    <col min="4606" max="4606" width="14" style="204" customWidth="1"/>
    <col min="4607" max="4607" width="13.625" style="204" customWidth="1"/>
    <col min="4608" max="4609" width="10" style="204" hidden="1" customWidth="1"/>
    <col min="4610" max="4610" width="37.25" style="204" customWidth="1"/>
    <col min="4611" max="4613" width="10" style="204" hidden="1" customWidth="1"/>
    <col min="4614" max="4614" width="8.625" style="204" customWidth="1"/>
    <col min="4615" max="4615" width="10" style="204"/>
    <col min="4616" max="4616" width="22.25" style="204" customWidth="1"/>
    <col min="4617" max="4852" width="10" style="204"/>
    <col min="4853" max="4853" width="12.375" style="204" customWidth="1"/>
    <col min="4854" max="4854" width="10" style="204" hidden="1" customWidth="1"/>
    <col min="4855" max="4855" width="23.75" style="204" customWidth="1"/>
    <col min="4856" max="4857" width="10" style="204" hidden="1" customWidth="1"/>
    <col min="4858" max="4858" width="16.375" style="204" customWidth="1"/>
    <col min="4859" max="4859" width="10.375" style="204" customWidth="1"/>
    <col min="4860" max="4860" width="12.875" style="204" customWidth="1"/>
    <col min="4861" max="4861" width="13.25" style="204" customWidth="1"/>
    <col min="4862" max="4862" width="14" style="204" customWidth="1"/>
    <col min="4863" max="4863" width="13.625" style="204" customWidth="1"/>
    <col min="4864" max="4865" width="10" style="204" hidden="1" customWidth="1"/>
    <col min="4866" max="4866" width="37.25" style="204" customWidth="1"/>
    <col min="4867" max="4869" width="10" style="204" hidden="1" customWidth="1"/>
    <col min="4870" max="4870" width="8.625" style="204" customWidth="1"/>
    <col min="4871" max="4871" width="10" style="204"/>
    <col min="4872" max="4872" width="22.25" style="204" customWidth="1"/>
    <col min="4873" max="5108" width="10" style="204"/>
    <col min="5109" max="5109" width="12.375" style="204" customWidth="1"/>
    <col min="5110" max="5110" width="10" style="204" hidden="1" customWidth="1"/>
    <col min="5111" max="5111" width="23.75" style="204" customWidth="1"/>
    <col min="5112" max="5113" width="10" style="204" hidden="1" customWidth="1"/>
    <col min="5114" max="5114" width="16.375" style="204" customWidth="1"/>
    <col min="5115" max="5115" width="10.375" style="204" customWidth="1"/>
    <col min="5116" max="5116" width="12.875" style="204" customWidth="1"/>
    <col min="5117" max="5117" width="13.25" style="204" customWidth="1"/>
    <col min="5118" max="5118" width="14" style="204" customWidth="1"/>
    <col min="5119" max="5119" width="13.625" style="204" customWidth="1"/>
    <col min="5120" max="5121" width="10" style="204" hidden="1" customWidth="1"/>
    <col min="5122" max="5122" width="37.25" style="204" customWidth="1"/>
    <col min="5123" max="5125" width="10" style="204" hidden="1" customWidth="1"/>
    <col min="5126" max="5126" width="8.625" style="204" customWidth="1"/>
    <col min="5127" max="5127" width="10" style="204"/>
    <col min="5128" max="5128" width="22.25" style="204" customWidth="1"/>
    <col min="5129" max="5364" width="10" style="204"/>
    <col min="5365" max="5365" width="12.375" style="204" customWidth="1"/>
    <col min="5366" max="5366" width="10" style="204" hidden="1" customWidth="1"/>
    <col min="5367" max="5367" width="23.75" style="204" customWidth="1"/>
    <col min="5368" max="5369" width="10" style="204" hidden="1" customWidth="1"/>
    <col min="5370" max="5370" width="16.375" style="204" customWidth="1"/>
    <col min="5371" max="5371" width="10.375" style="204" customWidth="1"/>
    <col min="5372" max="5372" width="12.875" style="204" customWidth="1"/>
    <col min="5373" max="5373" width="13.25" style="204" customWidth="1"/>
    <col min="5374" max="5374" width="14" style="204" customWidth="1"/>
    <col min="5375" max="5375" width="13.625" style="204" customWidth="1"/>
    <col min="5376" max="5377" width="10" style="204" hidden="1" customWidth="1"/>
    <col min="5378" max="5378" width="37.25" style="204" customWidth="1"/>
    <col min="5379" max="5381" width="10" style="204" hidden="1" customWidth="1"/>
    <col min="5382" max="5382" width="8.625" style="204" customWidth="1"/>
    <col min="5383" max="5383" width="10" style="204"/>
    <col min="5384" max="5384" width="22.25" style="204" customWidth="1"/>
    <col min="5385" max="5620" width="10" style="204"/>
    <col min="5621" max="5621" width="12.375" style="204" customWidth="1"/>
    <col min="5622" max="5622" width="10" style="204" hidden="1" customWidth="1"/>
    <col min="5623" max="5623" width="23.75" style="204" customWidth="1"/>
    <col min="5624" max="5625" width="10" style="204" hidden="1" customWidth="1"/>
    <col min="5626" max="5626" width="16.375" style="204" customWidth="1"/>
    <col min="5627" max="5627" width="10.375" style="204" customWidth="1"/>
    <col min="5628" max="5628" width="12.875" style="204" customWidth="1"/>
    <col min="5629" max="5629" width="13.25" style="204" customWidth="1"/>
    <col min="5630" max="5630" width="14" style="204" customWidth="1"/>
    <col min="5631" max="5631" width="13.625" style="204" customWidth="1"/>
    <col min="5632" max="5633" width="10" style="204" hidden="1" customWidth="1"/>
    <col min="5634" max="5634" width="37.25" style="204" customWidth="1"/>
    <col min="5635" max="5637" width="10" style="204" hidden="1" customWidth="1"/>
    <col min="5638" max="5638" width="8.625" style="204" customWidth="1"/>
    <col min="5639" max="5639" width="10" style="204"/>
    <col min="5640" max="5640" width="22.25" style="204" customWidth="1"/>
    <col min="5641" max="5876" width="10" style="204"/>
    <col min="5877" max="5877" width="12.375" style="204" customWidth="1"/>
    <col min="5878" max="5878" width="10" style="204" hidden="1" customWidth="1"/>
    <col min="5879" max="5879" width="23.75" style="204" customWidth="1"/>
    <col min="5880" max="5881" width="10" style="204" hidden="1" customWidth="1"/>
    <col min="5882" max="5882" width="16.375" style="204" customWidth="1"/>
    <col min="5883" max="5883" width="10.375" style="204" customWidth="1"/>
    <col min="5884" max="5884" width="12.875" style="204" customWidth="1"/>
    <col min="5885" max="5885" width="13.25" style="204" customWidth="1"/>
    <col min="5886" max="5886" width="14" style="204" customWidth="1"/>
    <col min="5887" max="5887" width="13.625" style="204" customWidth="1"/>
    <col min="5888" max="5889" width="10" style="204" hidden="1" customWidth="1"/>
    <col min="5890" max="5890" width="37.25" style="204" customWidth="1"/>
    <col min="5891" max="5893" width="10" style="204" hidden="1" customWidth="1"/>
    <col min="5894" max="5894" width="8.625" style="204" customWidth="1"/>
    <col min="5895" max="5895" width="10" style="204"/>
    <col min="5896" max="5896" width="22.25" style="204" customWidth="1"/>
    <col min="5897" max="6132" width="10" style="204"/>
    <col min="6133" max="6133" width="12.375" style="204" customWidth="1"/>
    <col min="6134" max="6134" width="10" style="204" hidden="1" customWidth="1"/>
    <col min="6135" max="6135" width="23.75" style="204" customWidth="1"/>
    <col min="6136" max="6137" width="10" style="204" hidden="1" customWidth="1"/>
    <col min="6138" max="6138" width="16.375" style="204" customWidth="1"/>
    <col min="6139" max="6139" width="10.375" style="204" customWidth="1"/>
    <col min="6140" max="6140" width="12.875" style="204" customWidth="1"/>
    <col min="6141" max="6141" width="13.25" style="204" customWidth="1"/>
    <col min="6142" max="6142" width="14" style="204" customWidth="1"/>
    <col min="6143" max="6143" width="13.625" style="204" customWidth="1"/>
    <col min="6144" max="6145" width="10" style="204" hidden="1" customWidth="1"/>
    <col min="6146" max="6146" width="37.25" style="204" customWidth="1"/>
    <col min="6147" max="6149" width="10" style="204" hidden="1" customWidth="1"/>
    <col min="6150" max="6150" width="8.625" style="204" customWidth="1"/>
    <col min="6151" max="6151" width="10" style="204"/>
    <col min="6152" max="6152" width="22.25" style="204" customWidth="1"/>
    <col min="6153" max="6388" width="10" style="204"/>
    <col min="6389" max="6389" width="12.375" style="204" customWidth="1"/>
    <col min="6390" max="6390" width="10" style="204" hidden="1" customWidth="1"/>
    <col min="6391" max="6391" width="23.75" style="204" customWidth="1"/>
    <col min="6392" max="6393" width="10" style="204" hidden="1" customWidth="1"/>
    <col min="6394" max="6394" width="16.375" style="204" customWidth="1"/>
    <col min="6395" max="6395" width="10.375" style="204" customWidth="1"/>
    <col min="6396" max="6396" width="12.875" style="204" customWidth="1"/>
    <col min="6397" max="6397" width="13.25" style="204" customWidth="1"/>
    <col min="6398" max="6398" width="14" style="204" customWidth="1"/>
    <col min="6399" max="6399" width="13.625" style="204" customWidth="1"/>
    <col min="6400" max="6401" width="10" style="204" hidden="1" customWidth="1"/>
    <col min="6402" max="6402" width="37.25" style="204" customWidth="1"/>
    <col min="6403" max="6405" width="10" style="204" hidden="1" customWidth="1"/>
    <col min="6406" max="6406" width="8.625" style="204" customWidth="1"/>
    <col min="6407" max="6407" width="10" style="204"/>
    <col min="6408" max="6408" width="22.25" style="204" customWidth="1"/>
    <col min="6409" max="6644" width="10" style="204"/>
    <col min="6645" max="6645" width="12.375" style="204" customWidth="1"/>
    <col min="6646" max="6646" width="10" style="204" hidden="1" customWidth="1"/>
    <col min="6647" max="6647" width="23.75" style="204" customWidth="1"/>
    <col min="6648" max="6649" width="10" style="204" hidden="1" customWidth="1"/>
    <col min="6650" max="6650" width="16.375" style="204" customWidth="1"/>
    <col min="6651" max="6651" width="10.375" style="204" customWidth="1"/>
    <col min="6652" max="6652" width="12.875" style="204" customWidth="1"/>
    <col min="6653" max="6653" width="13.25" style="204" customWidth="1"/>
    <col min="6654" max="6654" width="14" style="204" customWidth="1"/>
    <col min="6655" max="6655" width="13.625" style="204" customWidth="1"/>
    <col min="6656" max="6657" width="10" style="204" hidden="1" customWidth="1"/>
    <col min="6658" max="6658" width="37.25" style="204" customWidth="1"/>
    <col min="6659" max="6661" width="10" style="204" hidden="1" customWidth="1"/>
    <col min="6662" max="6662" width="8.625" style="204" customWidth="1"/>
    <col min="6663" max="6663" width="10" style="204"/>
    <col min="6664" max="6664" width="22.25" style="204" customWidth="1"/>
    <col min="6665" max="6900" width="10" style="204"/>
    <col min="6901" max="6901" width="12.375" style="204" customWidth="1"/>
    <col min="6902" max="6902" width="10" style="204" hidden="1" customWidth="1"/>
    <col min="6903" max="6903" width="23.75" style="204" customWidth="1"/>
    <col min="6904" max="6905" width="10" style="204" hidden="1" customWidth="1"/>
    <col min="6906" max="6906" width="16.375" style="204" customWidth="1"/>
    <col min="6907" max="6907" width="10.375" style="204" customWidth="1"/>
    <col min="6908" max="6908" width="12.875" style="204" customWidth="1"/>
    <col min="6909" max="6909" width="13.25" style="204" customWidth="1"/>
    <col min="6910" max="6910" width="14" style="204" customWidth="1"/>
    <col min="6911" max="6911" width="13.625" style="204" customWidth="1"/>
    <col min="6912" max="6913" width="10" style="204" hidden="1" customWidth="1"/>
    <col min="6914" max="6914" width="37.25" style="204" customWidth="1"/>
    <col min="6915" max="6917" width="10" style="204" hidden="1" customWidth="1"/>
    <col min="6918" max="6918" width="8.625" style="204" customWidth="1"/>
    <col min="6919" max="6919" width="10" style="204"/>
    <col min="6920" max="6920" width="22.25" style="204" customWidth="1"/>
    <col min="6921" max="7156" width="10" style="204"/>
    <col min="7157" max="7157" width="12.375" style="204" customWidth="1"/>
    <col min="7158" max="7158" width="10" style="204" hidden="1" customWidth="1"/>
    <col min="7159" max="7159" width="23.75" style="204" customWidth="1"/>
    <col min="7160" max="7161" width="10" style="204" hidden="1" customWidth="1"/>
    <col min="7162" max="7162" width="16.375" style="204" customWidth="1"/>
    <col min="7163" max="7163" width="10.375" style="204" customWidth="1"/>
    <col min="7164" max="7164" width="12.875" style="204" customWidth="1"/>
    <col min="7165" max="7165" width="13.25" style="204" customWidth="1"/>
    <col min="7166" max="7166" width="14" style="204" customWidth="1"/>
    <col min="7167" max="7167" width="13.625" style="204" customWidth="1"/>
    <col min="7168" max="7169" width="10" style="204" hidden="1" customWidth="1"/>
    <col min="7170" max="7170" width="37.25" style="204" customWidth="1"/>
    <col min="7171" max="7173" width="10" style="204" hidden="1" customWidth="1"/>
    <col min="7174" max="7174" width="8.625" style="204" customWidth="1"/>
    <col min="7175" max="7175" width="10" style="204"/>
    <col min="7176" max="7176" width="22.25" style="204" customWidth="1"/>
    <col min="7177" max="7412" width="10" style="204"/>
    <col min="7413" max="7413" width="12.375" style="204" customWidth="1"/>
    <col min="7414" max="7414" width="10" style="204" hidden="1" customWidth="1"/>
    <col min="7415" max="7415" width="23.75" style="204" customWidth="1"/>
    <col min="7416" max="7417" width="10" style="204" hidden="1" customWidth="1"/>
    <col min="7418" max="7418" width="16.375" style="204" customWidth="1"/>
    <col min="7419" max="7419" width="10.375" style="204" customWidth="1"/>
    <col min="7420" max="7420" width="12.875" style="204" customWidth="1"/>
    <col min="7421" max="7421" width="13.25" style="204" customWidth="1"/>
    <col min="7422" max="7422" width="14" style="204" customWidth="1"/>
    <col min="7423" max="7423" width="13.625" style="204" customWidth="1"/>
    <col min="7424" max="7425" width="10" style="204" hidden="1" customWidth="1"/>
    <col min="7426" max="7426" width="37.25" style="204" customWidth="1"/>
    <col min="7427" max="7429" width="10" style="204" hidden="1" customWidth="1"/>
    <col min="7430" max="7430" width="8.625" style="204" customWidth="1"/>
    <col min="7431" max="7431" width="10" style="204"/>
    <col min="7432" max="7432" width="22.25" style="204" customWidth="1"/>
    <col min="7433" max="7668" width="10" style="204"/>
    <col min="7669" max="7669" width="12.375" style="204" customWidth="1"/>
    <col min="7670" max="7670" width="10" style="204" hidden="1" customWidth="1"/>
    <col min="7671" max="7671" width="23.75" style="204" customWidth="1"/>
    <col min="7672" max="7673" width="10" style="204" hidden="1" customWidth="1"/>
    <col min="7674" max="7674" width="16.375" style="204" customWidth="1"/>
    <col min="7675" max="7675" width="10.375" style="204" customWidth="1"/>
    <col min="7676" max="7676" width="12.875" style="204" customWidth="1"/>
    <col min="7677" max="7677" width="13.25" style="204" customWidth="1"/>
    <col min="7678" max="7678" width="14" style="204" customWidth="1"/>
    <col min="7679" max="7679" width="13.625" style="204" customWidth="1"/>
    <col min="7680" max="7681" width="10" style="204" hidden="1" customWidth="1"/>
    <col min="7682" max="7682" width="37.25" style="204" customWidth="1"/>
    <col min="7683" max="7685" width="10" style="204" hidden="1" customWidth="1"/>
    <col min="7686" max="7686" width="8.625" style="204" customWidth="1"/>
    <col min="7687" max="7687" width="10" style="204"/>
    <col min="7688" max="7688" width="22.25" style="204" customWidth="1"/>
    <col min="7689" max="7924" width="10" style="204"/>
    <col min="7925" max="7925" width="12.375" style="204" customWidth="1"/>
    <col min="7926" max="7926" width="10" style="204" hidden="1" customWidth="1"/>
    <col min="7927" max="7927" width="23.75" style="204" customWidth="1"/>
    <col min="7928" max="7929" width="10" style="204" hidden="1" customWidth="1"/>
    <col min="7930" max="7930" width="16.375" style="204" customWidth="1"/>
    <col min="7931" max="7931" width="10.375" style="204" customWidth="1"/>
    <col min="7932" max="7932" width="12.875" style="204" customWidth="1"/>
    <col min="7933" max="7933" width="13.25" style="204" customWidth="1"/>
    <col min="7934" max="7934" width="14" style="204" customWidth="1"/>
    <col min="7935" max="7935" width="13.625" style="204" customWidth="1"/>
    <col min="7936" max="7937" width="10" style="204" hidden="1" customWidth="1"/>
    <col min="7938" max="7938" width="37.25" style="204" customWidth="1"/>
    <col min="7939" max="7941" width="10" style="204" hidden="1" customWidth="1"/>
    <col min="7942" max="7942" width="8.625" style="204" customWidth="1"/>
    <col min="7943" max="7943" width="10" style="204"/>
    <col min="7944" max="7944" width="22.25" style="204" customWidth="1"/>
    <col min="7945" max="8180" width="10" style="204"/>
    <col min="8181" max="8181" width="12.375" style="204" customWidth="1"/>
    <col min="8182" max="8182" width="10" style="204" hidden="1" customWidth="1"/>
    <col min="8183" max="8183" width="23.75" style="204" customWidth="1"/>
    <col min="8184" max="8185" width="10" style="204" hidden="1" customWidth="1"/>
    <col min="8186" max="8186" width="16.375" style="204" customWidth="1"/>
    <col min="8187" max="8187" width="10.375" style="204" customWidth="1"/>
    <col min="8188" max="8188" width="12.875" style="204" customWidth="1"/>
    <col min="8189" max="8189" width="13.25" style="204" customWidth="1"/>
    <col min="8190" max="8190" width="14" style="204" customWidth="1"/>
    <col min="8191" max="8191" width="13.625" style="204" customWidth="1"/>
    <col min="8192" max="8193" width="10" style="204" hidden="1" customWidth="1"/>
    <col min="8194" max="8194" width="37.25" style="204" customWidth="1"/>
    <col min="8195" max="8197" width="10" style="204" hidden="1" customWidth="1"/>
    <col min="8198" max="8198" width="8.625" style="204" customWidth="1"/>
    <col min="8199" max="8199" width="10" style="204"/>
    <col min="8200" max="8200" width="22.25" style="204" customWidth="1"/>
    <col min="8201" max="8436" width="10" style="204"/>
    <col min="8437" max="8437" width="12.375" style="204" customWidth="1"/>
    <col min="8438" max="8438" width="10" style="204" hidden="1" customWidth="1"/>
    <col min="8439" max="8439" width="23.75" style="204" customWidth="1"/>
    <col min="8440" max="8441" width="10" style="204" hidden="1" customWidth="1"/>
    <col min="8442" max="8442" width="16.375" style="204" customWidth="1"/>
    <col min="8443" max="8443" width="10.375" style="204" customWidth="1"/>
    <col min="8444" max="8444" width="12.875" style="204" customWidth="1"/>
    <col min="8445" max="8445" width="13.25" style="204" customWidth="1"/>
    <col min="8446" max="8446" width="14" style="204" customWidth="1"/>
    <col min="8447" max="8447" width="13.625" style="204" customWidth="1"/>
    <col min="8448" max="8449" width="10" style="204" hidden="1" customWidth="1"/>
    <col min="8450" max="8450" width="37.25" style="204" customWidth="1"/>
    <col min="8451" max="8453" width="10" style="204" hidden="1" customWidth="1"/>
    <col min="8454" max="8454" width="8.625" style="204" customWidth="1"/>
    <col min="8455" max="8455" width="10" style="204"/>
    <col min="8456" max="8456" width="22.25" style="204" customWidth="1"/>
    <col min="8457" max="8692" width="10" style="204"/>
    <col min="8693" max="8693" width="12.375" style="204" customWidth="1"/>
    <col min="8694" max="8694" width="10" style="204" hidden="1" customWidth="1"/>
    <col min="8695" max="8695" width="23.75" style="204" customWidth="1"/>
    <col min="8696" max="8697" width="10" style="204" hidden="1" customWidth="1"/>
    <col min="8698" max="8698" width="16.375" style="204" customWidth="1"/>
    <col min="8699" max="8699" width="10.375" style="204" customWidth="1"/>
    <col min="8700" max="8700" width="12.875" style="204" customWidth="1"/>
    <col min="8701" max="8701" width="13.25" style="204" customWidth="1"/>
    <col min="8702" max="8702" width="14" style="204" customWidth="1"/>
    <col min="8703" max="8703" width="13.625" style="204" customWidth="1"/>
    <col min="8704" max="8705" width="10" style="204" hidden="1" customWidth="1"/>
    <col min="8706" max="8706" width="37.25" style="204" customWidth="1"/>
    <col min="8707" max="8709" width="10" style="204" hidden="1" customWidth="1"/>
    <col min="8710" max="8710" width="8.625" style="204" customWidth="1"/>
    <col min="8711" max="8711" width="10" style="204"/>
    <col min="8712" max="8712" width="22.25" style="204" customWidth="1"/>
    <col min="8713" max="8948" width="10" style="204"/>
    <col min="8949" max="8949" width="12.375" style="204" customWidth="1"/>
    <col min="8950" max="8950" width="10" style="204" hidden="1" customWidth="1"/>
    <col min="8951" max="8951" width="23.75" style="204" customWidth="1"/>
    <col min="8952" max="8953" width="10" style="204" hidden="1" customWidth="1"/>
    <col min="8954" max="8954" width="16.375" style="204" customWidth="1"/>
    <col min="8955" max="8955" width="10.375" style="204" customWidth="1"/>
    <col min="8956" max="8956" width="12.875" style="204" customWidth="1"/>
    <col min="8957" max="8957" width="13.25" style="204" customWidth="1"/>
    <col min="8958" max="8958" width="14" style="204" customWidth="1"/>
    <col min="8959" max="8959" width="13.625" style="204" customWidth="1"/>
    <col min="8960" max="8961" width="10" style="204" hidden="1" customWidth="1"/>
    <col min="8962" max="8962" width="37.25" style="204" customWidth="1"/>
    <col min="8963" max="8965" width="10" style="204" hidden="1" customWidth="1"/>
    <col min="8966" max="8966" width="8.625" style="204" customWidth="1"/>
    <col min="8967" max="8967" width="10" style="204"/>
    <col min="8968" max="8968" width="22.25" style="204" customWidth="1"/>
    <col min="8969" max="9204" width="10" style="204"/>
    <col min="9205" max="9205" width="12.375" style="204" customWidth="1"/>
    <col min="9206" max="9206" width="10" style="204" hidden="1" customWidth="1"/>
    <col min="9207" max="9207" width="23.75" style="204" customWidth="1"/>
    <col min="9208" max="9209" width="10" style="204" hidden="1" customWidth="1"/>
    <col min="9210" max="9210" width="16.375" style="204" customWidth="1"/>
    <col min="9211" max="9211" width="10.375" style="204" customWidth="1"/>
    <col min="9212" max="9212" width="12.875" style="204" customWidth="1"/>
    <col min="9213" max="9213" width="13.25" style="204" customWidth="1"/>
    <col min="9214" max="9214" width="14" style="204" customWidth="1"/>
    <col min="9215" max="9215" width="13.625" style="204" customWidth="1"/>
    <col min="9216" max="9217" width="10" style="204" hidden="1" customWidth="1"/>
    <col min="9218" max="9218" width="37.25" style="204" customWidth="1"/>
    <col min="9219" max="9221" width="10" style="204" hidden="1" customWidth="1"/>
    <col min="9222" max="9222" width="8.625" style="204" customWidth="1"/>
    <col min="9223" max="9223" width="10" style="204"/>
    <col min="9224" max="9224" width="22.25" style="204" customWidth="1"/>
    <col min="9225" max="9460" width="10" style="204"/>
    <col min="9461" max="9461" width="12.375" style="204" customWidth="1"/>
    <col min="9462" max="9462" width="10" style="204" hidden="1" customWidth="1"/>
    <col min="9463" max="9463" width="23.75" style="204" customWidth="1"/>
    <col min="9464" max="9465" width="10" style="204" hidden="1" customWidth="1"/>
    <col min="9466" max="9466" width="16.375" style="204" customWidth="1"/>
    <col min="9467" max="9467" width="10.375" style="204" customWidth="1"/>
    <col min="9468" max="9468" width="12.875" style="204" customWidth="1"/>
    <col min="9469" max="9469" width="13.25" style="204" customWidth="1"/>
    <col min="9470" max="9470" width="14" style="204" customWidth="1"/>
    <col min="9471" max="9471" width="13.625" style="204" customWidth="1"/>
    <col min="9472" max="9473" width="10" style="204" hidden="1" customWidth="1"/>
    <col min="9474" max="9474" width="37.25" style="204" customWidth="1"/>
    <col min="9475" max="9477" width="10" style="204" hidden="1" customWidth="1"/>
    <col min="9478" max="9478" width="8.625" style="204" customWidth="1"/>
    <col min="9479" max="9479" width="10" style="204"/>
    <col min="9480" max="9480" width="22.25" style="204" customWidth="1"/>
    <col min="9481" max="9716" width="10" style="204"/>
    <col min="9717" max="9717" width="12.375" style="204" customWidth="1"/>
    <col min="9718" max="9718" width="10" style="204" hidden="1" customWidth="1"/>
    <col min="9719" max="9719" width="23.75" style="204" customWidth="1"/>
    <col min="9720" max="9721" width="10" style="204" hidden="1" customWidth="1"/>
    <col min="9722" max="9722" width="16.375" style="204" customWidth="1"/>
    <col min="9723" max="9723" width="10.375" style="204" customWidth="1"/>
    <col min="9724" max="9724" width="12.875" style="204" customWidth="1"/>
    <col min="9725" max="9725" width="13.25" style="204" customWidth="1"/>
    <col min="9726" max="9726" width="14" style="204" customWidth="1"/>
    <col min="9727" max="9727" width="13.625" style="204" customWidth="1"/>
    <col min="9728" max="9729" width="10" style="204" hidden="1" customWidth="1"/>
    <col min="9730" max="9730" width="37.25" style="204" customWidth="1"/>
    <col min="9731" max="9733" width="10" style="204" hidden="1" customWidth="1"/>
    <col min="9734" max="9734" width="8.625" style="204" customWidth="1"/>
    <col min="9735" max="9735" width="10" style="204"/>
    <col min="9736" max="9736" width="22.25" style="204" customWidth="1"/>
    <col min="9737" max="9972" width="10" style="204"/>
    <col min="9973" max="9973" width="12.375" style="204" customWidth="1"/>
    <col min="9974" max="9974" width="10" style="204" hidden="1" customWidth="1"/>
    <col min="9975" max="9975" width="23.75" style="204" customWidth="1"/>
    <col min="9976" max="9977" width="10" style="204" hidden="1" customWidth="1"/>
    <col min="9978" max="9978" width="16.375" style="204" customWidth="1"/>
    <col min="9979" max="9979" width="10.375" style="204" customWidth="1"/>
    <col min="9980" max="9980" width="12.875" style="204" customWidth="1"/>
    <col min="9981" max="9981" width="13.25" style="204" customWidth="1"/>
    <col min="9982" max="9982" width="14" style="204" customWidth="1"/>
    <col min="9983" max="9983" width="13.625" style="204" customWidth="1"/>
    <col min="9984" max="9985" width="10" style="204" hidden="1" customWidth="1"/>
    <col min="9986" max="9986" width="37.25" style="204" customWidth="1"/>
    <col min="9987" max="9989" width="10" style="204" hidden="1" customWidth="1"/>
    <col min="9990" max="9990" width="8.625" style="204" customWidth="1"/>
    <col min="9991" max="9991" width="10" style="204"/>
    <col min="9992" max="9992" width="22.25" style="204" customWidth="1"/>
    <col min="9993" max="10228" width="10" style="204"/>
    <col min="10229" max="10229" width="12.375" style="204" customWidth="1"/>
    <col min="10230" max="10230" width="10" style="204" hidden="1" customWidth="1"/>
    <col min="10231" max="10231" width="23.75" style="204" customWidth="1"/>
    <col min="10232" max="10233" width="10" style="204" hidden="1" customWidth="1"/>
    <col min="10234" max="10234" width="16.375" style="204" customWidth="1"/>
    <col min="10235" max="10235" width="10.375" style="204" customWidth="1"/>
    <col min="10236" max="10236" width="12.875" style="204" customWidth="1"/>
    <col min="10237" max="10237" width="13.25" style="204" customWidth="1"/>
    <col min="10238" max="10238" width="14" style="204" customWidth="1"/>
    <col min="10239" max="10239" width="13.625" style="204" customWidth="1"/>
    <col min="10240" max="10241" width="10" style="204" hidden="1" customWidth="1"/>
    <col min="10242" max="10242" width="37.25" style="204" customWidth="1"/>
    <col min="10243" max="10245" width="10" style="204" hidden="1" customWidth="1"/>
    <col min="10246" max="10246" width="8.625" style="204" customWidth="1"/>
    <col min="10247" max="10247" width="10" style="204"/>
    <col min="10248" max="10248" width="22.25" style="204" customWidth="1"/>
    <col min="10249" max="10484" width="10" style="204"/>
    <col min="10485" max="10485" width="12.375" style="204" customWidth="1"/>
    <col min="10486" max="10486" width="10" style="204" hidden="1" customWidth="1"/>
    <col min="10487" max="10487" width="23.75" style="204" customWidth="1"/>
    <col min="10488" max="10489" width="10" style="204" hidden="1" customWidth="1"/>
    <col min="10490" max="10490" width="16.375" style="204" customWidth="1"/>
    <col min="10491" max="10491" width="10.375" style="204" customWidth="1"/>
    <col min="10492" max="10492" width="12.875" style="204" customWidth="1"/>
    <col min="10493" max="10493" width="13.25" style="204" customWidth="1"/>
    <col min="10494" max="10494" width="14" style="204" customWidth="1"/>
    <col min="10495" max="10495" width="13.625" style="204" customWidth="1"/>
    <col min="10496" max="10497" width="10" style="204" hidden="1" customWidth="1"/>
    <col min="10498" max="10498" width="37.25" style="204" customWidth="1"/>
    <col min="10499" max="10501" width="10" style="204" hidden="1" customWidth="1"/>
    <col min="10502" max="10502" width="8.625" style="204" customWidth="1"/>
    <col min="10503" max="10503" width="10" style="204"/>
    <col min="10504" max="10504" width="22.25" style="204" customWidth="1"/>
    <col min="10505" max="10740" width="10" style="204"/>
    <col min="10741" max="10741" width="12.375" style="204" customWidth="1"/>
    <col min="10742" max="10742" width="10" style="204" hidden="1" customWidth="1"/>
    <col min="10743" max="10743" width="23.75" style="204" customWidth="1"/>
    <col min="10744" max="10745" width="10" style="204" hidden="1" customWidth="1"/>
    <col min="10746" max="10746" width="16.375" style="204" customWidth="1"/>
    <col min="10747" max="10747" width="10.375" style="204" customWidth="1"/>
    <col min="10748" max="10748" width="12.875" style="204" customWidth="1"/>
    <col min="10749" max="10749" width="13.25" style="204" customWidth="1"/>
    <col min="10750" max="10750" width="14" style="204" customWidth="1"/>
    <col min="10751" max="10751" width="13.625" style="204" customWidth="1"/>
    <col min="10752" max="10753" width="10" style="204" hidden="1" customWidth="1"/>
    <col min="10754" max="10754" width="37.25" style="204" customWidth="1"/>
    <col min="10755" max="10757" width="10" style="204" hidden="1" customWidth="1"/>
    <col min="10758" max="10758" width="8.625" style="204" customWidth="1"/>
    <col min="10759" max="10759" width="10" style="204"/>
    <col min="10760" max="10760" width="22.25" style="204" customWidth="1"/>
    <col min="10761" max="10996" width="10" style="204"/>
    <col min="10997" max="10997" width="12.375" style="204" customWidth="1"/>
    <col min="10998" max="10998" width="10" style="204" hidden="1" customWidth="1"/>
    <col min="10999" max="10999" width="23.75" style="204" customWidth="1"/>
    <col min="11000" max="11001" width="10" style="204" hidden="1" customWidth="1"/>
    <col min="11002" max="11002" width="16.375" style="204" customWidth="1"/>
    <col min="11003" max="11003" width="10.375" style="204" customWidth="1"/>
    <col min="11004" max="11004" width="12.875" style="204" customWidth="1"/>
    <col min="11005" max="11005" width="13.25" style="204" customWidth="1"/>
    <col min="11006" max="11006" width="14" style="204" customWidth="1"/>
    <col min="11007" max="11007" width="13.625" style="204" customWidth="1"/>
    <col min="11008" max="11009" width="10" style="204" hidden="1" customWidth="1"/>
    <col min="11010" max="11010" width="37.25" style="204" customWidth="1"/>
    <col min="11011" max="11013" width="10" style="204" hidden="1" customWidth="1"/>
    <col min="11014" max="11014" width="8.625" style="204" customWidth="1"/>
    <col min="11015" max="11015" width="10" style="204"/>
    <col min="11016" max="11016" width="22.25" style="204" customWidth="1"/>
    <col min="11017" max="11252" width="10" style="204"/>
    <col min="11253" max="11253" width="12.375" style="204" customWidth="1"/>
    <col min="11254" max="11254" width="10" style="204" hidden="1" customWidth="1"/>
    <col min="11255" max="11255" width="23.75" style="204" customWidth="1"/>
    <col min="11256" max="11257" width="10" style="204" hidden="1" customWidth="1"/>
    <col min="11258" max="11258" width="16.375" style="204" customWidth="1"/>
    <col min="11259" max="11259" width="10.375" style="204" customWidth="1"/>
    <col min="11260" max="11260" width="12.875" style="204" customWidth="1"/>
    <col min="11261" max="11261" width="13.25" style="204" customWidth="1"/>
    <col min="11262" max="11262" width="14" style="204" customWidth="1"/>
    <col min="11263" max="11263" width="13.625" style="204" customWidth="1"/>
    <col min="11264" max="11265" width="10" style="204" hidden="1" customWidth="1"/>
    <col min="11266" max="11266" width="37.25" style="204" customWidth="1"/>
    <col min="11267" max="11269" width="10" style="204" hidden="1" customWidth="1"/>
    <col min="11270" max="11270" width="8.625" style="204" customWidth="1"/>
    <col min="11271" max="11271" width="10" style="204"/>
    <col min="11272" max="11272" width="22.25" style="204" customWidth="1"/>
    <col min="11273" max="11508" width="10" style="204"/>
    <col min="11509" max="11509" width="12.375" style="204" customWidth="1"/>
    <col min="11510" max="11510" width="10" style="204" hidden="1" customWidth="1"/>
    <col min="11511" max="11511" width="23.75" style="204" customWidth="1"/>
    <col min="11512" max="11513" width="10" style="204" hidden="1" customWidth="1"/>
    <col min="11514" max="11514" width="16.375" style="204" customWidth="1"/>
    <col min="11515" max="11515" width="10.375" style="204" customWidth="1"/>
    <col min="11516" max="11516" width="12.875" style="204" customWidth="1"/>
    <col min="11517" max="11517" width="13.25" style="204" customWidth="1"/>
    <col min="11518" max="11518" width="14" style="204" customWidth="1"/>
    <col min="11519" max="11519" width="13.625" style="204" customWidth="1"/>
    <col min="11520" max="11521" width="10" style="204" hidden="1" customWidth="1"/>
    <col min="11522" max="11522" width="37.25" style="204" customWidth="1"/>
    <col min="11523" max="11525" width="10" style="204" hidden="1" customWidth="1"/>
    <col min="11526" max="11526" width="8.625" style="204" customWidth="1"/>
    <col min="11527" max="11527" width="10" style="204"/>
    <col min="11528" max="11528" width="22.25" style="204" customWidth="1"/>
    <col min="11529" max="11764" width="10" style="204"/>
    <col min="11765" max="11765" width="12.375" style="204" customWidth="1"/>
    <col min="11766" max="11766" width="10" style="204" hidden="1" customWidth="1"/>
    <col min="11767" max="11767" width="23.75" style="204" customWidth="1"/>
    <col min="11768" max="11769" width="10" style="204" hidden="1" customWidth="1"/>
    <col min="11770" max="11770" width="16.375" style="204" customWidth="1"/>
    <col min="11771" max="11771" width="10.375" style="204" customWidth="1"/>
    <col min="11772" max="11772" width="12.875" style="204" customWidth="1"/>
    <col min="11773" max="11773" width="13.25" style="204" customWidth="1"/>
    <col min="11774" max="11774" width="14" style="204" customWidth="1"/>
    <col min="11775" max="11775" width="13.625" style="204" customWidth="1"/>
    <col min="11776" max="11777" width="10" style="204" hidden="1" customWidth="1"/>
    <col min="11778" max="11778" width="37.25" style="204" customWidth="1"/>
    <col min="11779" max="11781" width="10" style="204" hidden="1" customWidth="1"/>
    <col min="11782" max="11782" width="8.625" style="204" customWidth="1"/>
    <col min="11783" max="11783" width="10" style="204"/>
    <col min="11784" max="11784" width="22.25" style="204" customWidth="1"/>
    <col min="11785" max="12020" width="10" style="204"/>
    <col min="12021" max="12021" width="12.375" style="204" customWidth="1"/>
    <col min="12022" max="12022" width="10" style="204" hidden="1" customWidth="1"/>
    <col min="12023" max="12023" width="23.75" style="204" customWidth="1"/>
    <col min="12024" max="12025" width="10" style="204" hidden="1" customWidth="1"/>
    <col min="12026" max="12026" width="16.375" style="204" customWidth="1"/>
    <col min="12027" max="12027" width="10.375" style="204" customWidth="1"/>
    <col min="12028" max="12028" width="12.875" style="204" customWidth="1"/>
    <col min="12029" max="12029" width="13.25" style="204" customWidth="1"/>
    <col min="12030" max="12030" width="14" style="204" customWidth="1"/>
    <col min="12031" max="12031" width="13.625" style="204" customWidth="1"/>
    <col min="12032" max="12033" width="10" style="204" hidden="1" customWidth="1"/>
    <col min="12034" max="12034" width="37.25" style="204" customWidth="1"/>
    <col min="12035" max="12037" width="10" style="204" hidden="1" customWidth="1"/>
    <col min="12038" max="12038" width="8.625" style="204" customWidth="1"/>
    <col min="12039" max="12039" width="10" style="204"/>
    <col min="12040" max="12040" width="22.25" style="204" customWidth="1"/>
    <col min="12041" max="12276" width="10" style="204"/>
    <col min="12277" max="12277" width="12.375" style="204" customWidth="1"/>
    <col min="12278" max="12278" width="10" style="204" hidden="1" customWidth="1"/>
    <col min="12279" max="12279" width="23.75" style="204" customWidth="1"/>
    <col min="12280" max="12281" width="10" style="204" hidden="1" customWidth="1"/>
    <col min="12282" max="12282" width="16.375" style="204" customWidth="1"/>
    <col min="12283" max="12283" width="10.375" style="204" customWidth="1"/>
    <col min="12284" max="12284" width="12.875" style="204" customWidth="1"/>
    <col min="12285" max="12285" width="13.25" style="204" customWidth="1"/>
    <col min="12286" max="12286" width="14" style="204" customWidth="1"/>
    <col min="12287" max="12287" width="13.625" style="204" customWidth="1"/>
    <col min="12288" max="12289" width="10" style="204" hidden="1" customWidth="1"/>
    <col min="12290" max="12290" width="37.25" style="204" customWidth="1"/>
    <col min="12291" max="12293" width="10" style="204" hidden="1" customWidth="1"/>
    <col min="12294" max="12294" width="8.625" style="204" customWidth="1"/>
    <col min="12295" max="12295" width="10" style="204"/>
    <col min="12296" max="12296" width="22.25" style="204" customWidth="1"/>
    <col min="12297" max="12532" width="10" style="204"/>
    <col min="12533" max="12533" width="12.375" style="204" customWidth="1"/>
    <col min="12534" max="12534" width="10" style="204" hidden="1" customWidth="1"/>
    <col min="12535" max="12535" width="23.75" style="204" customWidth="1"/>
    <col min="12536" max="12537" width="10" style="204" hidden="1" customWidth="1"/>
    <col min="12538" max="12538" width="16.375" style="204" customWidth="1"/>
    <col min="12539" max="12539" width="10.375" style="204" customWidth="1"/>
    <col min="12540" max="12540" width="12.875" style="204" customWidth="1"/>
    <col min="12541" max="12541" width="13.25" style="204" customWidth="1"/>
    <col min="12542" max="12542" width="14" style="204" customWidth="1"/>
    <col min="12543" max="12543" width="13.625" style="204" customWidth="1"/>
    <col min="12544" max="12545" width="10" style="204" hidden="1" customWidth="1"/>
    <col min="12546" max="12546" width="37.25" style="204" customWidth="1"/>
    <col min="12547" max="12549" width="10" style="204" hidden="1" customWidth="1"/>
    <col min="12550" max="12550" width="8.625" style="204" customWidth="1"/>
    <col min="12551" max="12551" width="10" style="204"/>
    <col min="12552" max="12552" width="22.25" style="204" customWidth="1"/>
    <col min="12553" max="12788" width="10" style="204"/>
    <col min="12789" max="12789" width="12.375" style="204" customWidth="1"/>
    <col min="12790" max="12790" width="10" style="204" hidden="1" customWidth="1"/>
    <col min="12791" max="12791" width="23.75" style="204" customWidth="1"/>
    <col min="12792" max="12793" width="10" style="204" hidden="1" customWidth="1"/>
    <col min="12794" max="12794" width="16.375" style="204" customWidth="1"/>
    <col min="12795" max="12795" width="10.375" style="204" customWidth="1"/>
    <col min="12796" max="12796" width="12.875" style="204" customWidth="1"/>
    <col min="12797" max="12797" width="13.25" style="204" customWidth="1"/>
    <col min="12798" max="12798" width="14" style="204" customWidth="1"/>
    <col min="12799" max="12799" width="13.625" style="204" customWidth="1"/>
    <col min="12800" max="12801" width="10" style="204" hidden="1" customWidth="1"/>
    <col min="12802" max="12802" width="37.25" style="204" customWidth="1"/>
    <col min="12803" max="12805" width="10" style="204" hidden="1" customWidth="1"/>
    <col min="12806" max="12806" width="8.625" style="204" customWidth="1"/>
    <col min="12807" max="12807" width="10" style="204"/>
    <col min="12808" max="12808" width="22.25" style="204" customWidth="1"/>
    <col min="12809" max="13044" width="10" style="204"/>
    <col min="13045" max="13045" width="12.375" style="204" customWidth="1"/>
    <col min="13046" max="13046" width="10" style="204" hidden="1" customWidth="1"/>
    <col min="13047" max="13047" width="23.75" style="204" customWidth="1"/>
    <col min="13048" max="13049" width="10" style="204" hidden="1" customWidth="1"/>
    <col min="13050" max="13050" width="16.375" style="204" customWidth="1"/>
    <col min="13051" max="13051" width="10.375" style="204" customWidth="1"/>
    <col min="13052" max="13052" width="12.875" style="204" customWidth="1"/>
    <col min="13053" max="13053" width="13.25" style="204" customWidth="1"/>
    <col min="13054" max="13054" width="14" style="204" customWidth="1"/>
    <col min="13055" max="13055" width="13.625" style="204" customWidth="1"/>
    <col min="13056" max="13057" width="10" style="204" hidden="1" customWidth="1"/>
    <col min="13058" max="13058" width="37.25" style="204" customWidth="1"/>
    <col min="13059" max="13061" width="10" style="204" hidden="1" customWidth="1"/>
    <col min="13062" max="13062" width="8.625" style="204" customWidth="1"/>
    <col min="13063" max="13063" width="10" style="204"/>
    <col min="13064" max="13064" width="22.25" style="204" customWidth="1"/>
    <col min="13065" max="13300" width="10" style="204"/>
    <col min="13301" max="13301" width="12.375" style="204" customWidth="1"/>
    <col min="13302" max="13302" width="10" style="204" hidden="1" customWidth="1"/>
    <col min="13303" max="13303" width="23.75" style="204" customWidth="1"/>
    <col min="13304" max="13305" width="10" style="204" hidden="1" customWidth="1"/>
    <col min="13306" max="13306" width="16.375" style="204" customWidth="1"/>
    <col min="13307" max="13307" width="10.375" style="204" customWidth="1"/>
    <col min="13308" max="13308" width="12.875" style="204" customWidth="1"/>
    <col min="13309" max="13309" width="13.25" style="204" customWidth="1"/>
    <col min="13310" max="13310" width="14" style="204" customWidth="1"/>
    <col min="13311" max="13311" width="13.625" style="204" customWidth="1"/>
    <col min="13312" max="13313" width="10" style="204" hidden="1" customWidth="1"/>
    <col min="13314" max="13314" width="37.25" style="204" customWidth="1"/>
    <col min="13315" max="13317" width="10" style="204" hidden="1" customWidth="1"/>
    <col min="13318" max="13318" width="8.625" style="204" customWidth="1"/>
    <col min="13319" max="13319" width="10" style="204"/>
    <col min="13320" max="13320" width="22.25" style="204" customWidth="1"/>
    <col min="13321" max="13556" width="10" style="204"/>
    <col min="13557" max="13557" width="12.375" style="204" customWidth="1"/>
    <col min="13558" max="13558" width="10" style="204" hidden="1" customWidth="1"/>
    <col min="13559" max="13559" width="23.75" style="204" customWidth="1"/>
    <col min="13560" max="13561" width="10" style="204" hidden="1" customWidth="1"/>
    <col min="13562" max="13562" width="16.375" style="204" customWidth="1"/>
    <col min="13563" max="13563" width="10.375" style="204" customWidth="1"/>
    <col min="13564" max="13564" width="12.875" style="204" customWidth="1"/>
    <col min="13565" max="13565" width="13.25" style="204" customWidth="1"/>
    <col min="13566" max="13566" width="14" style="204" customWidth="1"/>
    <col min="13567" max="13567" width="13.625" style="204" customWidth="1"/>
    <col min="13568" max="13569" width="10" style="204" hidden="1" customWidth="1"/>
    <col min="13570" max="13570" width="37.25" style="204" customWidth="1"/>
    <col min="13571" max="13573" width="10" style="204" hidden="1" customWidth="1"/>
    <col min="13574" max="13574" width="8.625" style="204" customWidth="1"/>
    <col min="13575" max="13575" width="10" style="204"/>
    <col min="13576" max="13576" width="22.25" style="204" customWidth="1"/>
    <col min="13577" max="13812" width="10" style="204"/>
    <col min="13813" max="13813" width="12.375" style="204" customWidth="1"/>
    <col min="13814" max="13814" width="10" style="204" hidden="1" customWidth="1"/>
    <col min="13815" max="13815" width="23.75" style="204" customWidth="1"/>
    <col min="13816" max="13817" width="10" style="204" hidden="1" customWidth="1"/>
    <col min="13818" max="13818" width="16.375" style="204" customWidth="1"/>
    <col min="13819" max="13819" width="10.375" style="204" customWidth="1"/>
    <col min="13820" max="13820" width="12.875" style="204" customWidth="1"/>
    <col min="13821" max="13821" width="13.25" style="204" customWidth="1"/>
    <col min="13822" max="13822" width="14" style="204" customWidth="1"/>
    <col min="13823" max="13823" width="13.625" style="204" customWidth="1"/>
    <col min="13824" max="13825" width="10" style="204" hidden="1" customWidth="1"/>
    <col min="13826" max="13826" width="37.25" style="204" customWidth="1"/>
    <col min="13827" max="13829" width="10" style="204" hidden="1" customWidth="1"/>
    <col min="13830" max="13830" width="8.625" style="204" customWidth="1"/>
    <col min="13831" max="13831" width="10" style="204"/>
    <col min="13832" max="13832" width="22.25" style="204" customWidth="1"/>
    <col min="13833" max="14068" width="10" style="204"/>
    <col min="14069" max="14069" width="12.375" style="204" customWidth="1"/>
    <col min="14070" max="14070" width="10" style="204" hidden="1" customWidth="1"/>
    <col min="14071" max="14071" width="23.75" style="204" customWidth="1"/>
    <col min="14072" max="14073" width="10" style="204" hidden="1" customWidth="1"/>
    <col min="14074" max="14074" width="16.375" style="204" customWidth="1"/>
    <col min="14075" max="14075" width="10.375" style="204" customWidth="1"/>
    <col min="14076" max="14076" width="12.875" style="204" customWidth="1"/>
    <col min="14077" max="14077" width="13.25" style="204" customWidth="1"/>
    <col min="14078" max="14078" width="14" style="204" customWidth="1"/>
    <col min="14079" max="14079" width="13.625" style="204" customWidth="1"/>
    <col min="14080" max="14081" width="10" style="204" hidden="1" customWidth="1"/>
    <col min="14082" max="14082" width="37.25" style="204" customWidth="1"/>
    <col min="14083" max="14085" width="10" style="204" hidden="1" customWidth="1"/>
    <col min="14086" max="14086" width="8.625" style="204" customWidth="1"/>
    <col min="14087" max="14087" width="10" style="204"/>
    <col min="14088" max="14088" width="22.25" style="204" customWidth="1"/>
    <col min="14089" max="14324" width="10" style="204"/>
    <col min="14325" max="14325" width="12.375" style="204" customWidth="1"/>
    <col min="14326" max="14326" width="10" style="204" hidden="1" customWidth="1"/>
    <col min="14327" max="14327" width="23.75" style="204" customWidth="1"/>
    <col min="14328" max="14329" width="10" style="204" hidden="1" customWidth="1"/>
    <col min="14330" max="14330" width="16.375" style="204" customWidth="1"/>
    <col min="14331" max="14331" width="10.375" style="204" customWidth="1"/>
    <col min="14332" max="14332" width="12.875" style="204" customWidth="1"/>
    <col min="14333" max="14333" width="13.25" style="204" customWidth="1"/>
    <col min="14334" max="14334" width="14" style="204" customWidth="1"/>
    <col min="14335" max="14335" width="13.625" style="204" customWidth="1"/>
    <col min="14336" max="14337" width="10" style="204" hidden="1" customWidth="1"/>
    <col min="14338" max="14338" width="37.25" style="204" customWidth="1"/>
    <col min="14339" max="14341" width="10" style="204" hidden="1" customWidth="1"/>
    <col min="14342" max="14342" width="8.625" style="204" customWidth="1"/>
    <col min="14343" max="14343" width="10" style="204"/>
    <col min="14344" max="14344" width="22.25" style="204" customWidth="1"/>
    <col min="14345" max="14580" width="10" style="204"/>
    <col min="14581" max="14581" width="12.375" style="204" customWidth="1"/>
    <col min="14582" max="14582" width="10" style="204" hidden="1" customWidth="1"/>
    <col min="14583" max="14583" width="23.75" style="204" customWidth="1"/>
    <col min="14584" max="14585" width="10" style="204" hidden="1" customWidth="1"/>
    <col min="14586" max="14586" width="16.375" style="204" customWidth="1"/>
    <col min="14587" max="14587" width="10.375" style="204" customWidth="1"/>
    <col min="14588" max="14588" width="12.875" style="204" customWidth="1"/>
    <col min="14589" max="14589" width="13.25" style="204" customWidth="1"/>
    <col min="14590" max="14590" width="14" style="204" customWidth="1"/>
    <col min="14591" max="14591" width="13.625" style="204" customWidth="1"/>
    <col min="14592" max="14593" width="10" style="204" hidden="1" customWidth="1"/>
    <col min="14594" max="14594" width="37.25" style="204" customWidth="1"/>
    <col min="14595" max="14597" width="10" style="204" hidden="1" customWidth="1"/>
    <col min="14598" max="14598" width="8.625" style="204" customWidth="1"/>
    <col min="14599" max="14599" width="10" style="204"/>
    <col min="14600" max="14600" width="22.25" style="204" customWidth="1"/>
    <col min="14601" max="14836" width="10" style="204"/>
    <col min="14837" max="14837" width="12.375" style="204" customWidth="1"/>
    <col min="14838" max="14838" width="10" style="204" hidden="1" customWidth="1"/>
    <col min="14839" max="14839" width="23.75" style="204" customWidth="1"/>
    <col min="14840" max="14841" width="10" style="204" hidden="1" customWidth="1"/>
    <col min="14842" max="14842" width="16.375" style="204" customWidth="1"/>
    <col min="14843" max="14843" width="10.375" style="204" customWidth="1"/>
    <col min="14844" max="14844" width="12.875" style="204" customWidth="1"/>
    <col min="14845" max="14845" width="13.25" style="204" customWidth="1"/>
    <col min="14846" max="14846" width="14" style="204" customWidth="1"/>
    <col min="14847" max="14847" width="13.625" style="204" customWidth="1"/>
    <col min="14848" max="14849" width="10" style="204" hidden="1" customWidth="1"/>
    <col min="14850" max="14850" width="37.25" style="204" customWidth="1"/>
    <col min="14851" max="14853" width="10" style="204" hidden="1" customWidth="1"/>
    <col min="14854" max="14854" width="8.625" style="204" customWidth="1"/>
    <col min="14855" max="14855" width="10" style="204"/>
    <col min="14856" max="14856" width="22.25" style="204" customWidth="1"/>
    <col min="14857" max="15092" width="10" style="204"/>
    <col min="15093" max="15093" width="12.375" style="204" customWidth="1"/>
    <col min="15094" max="15094" width="10" style="204" hidden="1" customWidth="1"/>
    <col min="15095" max="15095" width="23.75" style="204" customWidth="1"/>
    <col min="15096" max="15097" width="10" style="204" hidden="1" customWidth="1"/>
    <col min="15098" max="15098" width="16.375" style="204" customWidth="1"/>
    <col min="15099" max="15099" width="10.375" style="204" customWidth="1"/>
    <col min="15100" max="15100" width="12.875" style="204" customWidth="1"/>
    <col min="15101" max="15101" width="13.25" style="204" customWidth="1"/>
    <col min="15102" max="15102" width="14" style="204" customWidth="1"/>
    <col min="15103" max="15103" width="13.625" style="204" customWidth="1"/>
    <col min="15104" max="15105" width="10" style="204" hidden="1" customWidth="1"/>
    <col min="15106" max="15106" width="37.25" style="204" customWidth="1"/>
    <col min="15107" max="15109" width="10" style="204" hidden="1" customWidth="1"/>
    <col min="15110" max="15110" width="8.625" style="204" customWidth="1"/>
    <col min="15111" max="15111" width="10" style="204"/>
    <col min="15112" max="15112" width="22.25" style="204" customWidth="1"/>
    <col min="15113" max="15348" width="10" style="204"/>
    <col min="15349" max="15349" width="12.375" style="204" customWidth="1"/>
    <col min="15350" max="15350" width="10" style="204" hidden="1" customWidth="1"/>
    <col min="15351" max="15351" width="23.75" style="204" customWidth="1"/>
    <col min="15352" max="15353" width="10" style="204" hidden="1" customWidth="1"/>
    <col min="15354" max="15354" width="16.375" style="204" customWidth="1"/>
    <col min="15355" max="15355" width="10.375" style="204" customWidth="1"/>
    <col min="15356" max="15356" width="12.875" style="204" customWidth="1"/>
    <col min="15357" max="15357" width="13.25" style="204" customWidth="1"/>
    <col min="15358" max="15358" width="14" style="204" customWidth="1"/>
    <col min="15359" max="15359" width="13.625" style="204" customWidth="1"/>
    <col min="15360" max="15361" width="10" style="204" hidden="1" customWidth="1"/>
    <col min="15362" max="15362" width="37.25" style="204" customWidth="1"/>
    <col min="15363" max="15365" width="10" style="204" hidden="1" customWidth="1"/>
    <col min="15366" max="15366" width="8.625" style="204" customWidth="1"/>
    <col min="15367" max="15367" width="10" style="204"/>
    <col min="15368" max="15368" width="22.25" style="204" customWidth="1"/>
    <col min="15369" max="15604" width="10" style="204"/>
    <col min="15605" max="15605" width="12.375" style="204" customWidth="1"/>
    <col min="15606" max="15606" width="10" style="204" hidden="1" customWidth="1"/>
    <col min="15607" max="15607" width="23.75" style="204" customWidth="1"/>
    <col min="15608" max="15609" width="10" style="204" hidden="1" customWidth="1"/>
    <col min="15610" max="15610" width="16.375" style="204" customWidth="1"/>
    <col min="15611" max="15611" width="10.375" style="204" customWidth="1"/>
    <col min="15612" max="15612" width="12.875" style="204" customWidth="1"/>
    <col min="15613" max="15613" width="13.25" style="204" customWidth="1"/>
    <col min="15614" max="15614" width="14" style="204" customWidth="1"/>
    <col min="15615" max="15615" width="13.625" style="204" customWidth="1"/>
    <col min="15616" max="15617" width="10" style="204" hidden="1" customWidth="1"/>
    <col min="15618" max="15618" width="37.25" style="204" customWidth="1"/>
    <col min="15619" max="15621" width="10" style="204" hidden="1" customWidth="1"/>
    <col min="15622" max="15622" width="8.625" style="204" customWidth="1"/>
    <col min="15623" max="15623" width="10" style="204"/>
    <col min="15624" max="15624" width="22.25" style="204" customWidth="1"/>
    <col min="15625" max="15860" width="10" style="204"/>
    <col min="15861" max="15861" width="12.375" style="204" customWidth="1"/>
    <col min="15862" max="15862" width="10" style="204" hidden="1" customWidth="1"/>
    <col min="15863" max="15863" width="23.75" style="204" customWidth="1"/>
    <col min="15864" max="15865" width="10" style="204" hidden="1" customWidth="1"/>
    <col min="15866" max="15866" width="16.375" style="204" customWidth="1"/>
    <col min="15867" max="15867" width="10.375" style="204" customWidth="1"/>
    <col min="15868" max="15868" width="12.875" style="204" customWidth="1"/>
    <col min="15869" max="15869" width="13.25" style="204" customWidth="1"/>
    <col min="15870" max="15870" width="14" style="204" customWidth="1"/>
    <col min="15871" max="15871" width="13.625" style="204" customWidth="1"/>
    <col min="15872" max="15873" width="10" style="204" hidden="1" customWidth="1"/>
    <col min="15874" max="15874" width="37.25" style="204" customWidth="1"/>
    <col min="15875" max="15877" width="10" style="204" hidden="1" customWidth="1"/>
    <col min="15878" max="15878" width="8.625" style="204" customWidth="1"/>
    <col min="15879" max="15879" width="10" style="204"/>
    <col min="15880" max="15880" width="22.25" style="204" customWidth="1"/>
    <col min="15881" max="16116" width="10" style="204"/>
    <col min="16117" max="16117" width="12.375" style="204" customWidth="1"/>
    <col min="16118" max="16118" width="10" style="204" hidden="1" customWidth="1"/>
    <col min="16119" max="16119" width="23.75" style="204" customWidth="1"/>
    <col min="16120" max="16121" width="10" style="204" hidden="1" customWidth="1"/>
    <col min="16122" max="16122" width="16.375" style="204" customWidth="1"/>
    <col min="16123" max="16123" width="10.375" style="204" customWidth="1"/>
    <col min="16124" max="16124" width="12.875" style="204" customWidth="1"/>
    <col min="16125" max="16125" width="13.25" style="204" customWidth="1"/>
    <col min="16126" max="16126" width="14" style="204" customWidth="1"/>
    <col min="16127" max="16127" width="13.625" style="204" customWidth="1"/>
    <col min="16128" max="16129" width="10" style="204" hidden="1" customWidth="1"/>
    <col min="16130" max="16130" width="37.25" style="204" customWidth="1"/>
    <col min="16131" max="16133" width="10" style="204" hidden="1" customWidth="1"/>
    <col min="16134" max="16134" width="8.625" style="204" customWidth="1"/>
    <col min="16135" max="16135" width="10" style="204"/>
    <col min="16136" max="16136" width="22.25" style="204" customWidth="1"/>
    <col min="16137" max="16384" width="10" style="204"/>
  </cols>
  <sheetData>
    <row r="1" spans="1:9" ht="15.75">
      <c r="A1" s="205"/>
      <c r="C1" s="341"/>
      <c r="D1" s="205"/>
      <c r="E1" s="346"/>
    </row>
    <row r="2" spans="1:9" ht="27" customHeight="1">
      <c r="A2" s="207" t="s">
        <v>508</v>
      </c>
      <c r="C2" s="341"/>
      <c r="D2" s="205"/>
      <c r="E2" s="346"/>
      <c r="H2" s="208"/>
    </row>
    <row r="3" spans="1:9" ht="9" customHeight="1">
      <c r="A3" s="205"/>
      <c r="C3" s="341"/>
      <c r="D3" s="205"/>
      <c r="H3" s="208"/>
    </row>
    <row r="4" spans="1:9" ht="21.75" customHeight="1">
      <c r="A4" s="396" t="s">
        <v>509</v>
      </c>
      <c r="B4" s="397" t="s">
        <v>510</v>
      </c>
      <c r="C4" s="398" t="s">
        <v>511</v>
      </c>
      <c r="D4" s="399" t="s">
        <v>512</v>
      </c>
      <c r="E4" s="348" t="s">
        <v>513</v>
      </c>
      <c r="F4" s="400" t="s">
        <v>514</v>
      </c>
      <c r="H4" s="208"/>
    </row>
    <row r="5" spans="1:9" ht="21.75" customHeight="1">
      <c r="A5" s="396"/>
      <c r="B5" s="397"/>
      <c r="C5" s="398"/>
      <c r="D5" s="399"/>
      <c r="E5" s="349">
        <f>+SUBTOTAL(9,E6:E911)</f>
        <v>614022</v>
      </c>
      <c r="F5" s="400"/>
      <c r="H5" s="208"/>
    </row>
    <row r="6" spans="1:9" ht="21.75" customHeight="1">
      <c r="A6" s="211" t="s">
        <v>1025</v>
      </c>
      <c r="B6" s="212" t="str">
        <f>IFERROR(VLOOKUP(A6,'Tổng,SUMMARY'!C:D,2,0),)</f>
        <v>KS-880104</v>
      </c>
      <c r="C6" s="342">
        <v>46296</v>
      </c>
      <c r="D6" s="213"/>
      <c r="E6" s="350">
        <v>1200</v>
      </c>
      <c r="F6" s="215"/>
      <c r="G6" s="216"/>
      <c r="H6" s="208"/>
      <c r="I6" s="216"/>
    </row>
    <row r="7" spans="1:9" ht="21.75" customHeight="1">
      <c r="A7" s="217" t="s">
        <v>1026</v>
      </c>
      <c r="B7" s="212" t="str">
        <f>IFERROR(VLOOKUP(A7,'Tổng,SUMMARY'!C:D,2,0),)</f>
        <v>KS-881047</v>
      </c>
      <c r="C7" s="342">
        <v>46296</v>
      </c>
      <c r="D7" s="213"/>
      <c r="E7" s="350">
        <v>1200</v>
      </c>
      <c r="F7" s="218"/>
      <c r="H7" s="208"/>
      <c r="I7" s="208"/>
    </row>
    <row r="8" spans="1:9" ht="21.75" customHeight="1">
      <c r="A8" s="217" t="s">
        <v>1027</v>
      </c>
      <c r="B8" s="212" t="str">
        <f>IFERROR(VLOOKUP(A8,'Tổng,SUMMARY'!C:D,2,0),)</f>
        <v>KS-880975</v>
      </c>
      <c r="C8" s="342">
        <v>46296</v>
      </c>
      <c r="D8" s="213"/>
      <c r="E8" s="350">
        <f>400+1000</f>
        <v>1400</v>
      </c>
      <c r="F8" s="218"/>
      <c r="H8" s="208"/>
      <c r="I8" s="208"/>
    </row>
    <row r="9" spans="1:9" ht="21.75" customHeight="1">
      <c r="A9" s="211" t="s">
        <v>324</v>
      </c>
      <c r="B9" s="212" t="str">
        <f>IFERROR(VLOOKUP(A9,'Tổng,SUMMARY'!C:D,2,0),)</f>
        <v>KS-880748</v>
      </c>
      <c r="C9" s="342">
        <v>46296</v>
      </c>
      <c r="D9" s="213"/>
      <c r="E9" s="350">
        <f>1200+1200+900</f>
        <v>3300</v>
      </c>
      <c r="F9" s="218"/>
      <c r="H9" s="208"/>
      <c r="I9" s="208"/>
    </row>
    <row r="10" spans="1:9" ht="21.75" customHeight="1">
      <c r="A10" s="211" t="s">
        <v>1031</v>
      </c>
      <c r="B10" s="212" t="str">
        <f>IFERROR(VLOOKUP(A10,'Tổng,SUMMARY'!C:D,2,0),)</f>
        <v>KS-881300</v>
      </c>
      <c r="C10" s="342">
        <v>46296</v>
      </c>
      <c r="D10" s="213"/>
      <c r="E10" s="350">
        <v>3600</v>
      </c>
      <c r="F10" s="218"/>
      <c r="H10" s="208"/>
      <c r="I10" s="208"/>
    </row>
    <row r="11" spans="1:9" ht="21.75" customHeight="1">
      <c r="A11" s="217" t="s">
        <v>1032</v>
      </c>
      <c r="B11" s="212" t="str">
        <f>IFERROR(VLOOKUP(A11,'Tổng,SUMMARY'!C:D,2,0),)</f>
        <v>KS-881462</v>
      </c>
      <c r="C11" s="342">
        <v>46296</v>
      </c>
      <c r="D11" s="213"/>
      <c r="E11" s="350">
        <v>2300</v>
      </c>
      <c r="F11" s="218"/>
      <c r="H11" s="208"/>
      <c r="I11" s="208"/>
    </row>
    <row r="12" spans="1:9" ht="21.75" customHeight="1">
      <c r="A12" s="217" t="s">
        <v>1034</v>
      </c>
      <c r="B12" s="212" t="str">
        <f>IFERROR(VLOOKUP(A12,'Tổng,SUMMARY'!C:D,2,0),)</f>
        <v>KS-881362</v>
      </c>
      <c r="C12" s="342">
        <v>46296</v>
      </c>
      <c r="D12" s="213"/>
      <c r="E12" s="350">
        <v>2400</v>
      </c>
      <c r="F12" s="218"/>
      <c r="H12" s="208"/>
    </row>
    <row r="13" spans="1:9" ht="21.75" customHeight="1">
      <c r="A13" s="217" t="s">
        <v>1036</v>
      </c>
      <c r="B13" s="212" t="str">
        <f>IFERROR(VLOOKUP(A13,'Tổng,SUMMARY'!C:D,2,0),)</f>
        <v>KS-880374</v>
      </c>
      <c r="C13" s="342">
        <v>46296</v>
      </c>
      <c r="D13" s="213"/>
      <c r="E13" s="350">
        <v>2400</v>
      </c>
      <c r="F13" s="218"/>
      <c r="H13" s="208"/>
    </row>
    <row r="14" spans="1:9" ht="21.75" customHeight="1">
      <c r="A14" s="211" t="s">
        <v>1037</v>
      </c>
      <c r="B14" s="212" t="str">
        <f>IFERROR(VLOOKUP(A14,'Tổng,SUMMARY'!C:D,2,0),)</f>
        <v>KS-89046</v>
      </c>
      <c r="C14" s="342">
        <v>46296</v>
      </c>
      <c r="D14" s="213"/>
      <c r="E14" s="350">
        <f>750+780+780+780+300</f>
        <v>3390</v>
      </c>
      <c r="F14" s="218"/>
      <c r="H14" s="208"/>
    </row>
    <row r="15" spans="1:9" ht="21.75" customHeight="1">
      <c r="A15" s="211" t="s">
        <v>1043</v>
      </c>
      <c r="B15" s="212" t="str">
        <f>IFERROR(VLOOKUP(A15,'Tổng,SUMMARY'!C:D,2,0),)</f>
        <v>KS-88188</v>
      </c>
      <c r="C15" s="342">
        <v>46296</v>
      </c>
      <c r="D15" s="213"/>
      <c r="E15" s="350">
        <f>500+1200+1200+1200+1000</f>
        <v>5100</v>
      </c>
      <c r="F15" s="218"/>
      <c r="H15" s="208"/>
    </row>
    <row r="16" spans="1:9" ht="21.75" customHeight="1">
      <c r="A16" s="211" t="s">
        <v>1047</v>
      </c>
      <c r="B16" s="212" t="str">
        <f>IFERROR(VLOOKUP(A16,'Tổng,SUMMARY'!C:D,2,0),)</f>
        <v>KS-880959</v>
      </c>
      <c r="C16" s="342">
        <v>46296</v>
      </c>
      <c r="D16" s="213"/>
      <c r="E16" s="350">
        <f>2400+2400</f>
        <v>4800</v>
      </c>
      <c r="F16" s="218" t="s">
        <v>1045</v>
      </c>
      <c r="H16" s="208"/>
    </row>
    <row r="17" spans="1:8" ht="21.75" customHeight="1">
      <c r="A17" s="211" t="s">
        <v>1049</v>
      </c>
      <c r="B17" s="212" t="str">
        <f>IFERROR(VLOOKUP(A17,'Tổng,SUMMARY'!C:D,2,0),)</f>
        <v>KS-880753</v>
      </c>
      <c r="C17" s="342">
        <v>46296</v>
      </c>
      <c r="D17" s="213"/>
      <c r="E17" s="350">
        <v>3600</v>
      </c>
      <c r="F17" s="218" t="s">
        <v>1045</v>
      </c>
      <c r="H17" s="208"/>
    </row>
    <row r="18" spans="1:8" ht="21.75" customHeight="1">
      <c r="A18" s="211" t="s">
        <v>1050</v>
      </c>
      <c r="B18" s="212" t="str">
        <f>IFERROR(VLOOKUP(A18,'Tổng,SUMMARY'!C:D,2,0),)</f>
        <v>KS-8605</v>
      </c>
      <c r="C18" s="342">
        <v>46296</v>
      </c>
      <c r="D18" s="213"/>
      <c r="E18" s="350">
        <v>3600</v>
      </c>
      <c r="F18" s="218" t="s">
        <v>1045</v>
      </c>
    </row>
    <row r="19" spans="1:8" ht="21.75" customHeight="1">
      <c r="A19" s="217" t="s">
        <v>1055</v>
      </c>
      <c r="B19" s="212" t="str">
        <f>IFERROR(VLOOKUP(A19,'Tổng,SUMMARY'!C:D,2,0),)</f>
        <v>KS-880944</v>
      </c>
      <c r="C19" s="342">
        <v>46296</v>
      </c>
      <c r="D19" s="213"/>
      <c r="E19" s="350">
        <v>3600</v>
      </c>
      <c r="F19" s="218" t="s">
        <v>1045</v>
      </c>
    </row>
    <row r="20" spans="1:8" ht="21.75" customHeight="1">
      <c r="A20" s="217" t="s">
        <v>1056</v>
      </c>
      <c r="B20" s="212" t="str">
        <f>IFERROR(VLOOKUP(A20,'Tổng,SUMMARY'!C:D,2,0),)</f>
        <v>KS-881512</v>
      </c>
      <c r="C20" s="342">
        <v>46296</v>
      </c>
      <c r="D20" s="213"/>
      <c r="E20" s="350">
        <v>3600</v>
      </c>
      <c r="F20" s="218" t="s">
        <v>1045</v>
      </c>
    </row>
    <row r="21" spans="1:8" ht="21.75" customHeight="1">
      <c r="A21" s="217" t="s">
        <v>1036</v>
      </c>
      <c r="B21" s="212" t="str">
        <f>IFERROR(VLOOKUP(A21,'Tổng,SUMMARY'!C:D,2,0),)</f>
        <v>KS-880374</v>
      </c>
      <c r="C21" s="342">
        <v>46297</v>
      </c>
      <c r="D21" s="213"/>
      <c r="E21" s="350">
        <v>1200</v>
      </c>
      <c r="F21" s="218"/>
    </row>
    <row r="22" spans="1:8" ht="21.75" customHeight="1">
      <c r="A22" s="217" t="s">
        <v>1034</v>
      </c>
      <c r="B22" s="212" t="str">
        <f>IFERROR(VLOOKUP(A22,'Tổng,SUMMARY'!C:D,2,0),)</f>
        <v>KS-881362</v>
      </c>
      <c r="C22" s="342">
        <v>46297</v>
      </c>
      <c r="D22" s="213"/>
      <c r="E22" s="350">
        <v>1150</v>
      </c>
      <c r="F22" s="218"/>
    </row>
    <row r="23" spans="1:8" ht="21.75" customHeight="1">
      <c r="A23" s="217" t="s">
        <v>1057</v>
      </c>
      <c r="B23" s="212" t="str">
        <f>IFERROR(VLOOKUP(A23,'Tổng,SUMMARY'!C:D,2,0),)</f>
        <v>KS-8809</v>
      </c>
      <c r="C23" s="342">
        <v>46297</v>
      </c>
      <c r="D23" s="213"/>
      <c r="E23" s="350">
        <v>3600</v>
      </c>
      <c r="F23" s="218"/>
    </row>
    <row r="24" spans="1:8" ht="21.75" customHeight="1">
      <c r="A24" s="211" t="s">
        <v>1025</v>
      </c>
      <c r="B24" s="212" t="str">
        <f>IFERROR(VLOOKUP(A24,'Tổng,SUMMARY'!C:D,2,0),)</f>
        <v>KS-880104</v>
      </c>
      <c r="C24" s="342">
        <v>46297</v>
      </c>
      <c r="D24" s="213"/>
      <c r="E24" s="350">
        <f>1200+200+1150</f>
        <v>2550</v>
      </c>
      <c r="F24" s="218"/>
    </row>
    <row r="25" spans="1:8" ht="21.75" customHeight="1">
      <c r="A25" s="211" t="s">
        <v>1031</v>
      </c>
      <c r="B25" s="212" t="str">
        <f>IFERROR(VLOOKUP(A25,'Tổng,SUMMARY'!C:D,2,0),)</f>
        <v>KS-881300</v>
      </c>
      <c r="C25" s="342">
        <v>46297</v>
      </c>
      <c r="D25" s="213"/>
      <c r="E25" s="350">
        <f>1100+1200+1100+1200</f>
        <v>4600</v>
      </c>
      <c r="F25" s="218"/>
    </row>
    <row r="26" spans="1:8" ht="21.75" customHeight="1">
      <c r="A26" s="211" t="s">
        <v>1061</v>
      </c>
      <c r="B26" s="212" t="str">
        <f>IFERROR(VLOOKUP(A26,'Tổng,SUMMARY'!C:D,2,0),)</f>
        <v>KS-881527</v>
      </c>
      <c r="C26" s="342">
        <v>46297</v>
      </c>
      <c r="D26" s="213"/>
      <c r="E26" s="350">
        <v>3600</v>
      </c>
      <c r="F26" s="218"/>
    </row>
    <row r="27" spans="1:8" ht="21.75" customHeight="1">
      <c r="A27" s="217" t="s">
        <v>1062</v>
      </c>
      <c r="B27" s="212" t="str">
        <f>IFERROR(VLOOKUP(A27,'Tổng,SUMMARY'!C:D,2,0),)</f>
        <v>KS-871270</v>
      </c>
      <c r="C27" s="342">
        <v>46297</v>
      </c>
      <c r="D27" s="213"/>
      <c r="E27" s="350">
        <v>2400</v>
      </c>
      <c r="F27" s="218"/>
    </row>
    <row r="28" spans="1:8" ht="21.75" customHeight="1">
      <c r="A28" s="217" t="s">
        <v>1063</v>
      </c>
      <c r="B28" s="212" t="str">
        <f>IFERROR(VLOOKUP(A28,'Tổng,SUMMARY'!C:D,2,0),)</f>
        <v>KS-881041</v>
      </c>
      <c r="C28" s="342">
        <v>46297</v>
      </c>
      <c r="D28" s="213"/>
      <c r="E28" s="350">
        <f>3600+800+600</f>
        <v>5000</v>
      </c>
      <c r="F28" s="218"/>
    </row>
    <row r="29" spans="1:8" ht="21.75" customHeight="1">
      <c r="A29" s="217" t="s">
        <v>1065</v>
      </c>
      <c r="B29" s="212" t="str">
        <f>IFERROR(VLOOKUP(A29,'Tổng,SUMMARY'!C:D,2,0),)</f>
        <v>KS-881057</v>
      </c>
      <c r="C29" s="342">
        <v>46297</v>
      </c>
      <c r="D29" s="213"/>
      <c r="E29" s="350">
        <v>4800</v>
      </c>
      <c r="F29" s="218"/>
    </row>
    <row r="30" spans="1:8" ht="21.75" customHeight="1">
      <c r="A30" s="211" t="s">
        <v>1049</v>
      </c>
      <c r="B30" s="212" t="str">
        <f>IFERROR(VLOOKUP(A30,'Tổng,SUMMARY'!C:D,2,0),)</f>
        <v>KS-880753</v>
      </c>
      <c r="C30" s="342">
        <v>46297</v>
      </c>
      <c r="D30" s="213"/>
      <c r="E30" s="350">
        <v>3600</v>
      </c>
      <c r="F30" s="218" t="s">
        <v>1045</v>
      </c>
    </row>
    <row r="31" spans="1:8" ht="21.75" customHeight="1">
      <c r="A31" s="217" t="s">
        <v>1055</v>
      </c>
      <c r="B31" s="212" t="str">
        <f>IFERROR(VLOOKUP(A31,'Tổng,SUMMARY'!C:D,2,0),)</f>
        <v>KS-880944</v>
      </c>
      <c r="C31" s="342">
        <v>46297</v>
      </c>
      <c r="D31" s="213"/>
      <c r="E31" s="350">
        <v>3600</v>
      </c>
      <c r="F31" s="218" t="s">
        <v>1045</v>
      </c>
    </row>
    <row r="32" spans="1:8" ht="21.75" customHeight="1">
      <c r="A32" s="217" t="s">
        <v>1079</v>
      </c>
      <c r="B32" s="212" t="str">
        <f>IFERROR(VLOOKUP(A32,'Tổng,SUMMARY'!C:D,2,0),)</f>
        <v>KS-8303</v>
      </c>
      <c r="C32" s="342">
        <v>46297</v>
      </c>
      <c r="D32" s="213"/>
      <c r="E32" s="350">
        <v>3600</v>
      </c>
      <c r="F32" s="218" t="s">
        <v>1045</v>
      </c>
    </row>
    <row r="33" spans="1:6" ht="21.75" customHeight="1">
      <c r="A33" s="211" t="s">
        <v>1050</v>
      </c>
      <c r="B33" s="212" t="str">
        <f>IFERROR(VLOOKUP(A33,'Tổng,SUMMARY'!C:D,2,0),)</f>
        <v>KS-8605</v>
      </c>
      <c r="C33" s="342">
        <v>46297</v>
      </c>
      <c r="D33" s="213"/>
      <c r="E33" s="350">
        <v>-3600</v>
      </c>
      <c r="F33" s="218" t="s">
        <v>1045</v>
      </c>
    </row>
    <row r="34" spans="1:6" ht="21.75" customHeight="1">
      <c r="A34" s="217" t="s">
        <v>1085</v>
      </c>
      <c r="B34" s="212" t="str">
        <f>IFERROR(VLOOKUP(A34,'Tổng,SUMMARY'!C:D,2,0),)</f>
        <v>KS-871270</v>
      </c>
      <c r="C34" s="342">
        <v>46298</v>
      </c>
      <c r="D34" s="213"/>
      <c r="E34" s="350">
        <v>850</v>
      </c>
      <c r="F34" s="218"/>
    </row>
    <row r="35" spans="1:6" ht="21.75" customHeight="1">
      <c r="A35" s="217" t="s">
        <v>1034</v>
      </c>
      <c r="B35" s="212" t="str">
        <f>IFERROR(VLOOKUP(A35,'Tổng,SUMMARY'!C:D,2,0),)</f>
        <v>KS-881362</v>
      </c>
      <c r="C35" s="342">
        <v>46298</v>
      </c>
      <c r="D35" s="213"/>
      <c r="E35" s="350">
        <v>1200</v>
      </c>
      <c r="F35" s="218"/>
    </row>
    <row r="36" spans="1:6" ht="21.75" customHeight="1">
      <c r="A36" s="211" t="s">
        <v>1088</v>
      </c>
      <c r="B36" s="212" t="str">
        <f>IFERROR(VLOOKUP(A36,'Tổng,SUMMARY'!C:D,2,0),)</f>
        <v>KS-881041</v>
      </c>
      <c r="C36" s="342">
        <v>46298</v>
      </c>
      <c r="D36" s="213"/>
      <c r="E36" s="350">
        <f>100+1200</f>
        <v>1300</v>
      </c>
      <c r="F36" s="218"/>
    </row>
    <row r="37" spans="1:6" ht="21.75" customHeight="1">
      <c r="A37" s="217" t="s">
        <v>1055</v>
      </c>
      <c r="B37" s="212" t="str">
        <f>IFERROR(VLOOKUP(A37,'Tổng,SUMMARY'!C:D,2,0),)</f>
        <v>KS-880944</v>
      </c>
      <c r="C37" s="342">
        <v>46298</v>
      </c>
      <c r="D37" s="213"/>
      <c r="E37" s="350">
        <v>1000</v>
      </c>
      <c r="F37" s="218"/>
    </row>
    <row r="38" spans="1:6" ht="21.75" customHeight="1">
      <c r="A38" s="217" t="s">
        <v>921</v>
      </c>
      <c r="B38" s="212" t="str">
        <f>IFERROR(VLOOKUP(A38,'Tổng,SUMMARY'!C:D,2,0),)</f>
        <v>KS-8809</v>
      </c>
      <c r="C38" s="342">
        <v>46298</v>
      </c>
      <c r="D38" s="213"/>
      <c r="E38" s="350">
        <v>1200</v>
      </c>
      <c r="F38" s="218"/>
    </row>
    <row r="39" spans="1:6" ht="21.75" customHeight="1">
      <c r="A39" s="217" t="s">
        <v>1026</v>
      </c>
      <c r="B39" s="212" t="str">
        <f>IFERROR(VLOOKUP(A39,'Tổng,SUMMARY'!C:D,2,0),)</f>
        <v>KS-881047</v>
      </c>
      <c r="C39" s="342">
        <v>46298</v>
      </c>
      <c r="D39" s="213"/>
      <c r="E39" s="350">
        <v>1200</v>
      </c>
      <c r="F39" s="218"/>
    </row>
    <row r="40" spans="1:6" ht="21.75" customHeight="1">
      <c r="A40" s="211" t="s">
        <v>1091</v>
      </c>
      <c r="B40" s="212" t="str">
        <f>IFERROR(VLOOKUP(A40,'Tổng,SUMMARY'!C:D,2,0),)</f>
        <v>KS-890195</v>
      </c>
      <c r="C40" s="342">
        <v>46298</v>
      </c>
      <c r="D40" s="213"/>
      <c r="E40" s="350">
        <f>780+780+780</f>
        <v>2340</v>
      </c>
      <c r="F40" s="218"/>
    </row>
    <row r="41" spans="1:6" ht="21.75" customHeight="1">
      <c r="A41" s="217" t="s">
        <v>431</v>
      </c>
      <c r="B41" s="212" t="str">
        <f>IFERROR(VLOOKUP(A41,'Tổng,SUMMARY'!C:D,2,0),)</f>
        <v>KS-881057</v>
      </c>
      <c r="C41" s="342">
        <v>46298</v>
      </c>
      <c r="D41" s="213"/>
      <c r="E41" s="350">
        <f>700+6000</f>
        <v>6700</v>
      </c>
      <c r="F41" s="218"/>
    </row>
    <row r="42" spans="1:6" ht="21.75" customHeight="1">
      <c r="A42" s="217" t="s">
        <v>1032</v>
      </c>
      <c r="B42" s="212" t="str">
        <f>IFERROR(VLOOKUP(A42,'Tổng,SUMMARY'!C:D,2,0),)</f>
        <v>KS-881462</v>
      </c>
      <c r="C42" s="342">
        <v>46298</v>
      </c>
      <c r="D42" s="213"/>
      <c r="E42" s="350">
        <f>2200+1000</f>
        <v>3200</v>
      </c>
      <c r="F42" s="218"/>
    </row>
    <row r="43" spans="1:6" ht="21.75" customHeight="1">
      <c r="A43" s="217" t="s">
        <v>1036</v>
      </c>
      <c r="B43" s="212" t="str">
        <f>IFERROR(VLOOKUP(A43,'Tổng,SUMMARY'!C:D,2,0),)</f>
        <v>KS-880374</v>
      </c>
      <c r="C43" s="342">
        <v>46298</v>
      </c>
      <c r="D43" s="213"/>
      <c r="E43" s="350">
        <v>3400</v>
      </c>
      <c r="F43" s="218"/>
    </row>
    <row r="44" spans="1:6" ht="21.75" customHeight="1">
      <c r="A44" s="211" t="s">
        <v>981</v>
      </c>
      <c r="B44" s="212" t="str">
        <f>IFERROR(VLOOKUP(A44,'Tổng,SUMMARY'!C:D,2,0),)</f>
        <v>KS-881527</v>
      </c>
      <c r="C44" s="342">
        <v>46298</v>
      </c>
      <c r="D44" s="213"/>
      <c r="E44" s="350">
        <f>1200+700</f>
        <v>1900</v>
      </c>
      <c r="F44" s="218"/>
    </row>
    <row r="45" spans="1:6" ht="21.75" customHeight="1">
      <c r="A45" s="211" t="s">
        <v>770</v>
      </c>
      <c r="B45" s="212" t="str">
        <f>IFERROR(VLOOKUP(A45,'Tổng,SUMMARY'!C:D,2,0),)</f>
        <v>KS-881300</v>
      </c>
      <c r="C45" s="342">
        <v>46298</v>
      </c>
      <c r="D45" s="213"/>
      <c r="E45" s="350">
        <v>250</v>
      </c>
      <c r="F45" s="218"/>
    </row>
    <row r="46" spans="1:6" ht="21.75" customHeight="1">
      <c r="A46" s="211" t="s">
        <v>1025</v>
      </c>
      <c r="B46" s="212" t="str">
        <f>IFERROR(VLOOKUP(A46,'Tổng,SUMMARY'!C:D,2,0),)</f>
        <v>KS-880104</v>
      </c>
      <c r="C46" s="342">
        <v>46298</v>
      </c>
      <c r="D46" s="213"/>
      <c r="E46" s="350">
        <v>500</v>
      </c>
      <c r="F46" s="218"/>
    </row>
    <row r="47" spans="1:6" ht="21.75" customHeight="1">
      <c r="A47" s="211" t="s">
        <v>1105</v>
      </c>
      <c r="B47" s="212" t="str">
        <f>IFERROR(VLOOKUP(A47,'Tổng,SUMMARY'!C:D,2,0),)</f>
        <v>KS-8503</v>
      </c>
      <c r="C47" s="342">
        <v>46298</v>
      </c>
      <c r="D47" s="213"/>
      <c r="E47" s="350">
        <v>3600</v>
      </c>
      <c r="F47" s="218" t="s">
        <v>1045</v>
      </c>
    </row>
    <row r="48" spans="1:6" ht="21.75" customHeight="1">
      <c r="A48" s="217" t="s">
        <v>1107</v>
      </c>
      <c r="B48" s="212" t="str">
        <f>IFERROR(VLOOKUP(A48,'Tổng,SUMMARY'!C:D,2,0),)</f>
        <v>KS-880372</v>
      </c>
      <c r="C48" s="342">
        <v>46298</v>
      </c>
      <c r="D48" s="213"/>
      <c r="E48" s="350">
        <v>2400</v>
      </c>
      <c r="F48" s="218" t="s">
        <v>1045</v>
      </c>
    </row>
    <row r="49" spans="1:6" ht="21.75" customHeight="1">
      <c r="A49" s="217" t="s">
        <v>1079</v>
      </c>
      <c r="B49" s="212" t="str">
        <f>IFERROR(VLOOKUP(A49,'Tổng,SUMMARY'!C:D,2,0),)</f>
        <v>KS-8303</v>
      </c>
      <c r="C49" s="342">
        <v>46298</v>
      </c>
      <c r="D49" s="213"/>
      <c r="E49" s="350">
        <v>3600</v>
      </c>
      <c r="F49" s="218" t="s">
        <v>1045</v>
      </c>
    </row>
    <row r="50" spans="1:6" ht="21.75" customHeight="1">
      <c r="A50" s="211" t="s">
        <v>1116</v>
      </c>
      <c r="B50" s="212" t="str">
        <f>IFERROR(VLOOKUP(A50,'Tổng,SUMMARY'!C:D,2,0),)</f>
        <v>KS-881462</v>
      </c>
      <c r="C50" s="342">
        <v>46299</v>
      </c>
      <c r="D50" s="213"/>
      <c r="E50" s="350">
        <f>500+900+1100</f>
        <v>2500</v>
      </c>
      <c r="F50" s="218"/>
    </row>
    <row r="51" spans="1:6" ht="21.75" customHeight="1">
      <c r="A51" s="217" t="s">
        <v>1035</v>
      </c>
      <c r="B51" s="212" t="str">
        <f>IFERROR(VLOOKUP(A51,'Tổng,SUMMARY'!C:D,2,0),)</f>
        <v>KS-880374</v>
      </c>
      <c r="C51" s="342">
        <v>46299</v>
      </c>
      <c r="D51" s="213"/>
      <c r="E51" s="350">
        <v>2400</v>
      </c>
      <c r="F51" s="218"/>
    </row>
    <row r="52" spans="1:6" ht="21.75" customHeight="1">
      <c r="A52" s="211" t="s">
        <v>1117</v>
      </c>
      <c r="B52" s="212" t="str">
        <f>IFERROR(VLOOKUP(A52,'Tổng,SUMMARY'!C:D,2,0),)</f>
        <v>KS-881362</v>
      </c>
      <c r="C52" s="342">
        <v>46299</v>
      </c>
      <c r="D52" s="213"/>
      <c r="E52" s="350">
        <v>1200</v>
      </c>
      <c r="F52" s="218"/>
    </row>
    <row r="53" spans="1:6" ht="21.75" customHeight="1">
      <c r="A53" s="211" t="s">
        <v>1119</v>
      </c>
      <c r="B53" s="212" t="str">
        <f>IFERROR(VLOOKUP(A53,'Tổng,SUMMARY'!C:D,2,0),)</f>
        <v>KS-880104</v>
      </c>
      <c r="C53" s="342">
        <v>46299</v>
      </c>
      <c r="D53" s="213"/>
      <c r="E53" s="350">
        <v>2400</v>
      </c>
      <c r="F53" s="218"/>
    </row>
    <row r="54" spans="1:6" ht="21.75" customHeight="1">
      <c r="A54" s="217" t="s">
        <v>1122</v>
      </c>
      <c r="B54" s="212" t="str">
        <f>IFERROR(VLOOKUP(A54,'Tổng,SUMMARY'!C:D,2,0),)</f>
        <v>KS-890209</v>
      </c>
      <c r="C54" s="342">
        <v>46299</v>
      </c>
      <c r="D54" s="213"/>
      <c r="E54" s="350">
        <f>780+780+750</f>
        <v>2310</v>
      </c>
      <c r="F54" s="218"/>
    </row>
    <row r="55" spans="1:6" ht="21.75" customHeight="1">
      <c r="A55" s="211" t="s">
        <v>1090</v>
      </c>
      <c r="B55" s="212" t="str">
        <f>IFERROR(VLOOKUP(A55,'Tổng,SUMMARY'!C:D,2,0),)</f>
        <v>KS-890195</v>
      </c>
      <c r="C55" s="342">
        <v>46299</v>
      </c>
      <c r="D55" s="213"/>
      <c r="E55" s="350">
        <f>780+780+630+750</f>
        <v>2940</v>
      </c>
      <c r="F55" s="218"/>
    </row>
    <row r="56" spans="1:6" ht="21.75" customHeight="1">
      <c r="A56" s="217" t="s">
        <v>1055</v>
      </c>
      <c r="B56" s="212" t="str">
        <f>IFERROR(VLOOKUP(A56,'Tổng,SUMMARY'!C:D,2,0),)</f>
        <v>KS-880944</v>
      </c>
      <c r="C56" s="342">
        <v>46299</v>
      </c>
      <c r="D56" s="213"/>
      <c r="E56" s="350">
        <v>3600</v>
      </c>
      <c r="F56" s="218"/>
    </row>
    <row r="57" spans="1:6" ht="21.75" customHeight="1">
      <c r="A57" s="217" t="s">
        <v>1131</v>
      </c>
      <c r="B57" s="212" t="str">
        <f>IFERROR(VLOOKUP(A57,'Tổng,SUMMARY'!C:D,2,0),)</f>
        <v>KS-880910</v>
      </c>
      <c r="C57" s="342">
        <v>46299</v>
      </c>
      <c r="D57" s="213"/>
      <c r="E57" s="350">
        <f>1200+3600</f>
        <v>4800</v>
      </c>
      <c r="F57" s="218"/>
    </row>
    <row r="58" spans="1:6" ht="21.75" customHeight="1">
      <c r="A58" s="211" t="s">
        <v>1135</v>
      </c>
      <c r="B58" s="212" t="str">
        <f>IFERROR(VLOOKUP(A58,'Tổng,SUMMARY'!C:D,2,0),)</f>
        <v>KS-871382</v>
      </c>
      <c r="C58" s="342">
        <v>46299</v>
      </c>
      <c r="D58" s="213"/>
      <c r="E58" s="350">
        <v>950</v>
      </c>
      <c r="F58" s="218"/>
    </row>
    <row r="59" spans="1:6" ht="21.75" customHeight="1">
      <c r="A59" s="217" t="s">
        <v>1054</v>
      </c>
      <c r="B59" s="212" t="str">
        <f>IFERROR(VLOOKUP(A59,'Tổng,SUMMARY'!C:D,2,0),)</f>
        <v>KS-880944</v>
      </c>
      <c r="C59" s="342">
        <v>46300</v>
      </c>
      <c r="D59" s="213"/>
      <c r="E59" s="350">
        <v>600</v>
      </c>
      <c r="F59" s="218"/>
    </row>
    <row r="60" spans="1:6" ht="21.75" customHeight="1">
      <c r="A60" s="211" t="s">
        <v>1115</v>
      </c>
      <c r="B60" s="212" t="str">
        <f>IFERROR(VLOOKUP(A60,'Tổng,SUMMARY'!C:D,2,0),)</f>
        <v>KS-881462</v>
      </c>
      <c r="C60" s="342">
        <v>46300</v>
      </c>
      <c r="D60" s="213"/>
      <c r="E60" s="350">
        <f>300+1000+1200+1100+2700</f>
        <v>6300</v>
      </c>
      <c r="F60" s="218"/>
    </row>
    <row r="61" spans="1:6" ht="21.75" customHeight="1">
      <c r="A61" s="211" t="s">
        <v>894</v>
      </c>
      <c r="B61" s="212" t="str">
        <f>IFERROR(VLOOKUP(A61,'Tổng,SUMMARY'!C:D,2,0),)</f>
        <v>KS-871382</v>
      </c>
      <c r="C61" s="342">
        <v>46300</v>
      </c>
      <c r="D61" s="213"/>
      <c r="E61" s="350">
        <v>1200</v>
      </c>
      <c r="F61" s="218"/>
    </row>
    <row r="62" spans="1:6" ht="21.75" customHeight="1">
      <c r="A62" s="217" t="s">
        <v>1035</v>
      </c>
      <c r="B62" s="212" t="str">
        <f>IFERROR(VLOOKUP(A62,'Tổng,SUMMARY'!C:D,2,0),)</f>
        <v>KS-880374</v>
      </c>
      <c r="C62" s="342">
        <v>46300</v>
      </c>
      <c r="D62" s="213"/>
      <c r="E62" s="350">
        <v>1100</v>
      </c>
      <c r="F62" s="218"/>
    </row>
    <row r="63" spans="1:6" ht="21.75" customHeight="1">
      <c r="A63" s="211" t="s">
        <v>1137</v>
      </c>
      <c r="B63" s="212" t="str">
        <f>IFERROR(VLOOKUP(A63,'Tổng,SUMMARY'!C:D,2,0),)</f>
        <v>KS-89038</v>
      </c>
      <c r="C63" s="342">
        <v>46300</v>
      </c>
      <c r="D63" s="213"/>
      <c r="E63" s="350">
        <v>360</v>
      </c>
      <c r="F63" s="218"/>
    </row>
    <row r="64" spans="1:6" ht="21.75" customHeight="1">
      <c r="A64" s="211" t="s">
        <v>1139</v>
      </c>
      <c r="B64" s="212" t="str">
        <f>IFERROR(VLOOKUP(A64,'Tổng,SUMMARY'!C:D,2,0),)</f>
        <v>KS-870996</v>
      </c>
      <c r="C64" s="342">
        <v>46300</v>
      </c>
      <c r="D64" s="213"/>
      <c r="E64" s="350">
        <f>1950+950+950</f>
        <v>3850</v>
      </c>
      <c r="F64" s="218"/>
    </row>
    <row r="65" spans="1:6" ht="21.75" customHeight="1">
      <c r="A65" s="211" t="s">
        <v>1142</v>
      </c>
      <c r="B65" s="212" t="str">
        <f>IFERROR(VLOOKUP(A65,'Tổng,SUMMARY'!C:D,2,0),)</f>
        <v>KS-881047</v>
      </c>
      <c r="C65" s="342">
        <v>46300</v>
      </c>
      <c r="D65" s="213"/>
      <c r="E65" s="350">
        <f>1200+1150</f>
        <v>2350</v>
      </c>
      <c r="F65" s="218"/>
    </row>
    <row r="66" spans="1:6" ht="21.75" customHeight="1">
      <c r="A66" s="217" t="s">
        <v>921</v>
      </c>
      <c r="B66" s="212" t="str">
        <f>IFERROR(VLOOKUP(A66,'Tổng,SUMMARY'!C:D,2,0),)</f>
        <v>KS-8809</v>
      </c>
      <c r="C66" s="342">
        <v>46300</v>
      </c>
      <c r="D66" s="213"/>
      <c r="E66" s="350">
        <f>2400+650</f>
        <v>3050</v>
      </c>
      <c r="F66" s="218"/>
    </row>
    <row r="67" spans="1:6" ht="21.75" customHeight="1">
      <c r="A67" s="211" t="s">
        <v>1118</v>
      </c>
      <c r="B67" s="212" t="str">
        <f>IFERROR(VLOOKUP(A67,'Tổng,SUMMARY'!C:D,2,0),)</f>
        <v>KS-880104</v>
      </c>
      <c r="C67" s="342">
        <v>46300</v>
      </c>
      <c r="D67" s="213"/>
      <c r="E67" s="350">
        <f>2200+600</f>
        <v>2800</v>
      </c>
      <c r="F67" s="218"/>
    </row>
    <row r="68" spans="1:6" ht="21.75" customHeight="1">
      <c r="A68" s="217" t="s">
        <v>1131</v>
      </c>
      <c r="B68" s="212" t="str">
        <f>IFERROR(VLOOKUP(A68,'Tổng,SUMMARY'!C:D,2,0),)</f>
        <v>KS-880910</v>
      </c>
      <c r="C68" s="342">
        <v>46300</v>
      </c>
      <c r="D68" s="213"/>
      <c r="E68" s="350">
        <v>7200</v>
      </c>
      <c r="F68" s="218"/>
    </row>
    <row r="69" spans="1:6" ht="21.75" customHeight="1">
      <c r="A69" s="217" t="s">
        <v>1075</v>
      </c>
      <c r="B69" s="212" t="str">
        <f>IFERROR(VLOOKUP(A69,'Tổng,SUMMARY'!C:D,2,0),)</f>
        <v>KS-880372</v>
      </c>
      <c r="C69" s="342">
        <v>46300</v>
      </c>
      <c r="D69" s="213"/>
      <c r="E69" s="350">
        <f>2400+2400</f>
        <v>4800</v>
      </c>
      <c r="F69" s="218" t="s">
        <v>1045</v>
      </c>
    </row>
    <row r="70" spans="1:6" ht="21.75" customHeight="1">
      <c r="A70" s="217" t="s">
        <v>1054</v>
      </c>
      <c r="B70" s="212" t="str">
        <f>IFERROR(VLOOKUP(A70,'Tổng,SUMMARY'!C:D,2,0),)</f>
        <v>KS-880944</v>
      </c>
      <c r="C70" s="342">
        <v>46300</v>
      </c>
      <c r="D70" s="213"/>
      <c r="E70" s="350">
        <v>3600</v>
      </c>
      <c r="F70" s="218" t="s">
        <v>1045</v>
      </c>
    </row>
    <row r="71" spans="1:6" ht="21.75" customHeight="1">
      <c r="A71" s="211" t="s">
        <v>1047</v>
      </c>
      <c r="B71" s="212" t="str">
        <f>IFERROR(VLOOKUP(A71,'Tổng,SUMMARY'!C:D,2,0),)</f>
        <v>KS-880959</v>
      </c>
      <c r="C71" s="342">
        <v>46301</v>
      </c>
      <c r="D71" s="213"/>
      <c r="E71" s="350">
        <v>150</v>
      </c>
      <c r="F71" s="218" t="s">
        <v>1045</v>
      </c>
    </row>
    <row r="72" spans="1:6" ht="21.75" customHeight="1">
      <c r="A72" s="211" t="s">
        <v>1048</v>
      </c>
      <c r="B72" s="212" t="str">
        <f>IFERROR(VLOOKUP(A72,'Tổng,SUMMARY'!C:D,2,0),)</f>
        <v>KS-880753</v>
      </c>
      <c r="C72" s="342">
        <v>46301</v>
      </c>
      <c r="D72" s="213"/>
      <c r="E72" s="350">
        <f>3600+3600</f>
        <v>7200</v>
      </c>
      <c r="F72" s="218" t="s">
        <v>1045</v>
      </c>
    </row>
    <row r="73" spans="1:6" ht="21.75" customHeight="1">
      <c r="A73" s="211" t="s">
        <v>1105</v>
      </c>
      <c r="B73" s="212" t="str">
        <f>IFERROR(VLOOKUP(A73,'Tổng,SUMMARY'!C:D,2,0),)</f>
        <v>KS-8503</v>
      </c>
      <c r="C73" s="342">
        <v>46301</v>
      </c>
      <c r="D73" s="213"/>
      <c r="E73" s="350">
        <v>3600</v>
      </c>
      <c r="F73" s="218" t="s">
        <v>1045</v>
      </c>
    </row>
    <row r="74" spans="1:6" ht="21.75" customHeight="1">
      <c r="A74" s="217" t="s">
        <v>1054</v>
      </c>
      <c r="B74" s="212" t="str">
        <f>IFERROR(VLOOKUP(A74,'Tổng,SUMMARY'!C:D,2,0),)</f>
        <v>KS-880944</v>
      </c>
      <c r="C74" s="342">
        <v>46301</v>
      </c>
      <c r="D74" s="213"/>
      <c r="E74" s="350">
        <v>3600</v>
      </c>
      <c r="F74" s="218" t="s">
        <v>1045</v>
      </c>
    </row>
    <row r="75" spans="1:6" ht="21.75" customHeight="1">
      <c r="A75" s="211" t="s">
        <v>1050</v>
      </c>
      <c r="B75" s="212" t="str">
        <f>IFERROR(VLOOKUP(A75,'Tổng,SUMMARY'!C:D,2,0),)</f>
        <v>KS-8605</v>
      </c>
      <c r="C75" s="342">
        <v>46301</v>
      </c>
      <c r="D75" s="213"/>
      <c r="E75" s="350">
        <v>3600</v>
      </c>
      <c r="F75" s="218" t="s">
        <v>1045</v>
      </c>
    </row>
    <row r="76" spans="1:6" ht="21.75" customHeight="1">
      <c r="A76" s="211" t="s">
        <v>1154</v>
      </c>
      <c r="B76" s="212" t="str">
        <f>IFERROR(VLOOKUP(A76,'Tổng,SUMMARY'!C:D,2,0),)</f>
        <v>KS-89069</v>
      </c>
      <c r="C76" s="342">
        <v>46301</v>
      </c>
      <c r="D76" s="213"/>
      <c r="E76" s="350">
        <v>2160</v>
      </c>
      <c r="F76" s="218" t="s">
        <v>1045</v>
      </c>
    </row>
    <row r="77" spans="1:6" ht="21.75" customHeight="1">
      <c r="A77" s="217" t="s">
        <v>1131</v>
      </c>
      <c r="B77" s="212" t="str">
        <f>IFERROR(VLOOKUP(A77,'Tổng,SUMMARY'!C:D,2,0),)</f>
        <v>KS-880910</v>
      </c>
      <c r="C77" s="342">
        <v>46301</v>
      </c>
      <c r="D77" s="213"/>
      <c r="E77" s="350">
        <v>1200</v>
      </c>
      <c r="F77" s="218"/>
    </row>
    <row r="78" spans="1:6" ht="21.75" customHeight="1">
      <c r="A78" s="211" t="s">
        <v>1118</v>
      </c>
      <c r="B78" s="212" t="str">
        <f>IFERROR(VLOOKUP(A78,'Tổng,SUMMARY'!C:D,2,0),)</f>
        <v>KS-880104</v>
      </c>
      <c r="C78" s="342">
        <v>46301</v>
      </c>
      <c r="D78" s="213"/>
      <c r="E78" s="350">
        <v>1000</v>
      </c>
      <c r="F78" s="218"/>
    </row>
    <row r="79" spans="1:6" ht="21.75" customHeight="1">
      <c r="A79" s="211" t="s">
        <v>894</v>
      </c>
      <c r="B79" s="212" t="str">
        <f>IFERROR(VLOOKUP(A79,'Tổng,SUMMARY'!C:D,2,0),)</f>
        <v>KS-871382</v>
      </c>
      <c r="C79" s="342">
        <v>46301</v>
      </c>
      <c r="D79" s="213"/>
      <c r="E79" s="350">
        <f>1200+550</f>
        <v>1750</v>
      </c>
      <c r="F79" s="218"/>
    </row>
    <row r="80" spans="1:6" ht="21.75" customHeight="1">
      <c r="A80" s="211" t="s">
        <v>1061</v>
      </c>
      <c r="B80" s="212" t="str">
        <f>IFERROR(VLOOKUP(A80,'Tổng,SUMMARY'!C:D,2,0),)</f>
        <v>KS-881527</v>
      </c>
      <c r="C80" s="342">
        <v>46301</v>
      </c>
      <c r="D80" s="213"/>
      <c r="E80" s="350">
        <v>400</v>
      </c>
      <c r="F80" s="218"/>
    </row>
    <row r="81" spans="1:6" ht="21.75" customHeight="1">
      <c r="A81" s="217" t="s">
        <v>1035</v>
      </c>
      <c r="B81" s="212" t="str">
        <f>IFERROR(VLOOKUP(A81,'Tổng,SUMMARY'!C:D,2,0),)</f>
        <v>KS-880374</v>
      </c>
      <c r="C81" s="342">
        <v>46301</v>
      </c>
      <c r="D81" s="213"/>
      <c r="E81" s="350">
        <v>1200</v>
      </c>
      <c r="F81" s="218"/>
    </row>
    <row r="82" spans="1:6" ht="21.75" customHeight="1">
      <c r="A82" s="217" t="s">
        <v>1122</v>
      </c>
      <c r="B82" s="212" t="str">
        <f>IFERROR(VLOOKUP(A82,'Tổng,SUMMARY'!C:D,2,0),)</f>
        <v>KS-890209</v>
      </c>
      <c r="C82" s="342">
        <v>46301</v>
      </c>
      <c r="D82" s="213"/>
      <c r="E82" s="350">
        <f>780+780</f>
        <v>1560</v>
      </c>
      <c r="F82" s="218"/>
    </row>
    <row r="83" spans="1:6" ht="21.75" customHeight="1">
      <c r="A83" s="211" t="s">
        <v>1090</v>
      </c>
      <c r="B83" s="212" t="str">
        <f>IFERROR(VLOOKUP(A83,'Tổng,SUMMARY'!C:D,2,0),)</f>
        <v>KS-890195</v>
      </c>
      <c r="C83" s="342">
        <v>46301</v>
      </c>
      <c r="D83" s="213"/>
      <c r="E83" s="350">
        <f>780+450</f>
        <v>1230</v>
      </c>
      <c r="F83" s="218"/>
    </row>
    <row r="84" spans="1:6" ht="21.75" customHeight="1">
      <c r="A84" s="211" t="s">
        <v>1117</v>
      </c>
      <c r="B84" s="212" t="str">
        <f>IFERROR(VLOOKUP(A84,'Tổng,SUMMARY'!C:D,2,0),)</f>
        <v>KS-881362</v>
      </c>
      <c r="C84" s="342">
        <v>46301</v>
      </c>
      <c r="D84" s="213"/>
      <c r="E84" s="350">
        <v>2400</v>
      </c>
      <c r="F84" s="218"/>
    </row>
    <row r="85" spans="1:6" ht="21.75" customHeight="1">
      <c r="A85" s="211" t="s">
        <v>1139</v>
      </c>
      <c r="B85" s="212" t="str">
        <f>IFERROR(VLOOKUP(A85,'Tổng,SUMMARY'!C:D,2,0),)</f>
        <v>KS-870996</v>
      </c>
      <c r="C85" s="342">
        <v>46301</v>
      </c>
      <c r="D85" s="213"/>
      <c r="E85" s="350">
        <v>1250</v>
      </c>
      <c r="F85" s="218"/>
    </row>
    <row r="86" spans="1:6" ht="21.75" customHeight="1">
      <c r="A86" s="217" t="s">
        <v>1168</v>
      </c>
      <c r="B86" s="212" t="str">
        <f>IFERROR(VLOOKUP(A86,'Tổng,SUMMARY'!C:D,2,0),)</f>
        <v>KS-880754</v>
      </c>
      <c r="C86" s="342">
        <v>46301</v>
      </c>
      <c r="D86" s="213"/>
      <c r="E86" s="350">
        <f>1200+1150+3500</f>
        <v>5850</v>
      </c>
      <c r="F86" s="218"/>
    </row>
    <row r="87" spans="1:6" ht="21.75" customHeight="1">
      <c r="A87" s="217" t="s">
        <v>1176</v>
      </c>
      <c r="B87" s="212" t="str">
        <f>IFERROR(VLOOKUP(A87,'Tổng,SUMMARY'!C:D,2,0),)</f>
        <v>KS-880624</v>
      </c>
      <c r="C87" s="342">
        <v>46301</v>
      </c>
      <c r="D87" s="213"/>
      <c r="E87" s="350">
        <v>300</v>
      </c>
      <c r="F87" s="218"/>
    </row>
    <row r="88" spans="1:6" ht="21.75" customHeight="1">
      <c r="A88" s="211" t="s">
        <v>1179</v>
      </c>
      <c r="B88" s="212" t="str">
        <f>IFERROR(VLOOKUP(A88,'Tổng,SUMMARY'!C:D,2,0),)</f>
        <v>KS-881462</v>
      </c>
      <c r="C88" s="342">
        <v>46302</v>
      </c>
      <c r="D88" s="213"/>
      <c r="E88" s="350">
        <f>800+600+1200</f>
        <v>2600</v>
      </c>
      <c r="F88" s="218"/>
    </row>
    <row r="89" spans="1:6" ht="21.75" customHeight="1">
      <c r="A89" s="217" t="s">
        <v>1168</v>
      </c>
      <c r="B89" s="212" t="str">
        <f>IFERROR(VLOOKUP(A89,'Tổng,SUMMARY'!C:D,2,0),)</f>
        <v>KS-880754</v>
      </c>
      <c r="C89" s="342">
        <v>46302</v>
      </c>
      <c r="D89" s="213"/>
      <c r="E89" s="350">
        <v>1200</v>
      </c>
      <c r="F89" s="218"/>
    </row>
    <row r="90" spans="1:6" ht="21.75" customHeight="1">
      <c r="A90" s="211" t="s">
        <v>1181</v>
      </c>
      <c r="B90" s="212" t="str">
        <f>IFERROR(VLOOKUP(A90,'Tổng,SUMMARY'!C:D,2,0),)</f>
        <v>KS-871056</v>
      </c>
      <c r="C90" s="342">
        <v>46302</v>
      </c>
      <c r="D90" s="213"/>
      <c r="E90" s="350">
        <v>1200</v>
      </c>
      <c r="F90" s="218"/>
    </row>
    <row r="91" spans="1:6" ht="21.75" customHeight="1">
      <c r="A91" s="211" t="s">
        <v>1090</v>
      </c>
      <c r="B91" s="212" t="str">
        <f>IFERROR(VLOOKUP(A91,'Tổng,SUMMARY'!C:D,2,0),)</f>
        <v>KS-890195</v>
      </c>
      <c r="C91" s="342">
        <v>46302</v>
      </c>
      <c r="D91" s="213"/>
      <c r="E91" s="350">
        <f>780+780+780+780</f>
        <v>3120</v>
      </c>
      <c r="F91" s="218"/>
    </row>
    <row r="92" spans="1:6" ht="21.75" customHeight="1">
      <c r="A92" s="217" t="s">
        <v>1122</v>
      </c>
      <c r="B92" s="212" t="str">
        <f>IFERROR(VLOOKUP(A92,'Tổng,SUMMARY'!C:D,2,0),)</f>
        <v>KS-890209</v>
      </c>
      <c r="C92" s="342">
        <v>46302</v>
      </c>
      <c r="D92" s="213"/>
      <c r="E92" s="350">
        <f>180+570</f>
        <v>750</v>
      </c>
      <c r="F92" s="218"/>
    </row>
    <row r="93" spans="1:6" ht="21.75" customHeight="1">
      <c r="A93" s="211" t="s">
        <v>1191</v>
      </c>
      <c r="B93" s="212" t="str">
        <f>IFERROR(VLOOKUP(A93,'Tổng,SUMMARY'!C:D,2,0),)</f>
        <v>KS-870247</v>
      </c>
      <c r="C93" s="342">
        <v>46302</v>
      </c>
      <c r="D93" s="213"/>
      <c r="E93" s="350">
        <v>2350</v>
      </c>
      <c r="F93" s="218"/>
    </row>
    <row r="94" spans="1:6" ht="21.75" customHeight="1">
      <c r="A94" s="211" t="s">
        <v>1193</v>
      </c>
      <c r="B94" s="212" t="str">
        <f>IFERROR(VLOOKUP(A94,'Tổng,SUMMARY'!C:D,2,0),)</f>
        <v>KS-881483</v>
      </c>
      <c r="C94" s="342">
        <v>46302</v>
      </c>
      <c r="D94" s="213"/>
      <c r="E94" s="350">
        <f>200+1150</f>
        <v>1350</v>
      </c>
      <c r="F94" s="218"/>
    </row>
    <row r="95" spans="1:6" ht="21.75" customHeight="1">
      <c r="A95" s="211" t="s">
        <v>1033</v>
      </c>
      <c r="B95" s="212" t="str">
        <f>IFERROR(VLOOKUP(A95,'Tổng,SUMMARY'!C:D,2,0),)</f>
        <v>KS-881362</v>
      </c>
      <c r="C95" s="342">
        <v>46302</v>
      </c>
      <c r="D95" s="213"/>
      <c r="E95" s="350">
        <f>1200+1150</f>
        <v>2350</v>
      </c>
      <c r="F95" s="218"/>
    </row>
    <row r="96" spans="1:6" ht="21.75" customHeight="1">
      <c r="A96" s="217" t="s">
        <v>1194</v>
      </c>
      <c r="B96" s="212" t="str">
        <f>IFERROR(VLOOKUP(A96,'Tổng,SUMMARY'!C:D,2,0),)</f>
        <v>KS-880624</v>
      </c>
      <c r="C96" s="342">
        <v>46302</v>
      </c>
      <c r="D96" s="213"/>
      <c r="E96" s="350">
        <f>1200+800</f>
        <v>2000</v>
      </c>
      <c r="F96" s="218"/>
    </row>
    <row r="97" spans="1:6" ht="21.75" customHeight="1">
      <c r="A97" s="217" t="s">
        <v>1131</v>
      </c>
      <c r="B97" s="212" t="str">
        <f>IFERROR(VLOOKUP(A97,'Tổng,SUMMARY'!C:D,2,0),)</f>
        <v>KS-880910</v>
      </c>
      <c r="C97" s="342">
        <v>46302</v>
      </c>
      <c r="D97" s="213"/>
      <c r="E97" s="350">
        <f>1200+1200+1200+600+1200</f>
        <v>5400</v>
      </c>
      <c r="F97" s="218"/>
    </row>
    <row r="98" spans="1:6" ht="21.75" customHeight="1">
      <c r="A98" s="211" t="s">
        <v>1048</v>
      </c>
      <c r="B98" s="212" t="str">
        <f>IFERROR(VLOOKUP(A98,'Tổng,SUMMARY'!C:D,2,0),)</f>
        <v>KS-880753</v>
      </c>
      <c r="C98" s="342">
        <v>46302</v>
      </c>
      <c r="D98" s="213"/>
      <c r="E98" s="350">
        <v>3600</v>
      </c>
      <c r="F98" s="218" t="s">
        <v>1045</v>
      </c>
    </row>
    <row r="99" spans="1:6" ht="21.75" customHeight="1">
      <c r="A99" s="211" t="s">
        <v>815</v>
      </c>
      <c r="B99" s="212" t="str">
        <f>IFERROR(VLOOKUP(A99,'Tổng,SUMMARY'!C:D,2,0),)</f>
        <v>KS-89069</v>
      </c>
      <c r="C99" s="342">
        <v>46302</v>
      </c>
      <c r="D99" s="213"/>
      <c r="E99" s="350">
        <v>2160</v>
      </c>
      <c r="F99" s="218" t="s">
        <v>1045</v>
      </c>
    </row>
    <row r="100" spans="1:6" ht="21.75" customHeight="1">
      <c r="A100" s="211" t="s">
        <v>1213</v>
      </c>
      <c r="B100" s="212" t="str">
        <f>IFERROR(VLOOKUP(A100,'Tổng,SUMMARY'!C:D,2,0),)</f>
        <v>KS-87049</v>
      </c>
      <c r="C100" s="342">
        <v>46302</v>
      </c>
      <c r="D100" s="213"/>
      <c r="E100" s="350">
        <v>2050</v>
      </c>
      <c r="F100" s="218" t="s">
        <v>1045</v>
      </c>
    </row>
    <row r="101" spans="1:6" ht="21.75" customHeight="1">
      <c r="A101" s="211" t="s">
        <v>1214</v>
      </c>
      <c r="B101" s="212" t="str">
        <f>IFERROR(VLOOKUP(A101,'Tổng,SUMMARY'!C:D,2,0),)</f>
        <v>KS-881300</v>
      </c>
      <c r="C101" s="342">
        <v>46302</v>
      </c>
      <c r="D101" s="213"/>
      <c r="E101" s="350">
        <v>1000</v>
      </c>
      <c r="F101" s="218" t="s">
        <v>1045</v>
      </c>
    </row>
    <row r="102" spans="1:6" ht="21.75" customHeight="1">
      <c r="A102" s="217" t="s">
        <v>1107</v>
      </c>
      <c r="B102" s="212" t="str">
        <f>IFERROR(VLOOKUP(A102,'Tổng,SUMMARY'!C:D,2,0),)</f>
        <v>KS-880372</v>
      </c>
      <c r="C102" s="342">
        <v>46302</v>
      </c>
      <c r="D102" s="213"/>
      <c r="E102" s="350">
        <v>2400</v>
      </c>
      <c r="F102" s="218" t="s">
        <v>1045</v>
      </c>
    </row>
    <row r="103" spans="1:6" ht="21.75" customHeight="1">
      <c r="A103" s="211" t="s">
        <v>1115</v>
      </c>
      <c r="B103" s="212" t="str">
        <f>IFERROR(VLOOKUP(A103,'Tổng,SUMMARY'!C:D,2,0),)</f>
        <v>KS-881462</v>
      </c>
      <c r="C103" s="342">
        <v>46303</v>
      </c>
      <c r="D103" s="213"/>
      <c r="E103" s="350">
        <f>1100+700+200+1200</f>
        <v>3200</v>
      </c>
      <c r="F103" s="218"/>
    </row>
    <row r="104" spans="1:6" ht="21.75" customHeight="1">
      <c r="A104" s="211" t="s">
        <v>1033</v>
      </c>
      <c r="B104" s="212" t="str">
        <f>IFERROR(VLOOKUP(A104,'Tổng,SUMMARY'!C:D,2,0),)</f>
        <v>KS-881362</v>
      </c>
      <c r="C104" s="342">
        <v>46303</v>
      </c>
      <c r="D104" s="213"/>
      <c r="E104" s="350">
        <v>1200</v>
      </c>
      <c r="F104" s="218"/>
    </row>
    <row r="105" spans="1:6" ht="21.75" customHeight="1">
      <c r="A105" s="217" t="s">
        <v>1199</v>
      </c>
      <c r="B105" s="212" t="str">
        <f>IFERROR(VLOOKUP(A105,'Tổng,SUMMARY'!C:D,2,0),)</f>
        <v>KS-881608</v>
      </c>
      <c r="C105" s="342">
        <v>46303</v>
      </c>
      <c r="D105" s="213"/>
      <c r="E105" s="350">
        <v>200</v>
      </c>
      <c r="F105" s="218"/>
    </row>
    <row r="106" spans="1:6" ht="21.75" customHeight="1">
      <c r="A106" s="211" t="s">
        <v>1088</v>
      </c>
      <c r="B106" s="212" t="str">
        <f>IFERROR(VLOOKUP(A106,'Tổng,SUMMARY'!C:D,2,0),)</f>
        <v>KS-881041</v>
      </c>
      <c r="C106" s="342">
        <v>46303</v>
      </c>
      <c r="D106" s="213"/>
      <c r="E106" s="350">
        <v>1200</v>
      </c>
      <c r="F106" s="218"/>
    </row>
    <row r="107" spans="1:6" ht="21.75" customHeight="1">
      <c r="A107" s="217" t="s">
        <v>1054</v>
      </c>
      <c r="B107" s="212" t="str">
        <f>IFERROR(VLOOKUP(A107,'Tổng,SUMMARY'!C:D,2,0),)</f>
        <v>KS-880944</v>
      </c>
      <c r="C107" s="342">
        <v>46303</v>
      </c>
      <c r="D107" s="213"/>
      <c r="E107" s="350">
        <v>1150</v>
      </c>
      <c r="F107" s="218"/>
    </row>
    <row r="108" spans="1:6" ht="21.75" customHeight="1">
      <c r="A108" s="211" t="s">
        <v>1202</v>
      </c>
      <c r="B108" s="212" t="str">
        <f>IFERROR(VLOOKUP(A108,'Tổng,SUMMARY'!C:D,2,0),)</f>
        <v>KS-880466</v>
      </c>
      <c r="C108" s="342">
        <v>46303</v>
      </c>
      <c r="D108" s="213"/>
      <c r="E108" s="350">
        <v>750</v>
      </c>
      <c r="F108" s="218"/>
    </row>
    <row r="109" spans="1:6" ht="21.75" customHeight="1">
      <c r="A109" s="211" t="s">
        <v>1184</v>
      </c>
      <c r="B109" s="212" t="str">
        <f>IFERROR(VLOOKUP(A109,'Tổng,SUMMARY'!C:D,2,0),)</f>
        <v>KS-871056</v>
      </c>
      <c r="C109" s="342">
        <v>46303</v>
      </c>
      <c r="D109" s="213"/>
      <c r="E109" s="350">
        <v>1100</v>
      </c>
      <c r="F109" s="218"/>
    </row>
    <row r="110" spans="1:6" ht="21.75" customHeight="1">
      <c r="A110" s="211" t="s">
        <v>894</v>
      </c>
      <c r="B110" s="212" t="str">
        <f>IFERROR(VLOOKUP(A110,'Tổng,SUMMARY'!C:D,2,0),)</f>
        <v>KS-871382</v>
      </c>
      <c r="C110" s="342">
        <v>46303</v>
      </c>
      <c r="D110" s="213"/>
      <c r="E110" s="350">
        <f>2400+600</f>
        <v>3000</v>
      </c>
      <c r="F110" s="218"/>
    </row>
    <row r="111" spans="1:6" ht="21.75" customHeight="1">
      <c r="A111" s="211" t="s">
        <v>1061</v>
      </c>
      <c r="B111" s="212" t="str">
        <f>IFERROR(VLOOKUP(A111,'Tổng,SUMMARY'!C:D,2,0),)</f>
        <v>KS-881527</v>
      </c>
      <c r="C111" s="342">
        <v>46303</v>
      </c>
      <c r="D111" s="213"/>
      <c r="E111" s="350">
        <v>2400</v>
      </c>
      <c r="F111" s="218"/>
    </row>
    <row r="112" spans="1:6" ht="21.75" customHeight="1">
      <c r="A112" s="211" t="s">
        <v>1090</v>
      </c>
      <c r="B112" s="212" t="str">
        <f>IFERROR(VLOOKUP(A112,'Tổng,SUMMARY'!C:D,2,0),)</f>
        <v>KS-890195</v>
      </c>
      <c r="C112" s="342">
        <v>46303</v>
      </c>
      <c r="D112" s="213"/>
      <c r="E112" s="350">
        <f>780+780+780</f>
        <v>2340</v>
      </c>
      <c r="F112" s="218"/>
    </row>
    <row r="113" spans="1:6" ht="21.75" customHeight="1">
      <c r="A113" s="217" t="s">
        <v>1035</v>
      </c>
      <c r="B113" s="212" t="str">
        <f>IFERROR(VLOOKUP(A113,'Tổng,SUMMARY'!C:D,2,0),)</f>
        <v>KS-880374</v>
      </c>
      <c r="C113" s="342">
        <v>46303</v>
      </c>
      <c r="D113" s="213"/>
      <c r="E113" s="350">
        <v>2400</v>
      </c>
      <c r="F113" s="218"/>
    </row>
    <row r="114" spans="1:6" ht="21.75" customHeight="1">
      <c r="A114" s="211" t="s">
        <v>1209</v>
      </c>
      <c r="B114" s="212" t="str">
        <f>IFERROR(VLOOKUP(A114,'Tổng,SUMMARY'!C:D,2,0),)</f>
        <v>KS-880288</v>
      </c>
      <c r="C114" s="342">
        <v>46303</v>
      </c>
      <c r="D114" s="213"/>
      <c r="E114" s="350">
        <v>3600</v>
      </c>
      <c r="F114" s="218"/>
    </row>
    <row r="115" spans="1:6" ht="21.75" customHeight="1">
      <c r="A115" s="217" t="s">
        <v>1054</v>
      </c>
      <c r="B115" s="212" t="str">
        <f>IFERROR(VLOOKUP(A115,'Tổng,SUMMARY'!C:D,2,0),)</f>
        <v>KS-880944</v>
      </c>
      <c r="C115" s="342">
        <v>46303</v>
      </c>
      <c r="D115" s="213"/>
      <c r="E115" s="350">
        <v>3600</v>
      </c>
      <c r="F115" s="218" t="s">
        <v>1045</v>
      </c>
    </row>
    <row r="116" spans="1:6" ht="21.75" customHeight="1">
      <c r="A116" s="217" t="s">
        <v>1107</v>
      </c>
      <c r="B116" s="212" t="str">
        <f>IFERROR(VLOOKUP(A116,'Tổng,SUMMARY'!C:D,2,0),)</f>
        <v>KS-880372</v>
      </c>
      <c r="C116" s="342">
        <v>46303</v>
      </c>
      <c r="D116" s="213"/>
      <c r="E116" s="350">
        <v>2400</v>
      </c>
      <c r="F116" s="218" t="s">
        <v>1045</v>
      </c>
    </row>
    <row r="117" spans="1:6" ht="21.75" customHeight="1">
      <c r="A117" s="217" t="s">
        <v>1222</v>
      </c>
      <c r="B117" s="212" t="str">
        <f>IFERROR(VLOOKUP(A117,'Tổng,SUMMARY'!C:D,2,0),)</f>
        <v>KS-8303</v>
      </c>
      <c r="C117" s="342">
        <v>46303</v>
      </c>
      <c r="D117" s="213"/>
      <c r="E117" s="350">
        <v>3300</v>
      </c>
      <c r="F117" s="218" t="s">
        <v>1045</v>
      </c>
    </row>
    <row r="118" spans="1:6" ht="21.75" customHeight="1">
      <c r="A118" s="217" t="s">
        <v>1223</v>
      </c>
      <c r="B118" s="212" t="str">
        <f>IFERROR(VLOOKUP(A118,'Tổng,SUMMARY'!C:D,2,0),)</f>
        <v>KS-8503</v>
      </c>
      <c r="C118" s="342">
        <v>46303</v>
      </c>
      <c r="D118" s="213"/>
      <c r="E118" s="350">
        <v>1200</v>
      </c>
      <c r="F118" s="218" t="s">
        <v>1045</v>
      </c>
    </row>
    <row r="119" spans="1:6" ht="21.75" customHeight="1">
      <c r="A119" s="211" t="s">
        <v>1227</v>
      </c>
      <c r="B119" s="212" t="str">
        <f>IFERROR(VLOOKUP(A119,'Tổng,SUMMARY'!C:D,2,0),)</f>
        <v>KS-890160</v>
      </c>
      <c r="C119" s="342">
        <v>46303</v>
      </c>
      <c r="D119" s="213"/>
      <c r="E119" s="350">
        <v>768</v>
      </c>
      <c r="F119" s="218"/>
    </row>
    <row r="120" spans="1:6" ht="21.75" customHeight="1">
      <c r="A120" s="211" t="s">
        <v>1231</v>
      </c>
      <c r="B120" s="212" t="str">
        <f>IFERROR(VLOOKUP(A120,'Tổng,SUMMARY'!C:D,2,0),)</f>
        <v>KS-89084</v>
      </c>
      <c r="C120" s="342">
        <v>46303</v>
      </c>
      <c r="D120" s="213"/>
      <c r="E120" s="350">
        <v>780</v>
      </c>
      <c r="F120" s="218"/>
    </row>
    <row r="121" spans="1:6" ht="21.75" customHeight="1">
      <c r="A121" s="217" t="s">
        <v>1054</v>
      </c>
      <c r="B121" s="212" t="str">
        <f>IFERROR(VLOOKUP(A121,'Tổng,SUMMARY'!C:D,2,0),)</f>
        <v>KS-880944</v>
      </c>
      <c r="C121" s="342">
        <v>46304</v>
      </c>
      <c r="D121" s="213"/>
      <c r="E121" s="350">
        <v>600</v>
      </c>
      <c r="F121" s="218"/>
    </row>
    <row r="122" spans="1:6" ht="21.75" customHeight="1">
      <c r="A122" s="211" t="s">
        <v>894</v>
      </c>
      <c r="B122" s="212" t="str">
        <f>IFERROR(VLOOKUP(A122,'Tổng,SUMMARY'!C:D,2,0),)</f>
        <v>KS-871382</v>
      </c>
      <c r="C122" s="342">
        <v>46304</v>
      </c>
      <c r="D122" s="213"/>
      <c r="E122" s="350">
        <v>1200</v>
      </c>
      <c r="F122" s="218"/>
    </row>
    <row r="123" spans="1:6" ht="21.75" customHeight="1">
      <c r="A123" s="211" t="s">
        <v>800</v>
      </c>
      <c r="B123" s="212" t="str">
        <f>IFERROR(VLOOKUP(A123,'Tổng,SUMMARY'!C:D,2,0),)</f>
        <v>KS-881041</v>
      </c>
      <c r="C123" s="342">
        <v>46304</v>
      </c>
      <c r="D123" s="213"/>
      <c r="E123" s="350">
        <v>1200</v>
      </c>
      <c r="F123" s="218"/>
    </row>
    <row r="124" spans="1:6" ht="21.75" customHeight="1">
      <c r="A124" s="211" t="s">
        <v>1259</v>
      </c>
      <c r="B124" s="212" t="str">
        <f>IFERROR(VLOOKUP(A124,'Tổng,SUMMARY'!C:D,2,0),)</f>
        <v>KS-870247</v>
      </c>
      <c r="C124" s="342">
        <v>46304</v>
      </c>
      <c r="D124" s="213"/>
      <c r="E124" s="350">
        <v>1100</v>
      </c>
      <c r="F124" s="218"/>
    </row>
    <row r="125" spans="1:6" ht="21.75" customHeight="1">
      <c r="A125" s="211" t="s">
        <v>1180</v>
      </c>
      <c r="B125" s="212" t="str">
        <f>IFERROR(VLOOKUP(A125,'Tổng,SUMMARY'!C:D,2,0),)</f>
        <v>KS-871056</v>
      </c>
      <c r="C125" s="342">
        <v>46304</v>
      </c>
      <c r="D125" s="213"/>
      <c r="E125" s="350">
        <v>1200</v>
      </c>
      <c r="F125" s="218"/>
    </row>
    <row r="126" spans="1:6" ht="21.75" customHeight="1">
      <c r="A126" s="219" t="s">
        <v>1262</v>
      </c>
      <c r="B126" s="212" t="str">
        <f>IFERROR(VLOOKUP(A126,'Tổng,SUMMARY'!C:D,2,0),)</f>
        <v>KS-871270</v>
      </c>
      <c r="C126" s="342">
        <v>46304</v>
      </c>
      <c r="D126" s="213"/>
      <c r="E126" s="350">
        <v>1100</v>
      </c>
      <c r="F126" s="218"/>
    </row>
    <row r="127" spans="1:6" ht="21.75" customHeight="1">
      <c r="A127" s="211" t="s">
        <v>1264</v>
      </c>
      <c r="B127" s="212" t="str">
        <f>IFERROR(VLOOKUP(A127,'Tổng,SUMMARY'!C:D,2,0),)</f>
        <v>KS-890160</v>
      </c>
      <c r="C127" s="342">
        <v>46304</v>
      </c>
      <c r="D127" s="213"/>
      <c r="E127" s="350">
        <v>144</v>
      </c>
      <c r="F127" s="218"/>
    </row>
    <row r="128" spans="1:6" ht="21.75" customHeight="1">
      <c r="A128" s="217" t="s">
        <v>1168</v>
      </c>
      <c r="B128" s="212" t="str">
        <f>IFERROR(VLOOKUP(A128,'Tổng,SUMMARY'!C:D,2,0),)</f>
        <v>KS-880754</v>
      </c>
      <c r="C128" s="342">
        <v>46304</v>
      </c>
      <c r="D128" s="213"/>
      <c r="E128" s="350">
        <v>950</v>
      </c>
      <c r="F128" s="218"/>
    </row>
    <row r="129" spans="1:6" ht="21.75" customHeight="1">
      <c r="A129" s="211" t="s">
        <v>1032</v>
      </c>
      <c r="B129" s="212" t="str">
        <f>IFERROR(VLOOKUP(A129,'Tổng,SUMMARY'!C:D,2,0),)</f>
        <v>KS-881462</v>
      </c>
      <c r="C129" s="342">
        <v>46304</v>
      </c>
      <c r="D129" s="213"/>
      <c r="E129" s="350">
        <v>4700</v>
      </c>
      <c r="F129" s="218"/>
    </row>
    <row r="130" spans="1:6" ht="21.75" customHeight="1">
      <c r="A130" s="219" t="s">
        <v>1267</v>
      </c>
      <c r="B130" s="212" t="str">
        <f>IFERROR(VLOOKUP(A130,'Tổng,SUMMARY'!C:D,2,0),)</f>
        <v>KS-880731</v>
      </c>
      <c r="C130" s="342">
        <v>46304</v>
      </c>
      <c r="D130" s="213"/>
      <c r="E130" s="350">
        <v>2400</v>
      </c>
      <c r="F130" s="218"/>
    </row>
    <row r="131" spans="1:6" ht="21.75" customHeight="1">
      <c r="A131" s="217" t="s">
        <v>1035</v>
      </c>
      <c r="B131" s="212" t="str">
        <f>IFERROR(VLOOKUP(A131,'Tổng,SUMMARY'!C:D,2,0),)</f>
        <v>KS-880374</v>
      </c>
      <c r="C131" s="342">
        <v>46304</v>
      </c>
      <c r="D131" s="213"/>
      <c r="E131" s="350">
        <v>2400</v>
      </c>
      <c r="F131" s="218"/>
    </row>
    <row r="132" spans="1:6" ht="21.75" customHeight="1">
      <c r="A132" s="217" t="s">
        <v>1054</v>
      </c>
      <c r="B132" s="212" t="str">
        <f>IFERROR(VLOOKUP(A132,'Tổng,SUMMARY'!C:D,2,0),)</f>
        <v>KS-880944</v>
      </c>
      <c r="C132" s="342">
        <v>46304</v>
      </c>
      <c r="D132" s="213"/>
      <c r="E132" s="350">
        <f>600+1200+1200</f>
        <v>3000</v>
      </c>
      <c r="F132" s="218"/>
    </row>
    <row r="133" spans="1:6" ht="21.75" customHeight="1">
      <c r="A133" s="217" t="s">
        <v>1268</v>
      </c>
      <c r="B133" s="212" t="str">
        <f>IFERROR(VLOOKUP(A133,'Tổng,SUMMARY'!C:D,2,0),)</f>
        <v>KS-890196</v>
      </c>
      <c r="C133" s="342">
        <v>46304</v>
      </c>
      <c r="D133" s="213"/>
      <c r="E133" s="350">
        <f>780+780</f>
        <v>1560</v>
      </c>
      <c r="F133" s="218"/>
    </row>
    <row r="134" spans="1:6" ht="21.75" customHeight="1">
      <c r="A134" s="217" t="s">
        <v>1271</v>
      </c>
      <c r="B134" s="212" t="str">
        <f>IFERROR(VLOOKUP(A134,'Tổng,SUMMARY'!C:D,2,0),)</f>
        <v>KS-870247</v>
      </c>
      <c r="C134" s="342">
        <v>46304</v>
      </c>
      <c r="D134" s="213"/>
      <c r="E134" s="350">
        <f>600+1150+500</f>
        <v>2250</v>
      </c>
      <c r="F134" s="218"/>
    </row>
    <row r="135" spans="1:6" ht="21.75" customHeight="1">
      <c r="A135" s="211" t="s">
        <v>1193</v>
      </c>
      <c r="B135" s="212" t="str">
        <f>IFERROR(VLOOKUP(A135,'Tổng,SUMMARY'!C:D,2,0),)</f>
        <v>KS-881483</v>
      </c>
      <c r="C135" s="342">
        <v>46304</v>
      </c>
      <c r="D135" s="213"/>
      <c r="E135" s="350">
        <v>2400</v>
      </c>
      <c r="F135" s="218"/>
    </row>
    <row r="136" spans="1:6" ht="21.75" customHeight="1">
      <c r="A136" s="211" t="s">
        <v>981</v>
      </c>
      <c r="B136" s="212" t="str">
        <f>IFERROR(VLOOKUP(A136,'Tổng,SUMMARY'!C:D,2,0),)</f>
        <v>KS-881527</v>
      </c>
      <c r="C136" s="342">
        <v>46304</v>
      </c>
      <c r="D136" s="213"/>
      <c r="E136" s="350">
        <v>2200</v>
      </c>
      <c r="F136" s="218"/>
    </row>
    <row r="137" spans="1:6" ht="21.75" customHeight="1">
      <c r="A137" s="217" t="s">
        <v>1176</v>
      </c>
      <c r="B137" s="212" t="str">
        <f>IFERROR(VLOOKUP(A137,'Tổng,SUMMARY'!C:D,2,0),)</f>
        <v>KS-880624</v>
      </c>
      <c r="C137" s="342">
        <v>46304</v>
      </c>
      <c r="D137" s="213"/>
      <c r="E137" s="350">
        <v>4500</v>
      </c>
      <c r="F137" s="218"/>
    </row>
    <row r="138" spans="1:6" ht="21.75" customHeight="1">
      <c r="A138" s="211" t="s">
        <v>1281</v>
      </c>
      <c r="B138" s="212" t="str">
        <f>IFERROR(VLOOKUP(A138,'Tổng,SUMMARY'!C:D,2,0),)</f>
        <v>KS-880288</v>
      </c>
      <c r="C138" s="342">
        <v>46304</v>
      </c>
      <c r="D138" s="213"/>
      <c r="E138" s="350">
        <f>3600+700</f>
        <v>4300</v>
      </c>
      <c r="F138" s="218"/>
    </row>
    <row r="139" spans="1:6" ht="21.75" customHeight="1">
      <c r="A139" s="217" t="s">
        <v>1075</v>
      </c>
      <c r="B139" s="212" t="str">
        <f>IFERROR(VLOOKUP(A139,'Tổng,SUMMARY'!C:D,2,0),)</f>
        <v>KS-880372</v>
      </c>
      <c r="C139" s="342">
        <v>46304</v>
      </c>
      <c r="D139" s="213"/>
      <c r="E139" s="350">
        <f>2400+2400</f>
        <v>4800</v>
      </c>
      <c r="F139" s="218" t="s">
        <v>1045</v>
      </c>
    </row>
    <row r="140" spans="1:6" ht="21.75" customHeight="1">
      <c r="A140" s="211" t="s">
        <v>1048</v>
      </c>
      <c r="B140" s="212" t="str">
        <f>IFERROR(VLOOKUP(A140,'Tổng,SUMMARY'!C:D,2,0),)</f>
        <v>KS-880753</v>
      </c>
      <c r="C140" s="342">
        <v>46304</v>
      </c>
      <c r="D140" s="213"/>
      <c r="E140" s="350">
        <v>3600</v>
      </c>
      <c r="F140" s="218" t="s">
        <v>1045</v>
      </c>
    </row>
    <row r="141" spans="1:6" ht="21.75" customHeight="1">
      <c r="A141" s="217" t="s">
        <v>1054</v>
      </c>
      <c r="B141" s="212" t="str">
        <f>IFERROR(VLOOKUP(A141,'Tổng,SUMMARY'!C:D,2,0),)</f>
        <v>KS-880944</v>
      </c>
      <c r="C141" s="342">
        <v>46304</v>
      </c>
      <c r="D141" s="213"/>
      <c r="E141" s="350">
        <v>3600</v>
      </c>
      <c r="F141" s="218" t="s">
        <v>1045</v>
      </c>
    </row>
    <row r="142" spans="1:6" ht="21.75" customHeight="1">
      <c r="A142" s="217" t="s">
        <v>1301</v>
      </c>
      <c r="B142" s="212" t="str">
        <f>IFERROR(VLOOKUP(A142,'Tổng,SUMMARY'!C:D,2,0),)</f>
        <v>KS-89069</v>
      </c>
      <c r="C142" s="342">
        <v>46304</v>
      </c>
      <c r="D142" s="213"/>
      <c r="E142" s="350">
        <v>2160</v>
      </c>
      <c r="F142" s="218" t="s">
        <v>1045</v>
      </c>
    </row>
    <row r="143" spans="1:6" ht="21.75" customHeight="1">
      <c r="A143" s="217" t="s">
        <v>944</v>
      </c>
      <c r="B143" s="212" t="str">
        <f>IFERROR(VLOOKUP(A143,'Tổng,SUMMARY'!C:D,2,0),)</f>
        <v>KS-881512</v>
      </c>
      <c r="C143" s="342">
        <v>46304</v>
      </c>
      <c r="D143" s="213"/>
      <c r="E143" s="350">
        <v>3600</v>
      </c>
      <c r="F143" s="218" t="s">
        <v>1045</v>
      </c>
    </row>
    <row r="144" spans="1:6" ht="21.75" customHeight="1">
      <c r="A144" s="211" t="s">
        <v>1032</v>
      </c>
      <c r="B144" s="212" t="str">
        <f>IFERROR(VLOOKUP(A144,'Tổng,SUMMARY'!C:D,2,0),)</f>
        <v>KS-881462</v>
      </c>
      <c r="C144" s="342">
        <v>46305</v>
      </c>
      <c r="D144" s="213"/>
      <c r="E144" s="350">
        <f>2400+900</f>
        <v>3300</v>
      </c>
      <c r="F144" s="218"/>
    </row>
    <row r="145" spans="1:6" ht="21.75" customHeight="1">
      <c r="A145" s="217" t="s">
        <v>1035</v>
      </c>
      <c r="B145" s="212" t="str">
        <f>IFERROR(VLOOKUP(A145,'Tổng,SUMMARY'!C:D,2,0),)</f>
        <v>KS-880374</v>
      </c>
      <c r="C145" s="342">
        <v>46305</v>
      </c>
      <c r="D145" s="213"/>
      <c r="E145" s="350">
        <f>1000+2400</f>
        <v>3400</v>
      </c>
      <c r="F145" s="218"/>
    </row>
    <row r="146" spans="1:6" ht="21.75" customHeight="1">
      <c r="A146" s="211" t="s">
        <v>894</v>
      </c>
      <c r="B146" s="212" t="str">
        <f>IFERROR(VLOOKUP(A146,'Tổng,SUMMARY'!C:D,2,0),)</f>
        <v>KS-871382</v>
      </c>
      <c r="C146" s="342">
        <v>46305</v>
      </c>
      <c r="D146" s="213"/>
      <c r="E146" s="350">
        <f>1200+1150</f>
        <v>2350</v>
      </c>
      <c r="F146" s="218"/>
    </row>
    <row r="147" spans="1:6" ht="21.75" customHeight="1">
      <c r="A147" s="217" t="s">
        <v>1309</v>
      </c>
      <c r="B147" s="212" t="str">
        <f>IFERROR(VLOOKUP(A147,'Tổng,SUMMARY'!C:D,2,0),)</f>
        <v>KS-880913</v>
      </c>
      <c r="C147" s="342">
        <v>46305</v>
      </c>
      <c r="D147" s="213"/>
      <c r="E147" s="350">
        <v>2400</v>
      </c>
      <c r="F147" s="218"/>
    </row>
    <row r="148" spans="1:6" ht="21.75" customHeight="1">
      <c r="A148" s="211" t="s">
        <v>1090</v>
      </c>
      <c r="B148" s="212" t="str">
        <f>IFERROR(VLOOKUP(A148,'Tổng,SUMMARY'!C:D,2,0),)</f>
        <v>KS-890195</v>
      </c>
      <c r="C148" s="342">
        <v>46305</v>
      </c>
      <c r="D148" s="213"/>
      <c r="E148" s="350">
        <f>780+780+780+390</f>
        <v>2730</v>
      </c>
      <c r="F148" s="218"/>
    </row>
    <row r="149" spans="1:6" ht="21.75" customHeight="1">
      <c r="A149" s="211" t="s">
        <v>1314</v>
      </c>
      <c r="B149" s="212" t="str">
        <f>IFERROR(VLOOKUP(A149,'Tổng,SUMMARY'!C:D,2,0),)</f>
        <v>KS-880104</v>
      </c>
      <c r="C149" s="342">
        <v>46305</v>
      </c>
      <c r="D149" s="213"/>
      <c r="E149" s="350">
        <f>1200+1200</f>
        <v>2400</v>
      </c>
      <c r="F149" s="218"/>
    </row>
    <row r="150" spans="1:6" ht="21.75" customHeight="1">
      <c r="A150" s="217" t="s">
        <v>1191</v>
      </c>
      <c r="B150" s="212" t="str">
        <f>IFERROR(VLOOKUP(A150,'Tổng,SUMMARY'!C:D,2,0),)</f>
        <v>KS-870247</v>
      </c>
      <c r="C150" s="342">
        <v>46305</v>
      </c>
      <c r="D150" s="213"/>
      <c r="E150" s="350">
        <v>600</v>
      </c>
      <c r="F150" s="218"/>
    </row>
    <row r="151" spans="1:6" ht="21.75" customHeight="1">
      <c r="A151" s="217" t="s">
        <v>1199</v>
      </c>
      <c r="B151" s="212" t="str">
        <f>IFERROR(VLOOKUP(A151,'Tổng,SUMMARY'!C:D,2,0),)</f>
        <v>KS-881608</v>
      </c>
      <c r="C151" s="342">
        <v>46305</v>
      </c>
      <c r="D151" s="213"/>
      <c r="E151" s="350">
        <v>300</v>
      </c>
      <c r="F151" s="218"/>
    </row>
    <row r="152" spans="1:6" ht="21.75" customHeight="1">
      <c r="A152" s="217" t="s">
        <v>1054</v>
      </c>
      <c r="B152" s="212" t="str">
        <f>IFERROR(VLOOKUP(A152,'Tổng,SUMMARY'!C:D,2,0),)</f>
        <v>KS-880944</v>
      </c>
      <c r="C152" s="342">
        <v>46305</v>
      </c>
      <c r="D152" s="213"/>
      <c r="E152" s="350">
        <v>1200</v>
      </c>
      <c r="F152" s="218"/>
    </row>
    <row r="153" spans="1:6" ht="21.75" customHeight="1">
      <c r="A153" s="211" t="s">
        <v>1317</v>
      </c>
      <c r="B153" s="212" t="str">
        <f>IFERROR(VLOOKUP(A153,'Tổng,SUMMARY'!C:D,2,0),)</f>
        <v>KS-880615</v>
      </c>
      <c r="C153" s="342">
        <v>46305</v>
      </c>
      <c r="D153" s="213"/>
      <c r="E153" s="350">
        <v>300</v>
      </c>
      <c r="F153" s="218"/>
    </row>
    <row r="154" spans="1:6" ht="21.75" customHeight="1">
      <c r="A154" s="217" t="s">
        <v>1318</v>
      </c>
      <c r="B154" s="212" t="str">
        <f>IFERROR(VLOOKUP(A154,'Tổng,SUMMARY'!C:D,2,0),)</f>
        <v>KS-89084</v>
      </c>
      <c r="C154" s="342">
        <v>46305</v>
      </c>
      <c r="D154" s="213"/>
      <c r="E154" s="350">
        <v>60</v>
      </c>
      <c r="F154" s="218"/>
    </row>
    <row r="155" spans="1:6" ht="21.75" customHeight="1">
      <c r="A155" s="211" t="s">
        <v>1320</v>
      </c>
      <c r="B155" s="212" t="str">
        <f>IFERROR(VLOOKUP(A155,'Tổng,SUMMARY'!C:D,2,0),)</f>
        <v>KS-890209</v>
      </c>
      <c r="C155" s="342">
        <v>46305</v>
      </c>
      <c r="D155" s="213"/>
      <c r="E155" s="350">
        <v>120</v>
      </c>
      <c r="F155" s="218"/>
    </row>
    <row r="156" spans="1:6" ht="21.75" customHeight="1">
      <c r="A156" s="217" t="s">
        <v>1268</v>
      </c>
      <c r="B156" s="212" t="str">
        <f>IFERROR(VLOOKUP(A156,'Tổng,SUMMARY'!C:D,2,0),)</f>
        <v>KS-890196</v>
      </c>
      <c r="C156" s="342">
        <v>46305</v>
      </c>
      <c r="D156" s="213"/>
      <c r="E156" s="350">
        <v>180</v>
      </c>
      <c r="F156" s="218"/>
    </row>
    <row r="157" spans="1:6" ht="21.75" customHeight="1">
      <c r="A157" s="211" t="s">
        <v>800</v>
      </c>
      <c r="B157" s="212" t="str">
        <f>IFERROR(VLOOKUP(A157,'Tổng,SUMMARY'!C:D,2,0),)</f>
        <v>KS-881041</v>
      </c>
      <c r="C157" s="342">
        <v>46305</v>
      </c>
      <c r="D157" s="213"/>
      <c r="E157" s="350">
        <v>1200</v>
      </c>
      <c r="F157" s="218"/>
    </row>
    <row r="158" spans="1:6" ht="21.75" customHeight="1">
      <c r="A158" s="211" t="s">
        <v>981</v>
      </c>
      <c r="B158" s="212" t="str">
        <f>IFERROR(VLOOKUP(A158,'Tổng,SUMMARY'!C:D,2,0),)</f>
        <v>KS-881527</v>
      </c>
      <c r="C158" s="342">
        <v>46305</v>
      </c>
      <c r="D158" s="213"/>
      <c r="E158" s="350">
        <v>1200</v>
      </c>
      <c r="F158" s="218"/>
    </row>
    <row r="159" spans="1:6" ht="21.75" customHeight="1">
      <c r="A159" s="217" t="s">
        <v>1054</v>
      </c>
      <c r="B159" s="212" t="str">
        <f>IFERROR(VLOOKUP(A159,'Tổng,SUMMARY'!C:D,2,0),)</f>
        <v>KS-880944</v>
      </c>
      <c r="C159" s="342">
        <v>46307</v>
      </c>
      <c r="D159" s="213"/>
      <c r="E159" s="350">
        <v>3600</v>
      </c>
      <c r="F159" s="218" t="s">
        <v>1045</v>
      </c>
    </row>
    <row r="160" spans="1:6" ht="21.75" customHeight="1">
      <c r="A160" s="217" t="s">
        <v>1329</v>
      </c>
      <c r="B160" s="212" t="str">
        <f>IFERROR(VLOOKUP(A160,'Tổng,SUMMARY'!C:D,2,0),)</f>
        <v>KS-89069</v>
      </c>
      <c r="C160" s="342">
        <v>46307</v>
      </c>
      <c r="D160" s="213"/>
      <c r="E160" s="350">
        <v>2160</v>
      </c>
      <c r="F160" s="218" t="s">
        <v>1045</v>
      </c>
    </row>
    <row r="161" spans="1:6" ht="21.75" customHeight="1">
      <c r="A161" s="217" t="s">
        <v>1330</v>
      </c>
      <c r="B161" s="212" t="str">
        <f>IFERROR(VLOOKUP(A161,'Tổng,SUMMARY'!C:D,2,0),)</f>
        <v>KS-881080</v>
      </c>
      <c r="C161" s="342">
        <v>46307</v>
      </c>
      <c r="D161" s="213"/>
      <c r="E161" s="350">
        <v>2000</v>
      </c>
      <c r="F161" s="218" t="s">
        <v>1045</v>
      </c>
    </row>
    <row r="162" spans="1:6" ht="21.75" customHeight="1">
      <c r="A162" s="217" t="s">
        <v>1335</v>
      </c>
      <c r="B162" s="212" t="str">
        <f>IFERROR(VLOOKUP(A162,'Tổng,SUMMARY'!C:D,2,0),)</f>
        <v>KS-881300</v>
      </c>
      <c r="C162" s="342">
        <v>46307</v>
      </c>
      <c r="D162" s="213"/>
      <c r="E162" s="350">
        <v>2000</v>
      </c>
      <c r="F162" s="218" t="s">
        <v>1045</v>
      </c>
    </row>
    <row r="163" spans="1:6" ht="21.75" customHeight="1">
      <c r="A163" s="217" t="s">
        <v>1336</v>
      </c>
      <c r="B163" s="212" t="str">
        <f>IFERROR(VLOOKUP(A163,'Tổng,SUMMARY'!C:D,2,0),)</f>
        <v>KS-8605</v>
      </c>
      <c r="C163" s="342">
        <v>46307</v>
      </c>
      <c r="D163" s="213"/>
      <c r="E163" s="350">
        <v>2850</v>
      </c>
      <c r="F163" s="218" t="s">
        <v>1045</v>
      </c>
    </row>
    <row r="164" spans="1:6" ht="21.75" customHeight="1">
      <c r="A164" s="217" t="s">
        <v>1337</v>
      </c>
      <c r="B164" s="212" t="str">
        <f>IFERROR(VLOOKUP(A164,'Tổng,SUMMARY'!C:D,2,0),)</f>
        <v>KS-880372</v>
      </c>
      <c r="C164" s="342">
        <v>46307</v>
      </c>
      <c r="D164" s="213"/>
      <c r="E164" s="350">
        <v>2400</v>
      </c>
      <c r="F164" s="218" t="s">
        <v>1045</v>
      </c>
    </row>
    <row r="165" spans="1:6" ht="21.75" customHeight="1">
      <c r="A165" s="211" t="s">
        <v>1088</v>
      </c>
      <c r="B165" s="212" t="str">
        <f>IFERROR(VLOOKUP(A165,'Tổng,SUMMARY'!C:D,2,0),)</f>
        <v>KS-881041</v>
      </c>
      <c r="C165" s="342">
        <v>46308</v>
      </c>
      <c r="D165" s="213"/>
      <c r="E165" s="350">
        <v>1200</v>
      </c>
      <c r="F165" s="218"/>
    </row>
    <row r="166" spans="1:6" ht="21.75" customHeight="1">
      <c r="A166" s="217" t="s">
        <v>1054</v>
      </c>
      <c r="B166" s="212" t="str">
        <f>IFERROR(VLOOKUP(A166,'Tổng,SUMMARY'!C:D,2,0),)</f>
        <v>KS-880944</v>
      </c>
      <c r="C166" s="342">
        <v>46308</v>
      </c>
      <c r="D166" s="213"/>
      <c r="E166" s="350">
        <v>1200</v>
      </c>
      <c r="F166" s="218"/>
    </row>
    <row r="167" spans="1:6" ht="21.75" customHeight="1">
      <c r="A167" s="211" t="s">
        <v>1193</v>
      </c>
      <c r="B167" s="212" t="str">
        <f>IFERROR(VLOOKUP(A167,'Tổng,SUMMARY'!C:D,2,0),)</f>
        <v>KS-881483</v>
      </c>
      <c r="C167" s="342">
        <v>46308</v>
      </c>
      <c r="D167" s="213"/>
      <c r="E167" s="350">
        <v>1800</v>
      </c>
      <c r="F167" s="218"/>
    </row>
    <row r="168" spans="1:6" ht="21.75" customHeight="1">
      <c r="A168" s="219" t="s">
        <v>1267</v>
      </c>
      <c r="B168" s="212" t="str">
        <f>IFERROR(VLOOKUP(A168,'Tổng,SUMMARY'!C:D,2,0),)</f>
        <v>KS-880731</v>
      </c>
      <c r="C168" s="342">
        <v>46308</v>
      </c>
      <c r="D168" s="213"/>
      <c r="E168" s="350">
        <f>950+3600</f>
        <v>4550</v>
      </c>
      <c r="F168" s="218"/>
    </row>
    <row r="169" spans="1:6" ht="21.75" customHeight="1">
      <c r="A169" s="211" t="s">
        <v>1180</v>
      </c>
      <c r="B169" s="212" t="str">
        <f>IFERROR(VLOOKUP(A169,'Tổng,SUMMARY'!C:D,2,0),)</f>
        <v>KS-871056</v>
      </c>
      <c r="C169" s="342">
        <v>46308</v>
      </c>
      <c r="D169" s="213"/>
      <c r="E169" s="350">
        <f>1200+2400</f>
        <v>3600</v>
      </c>
      <c r="F169" s="218"/>
    </row>
    <row r="170" spans="1:6" ht="21.75" customHeight="1">
      <c r="A170" s="211" t="s">
        <v>1032</v>
      </c>
      <c r="B170" s="212" t="str">
        <f>IFERROR(VLOOKUP(A170,'Tổng,SUMMARY'!C:D,2,0),)</f>
        <v>KS-881462</v>
      </c>
      <c r="C170" s="342">
        <v>46308</v>
      </c>
      <c r="D170" s="213"/>
      <c r="E170" s="350">
        <f>900+1100+1000+600</f>
        <v>3600</v>
      </c>
      <c r="F170" s="218"/>
    </row>
    <row r="171" spans="1:6" ht="21.75" customHeight="1">
      <c r="A171" s="217" t="s">
        <v>1035</v>
      </c>
      <c r="B171" s="212" t="str">
        <f>IFERROR(VLOOKUP(A171,'Tổng,SUMMARY'!C:D,2,0),)</f>
        <v>KS-880374</v>
      </c>
      <c r="C171" s="342">
        <v>46308</v>
      </c>
      <c r="D171" s="213"/>
      <c r="E171" s="350">
        <f>1200+700</f>
        <v>1900</v>
      </c>
      <c r="F171" s="220"/>
    </row>
    <row r="172" spans="1:6" ht="21.75" customHeight="1">
      <c r="A172" s="211" t="s">
        <v>981</v>
      </c>
      <c r="B172" s="212" t="str">
        <f>IFERROR(VLOOKUP(A172,'Tổng,SUMMARY'!C:D,2,0),)</f>
        <v>KS-881527</v>
      </c>
      <c r="C172" s="342">
        <v>46308</v>
      </c>
      <c r="D172" s="213"/>
      <c r="E172" s="350">
        <v>2400</v>
      </c>
      <c r="F172" s="220"/>
    </row>
    <row r="173" spans="1:6" ht="21.75" customHeight="1">
      <c r="A173" s="217" t="s">
        <v>1075</v>
      </c>
      <c r="B173" s="212" t="str">
        <f>IFERROR(VLOOKUP(A173,'Tổng,SUMMARY'!C:D,2,0),)</f>
        <v>KS-880372</v>
      </c>
      <c r="C173" s="342">
        <v>46308</v>
      </c>
      <c r="D173" s="213"/>
      <c r="E173" s="350">
        <v>1850</v>
      </c>
      <c r="F173" s="218" t="s">
        <v>1045</v>
      </c>
    </row>
    <row r="174" spans="1:6" ht="21.75" customHeight="1">
      <c r="A174" s="217" t="s">
        <v>1369</v>
      </c>
      <c r="B174" s="212" t="str">
        <f>IFERROR(VLOOKUP(A174,'Tổng,SUMMARY'!C:D,2,0),)</f>
        <v>KS-86015</v>
      </c>
      <c r="C174" s="342">
        <v>46308</v>
      </c>
      <c r="D174" s="213"/>
      <c r="E174" s="350">
        <v>3600</v>
      </c>
      <c r="F174" s="218" t="s">
        <v>1045</v>
      </c>
    </row>
    <row r="175" spans="1:6" ht="21.75" customHeight="1">
      <c r="A175" s="217" t="s">
        <v>1370</v>
      </c>
      <c r="B175" s="212" t="str">
        <f>IFERROR(VLOOKUP(A175,'Tổng,SUMMARY'!C:D,2,0),)</f>
        <v>KS-881080</v>
      </c>
      <c r="C175" s="342">
        <v>46308</v>
      </c>
      <c r="D175" s="213"/>
      <c r="E175" s="350">
        <f>2000+2000</f>
        <v>4000</v>
      </c>
      <c r="F175" s="218" t="s">
        <v>1045</v>
      </c>
    </row>
    <row r="176" spans="1:6" ht="21.75" customHeight="1">
      <c r="A176" s="217" t="s">
        <v>1054</v>
      </c>
      <c r="B176" s="212" t="str">
        <f>IFERROR(VLOOKUP(A176,'Tổng,SUMMARY'!C:D,2,0),)</f>
        <v>KS-880944</v>
      </c>
      <c r="C176" s="342">
        <v>46308</v>
      </c>
      <c r="D176" s="213"/>
      <c r="E176" s="350">
        <v>3600</v>
      </c>
      <c r="F176" s="218" t="s">
        <v>1045</v>
      </c>
    </row>
    <row r="177" spans="1:6" ht="21.75" customHeight="1">
      <c r="A177" s="217" t="s">
        <v>1335</v>
      </c>
      <c r="B177" s="212" t="str">
        <f>IFERROR(VLOOKUP(A177,'Tổng,SUMMARY'!C:D,2,0),)</f>
        <v>KS-881300</v>
      </c>
      <c r="C177" s="342">
        <v>46308</v>
      </c>
      <c r="D177" s="213"/>
      <c r="E177" s="350">
        <v>2000</v>
      </c>
      <c r="F177" s="218" t="s">
        <v>1045</v>
      </c>
    </row>
    <row r="178" spans="1:6" ht="21.75" customHeight="1">
      <c r="A178" s="211" t="s">
        <v>1048</v>
      </c>
      <c r="B178" s="212" t="str">
        <f>IFERROR(VLOOKUP(A178,'Tổng,SUMMARY'!C:D,2,0),)</f>
        <v>KS-880753</v>
      </c>
      <c r="C178" s="342">
        <v>46308</v>
      </c>
      <c r="D178" s="213"/>
      <c r="E178" s="350">
        <v>3600</v>
      </c>
      <c r="F178" s="218" t="s">
        <v>1045</v>
      </c>
    </row>
    <row r="179" spans="1:6" ht="21.75" customHeight="1">
      <c r="A179" s="211" t="s">
        <v>1032</v>
      </c>
      <c r="B179" s="212" t="str">
        <f>IFERROR(VLOOKUP(A179,'Tổng,SUMMARY'!C:D,2,0),)</f>
        <v>KS-881462</v>
      </c>
      <c r="C179" s="342">
        <v>46309</v>
      </c>
      <c r="D179" s="213"/>
      <c r="E179" s="350">
        <f>1200+1200</f>
        <v>2400</v>
      </c>
      <c r="F179" s="220"/>
    </row>
    <row r="180" spans="1:6" ht="21.75" customHeight="1">
      <c r="A180" s="211" t="s">
        <v>1117</v>
      </c>
      <c r="B180" s="212" t="str">
        <f>IFERROR(VLOOKUP(A180,'Tổng,SUMMARY'!C:D,2,0),)</f>
        <v>KS-881362</v>
      </c>
      <c r="C180" s="342">
        <v>46309</v>
      </c>
      <c r="D180" s="213"/>
      <c r="E180" s="350">
        <f>1200+850</f>
        <v>2050</v>
      </c>
      <c r="F180" s="218"/>
    </row>
    <row r="181" spans="1:6" ht="21.75" customHeight="1">
      <c r="A181" s="211" t="s">
        <v>894</v>
      </c>
      <c r="B181" s="212" t="str">
        <f>IFERROR(VLOOKUP(A181,'Tổng,SUMMARY'!C:D,2,0),)</f>
        <v>KS-871382</v>
      </c>
      <c r="C181" s="342">
        <v>46309</v>
      </c>
      <c r="D181" s="213"/>
      <c r="E181" s="350">
        <v>1150</v>
      </c>
      <c r="F181" s="218"/>
    </row>
    <row r="182" spans="1:6" ht="21.75" customHeight="1">
      <c r="A182" s="217" t="s">
        <v>1035</v>
      </c>
      <c r="B182" s="212" t="str">
        <f>IFERROR(VLOOKUP(A182,'Tổng,SUMMARY'!C:D,2,0),)</f>
        <v>KS-880374</v>
      </c>
      <c r="C182" s="342">
        <v>46309</v>
      </c>
      <c r="D182" s="213"/>
      <c r="E182" s="350">
        <v>1200</v>
      </c>
      <c r="F182" s="218"/>
    </row>
    <row r="183" spans="1:6" ht="21.75" customHeight="1">
      <c r="A183" s="217" t="s">
        <v>1353</v>
      </c>
      <c r="B183" s="212" t="str">
        <f>IFERROR(VLOOKUP(A183,'Tổng,SUMMARY'!C:D,2,0),)</f>
        <v>KS-880104</v>
      </c>
      <c r="C183" s="342">
        <v>46309</v>
      </c>
      <c r="D183" s="213"/>
      <c r="E183" s="350">
        <v>1050</v>
      </c>
      <c r="F183" s="218"/>
    </row>
    <row r="184" spans="1:6" ht="21.75" customHeight="1">
      <c r="A184" s="217" t="s">
        <v>1355</v>
      </c>
      <c r="B184" s="212" t="str">
        <f>IFERROR(VLOOKUP(A184,'Tổng,SUMMARY'!C:D,2,0),)</f>
        <v>KS-880913</v>
      </c>
      <c r="C184" s="342">
        <v>46309</v>
      </c>
      <c r="D184" s="213"/>
      <c r="E184" s="350">
        <v>1150</v>
      </c>
      <c r="F184" s="218"/>
    </row>
    <row r="185" spans="1:6" ht="21.75" customHeight="1">
      <c r="A185" s="217" t="s">
        <v>1054</v>
      </c>
      <c r="B185" s="212" t="str">
        <f>IFERROR(VLOOKUP(A185,'Tổng,SUMMARY'!C:D,2,0),)</f>
        <v>KS-880944</v>
      </c>
      <c r="C185" s="342">
        <v>46309</v>
      </c>
      <c r="D185" s="213"/>
      <c r="E185" s="350">
        <v>2400</v>
      </c>
      <c r="F185" s="218"/>
    </row>
    <row r="186" spans="1:6" ht="21.75" customHeight="1">
      <c r="A186" s="211" t="s">
        <v>800</v>
      </c>
      <c r="B186" s="212" t="str">
        <f>IFERROR(VLOOKUP(A186,'Tổng,SUMMARY'!C:D,2,0),)</f>
        <v>KS-881041</v>
      </c>
      <c r="C186" s="342">
        <v>46309</v>
      </c>
      <c r="D186" s="213"/>
      <c r="E186" s="350">
        <f>1200+750</f>
        <v>1950</v>
      </c>
      <c r="F186" s="218"/>
    </row>
    <row r="187" spans="1:6" ht="21.75" customHeight="1">
      <c r="A187" s="211" t="s">
        <v>1090</v>
      </c>
      <c r="B187" s="212" t="str">
        <f>IFERROR(VLOOKUP(A187,'Tổng,SUMMARY'!C:D,2,0),)</f>
        <v>KS-890195</v>
      </c>
      <c r="C187" s="342">
        <v>46309</v>
      </c>
      <c r="D187" s="213"/>
      <c r="E187" s="350">
        <f>780+780+780</f>
        <v>2340</v>
      </c>
      <c r="F187" s="215"/>
    </row>
    <row r="188" spans="1:6" ht="21.75" customHeight="1">
      <c r="A188" s="211" t="s">
        <v>1362</v>
      </c>
      <c r="B188" s="212" t="str">
        <f>IFERROR(VLOOKUP(A188,'Tổng,SUMMARY'!C:D,2,0),)</f>
        <v>KS-880822</v>
      </c>
      <c r="C188" s="342">
        <v>46309</v>
      </c>
      <c r="D188" s="213"/>
      <c r="E188" s="350">
        <v>4800</v>
      </c>
      <c r="F188" s="215"/>
    </row>
    <row r="189" spans="1:6" ht="21.75" customHeight="1">
      <c r="A189" s="221" t="s">
        <v>944</v>
      </c>
      <c r="B189" s="212" t="str">
        <f>IFERROR(VLOOKUP(A189,'Tổng,SUMMARY'!C:D,2,0),)</f>
        <v>KS-881512</v>
      </c>
      <c r="C189" s="342">
        <v>46309</v>
      </c>
      <c r="D189" s="222"/>
      <c r="E189" s="350">
        <f>3600+3600</f>
        <v>7200</v>
      </c>
      <c r="F189" s="218" t="s">
        <v>1045</v>
      </c>
    </row>
    <row r="190" spans="1:6" ht="21.75" customHeight="1">
      <c r="A190" s="217" t="s">
        <v>1335</v>
      </c>
      <c r="B190" s="212" t="str">
        <f>IFERROR(VLOOKUP(A190,'Tổng,SUMMARY'!C:D,2,0),)</f>
        <v>KS-881300</v>
      </c>
      <c r="C190" s="342">
        <v>46309</v>
      </c>
      <c r="D190" s="222"/>
      <c r="E190" s="350">
        <v>2000</v>
      </c>
      <c r="F190" s="218" t="s">
        <v>1045</v>
      </c>
    </row>
    <row r="191" spans="1:6" ht="21.75" customHeight="1">
      <c r="A191" s="211" t="s">
        <v>894</v>
      </c>
      <c r="B191" s="212" t="str">
        <f>IFERROR(VLOOKUP(A191,'Tổng,SUMMARY'!C:D,2,0),)</f>
        <v>KS-871382</v>
      </c>
      <c r="C191" s="342">
        <v>46310</v>
      </c>
      <c r="D191" s="222"/>
      <c r="E191" s="350">
        <v>1000</v>
      </c>
      <c r="F191" s="215"/>
    </row>
    <row r="192" spans="1:6" ht="21.75" customHeight="1">
      <c r="A192" s="211" t="s">
        <v>800</v>
      </c>
      <c r="B192" s="212" t="str">
        <f>IFERROR(VLOOKUP(A192,'Tổng,SUMMARY'!C:D,2,0),)</f>
        <v>KS-881041</v>
      </c>
      <c r="C192" s="342">
        <v>46310</v>
      </c>
      <c r="D192" s="222"/>
      <c r="E192" s="350">
        <v>1200</v>
      </c>
      <c r="F192" s="215"/>
    </row>
    <row r="193" spans="1:6" ht="21.75" customHeight="1">
      <c r="A193" s="217" t="s">
        <v>1054</v>
      </c>
      <c r="B193" s="212" t="str">
        <f>IFERROR(VLOOKUP(A193,'Tổng,SUMMARY'!C:D,2,0),)</f>
        <v>KS-880944</v>
      </c>
      <c r="C193" s="342">
        <v>46310</v>
      </c>
      <c r="D193" s="213"/>
      <c r="E193" s="350">
        <f>3600+3600</f>
        <v>7200</v>
      </c>
      <c r="F193" s="218" t="s">
        <v>1045</v>
      </c>
    </row>
    <row r="194" spans="1:6" ht="21.75" customHeight="1">
      <c r="A194" s="217" t="s">
        <v>815</v>
      </c>
      <c r="B194" s="212" t="str">
        <f>IFERROR(VLOOKUP(A194,'Tổng,SUMMARY'!C:D,2,0),)</f>
        <v>KS-89069</v>
      </c>
      <c r="C194" s="342">
        <v>46310</v>
      </c>
      <c r="D194" s="213"/>
      <c r="E194" s="350">
        <v>2160</v>
      </c>
      <c r="F194" s="218" t="s">
        <v>1045</v>
      </c>
    </row>
    <row r="195" spans="1:6" ht="21.75" customHeight="1">
      <c r="A195" s="217" t="s">
        <v>1399</v>
      </c>
      <c r="B195" s="212" t="str">
        <f>IFERROR(VLOOKUP(A195,'Tổng,SUMMARY'!C:D,2,0),)</f>
        <v>KS-881478</v>
      </c>
      <c r="C195" s="342">
        <v>46310</v>
      </c>
      <c r="D195" s="213"/>
      <c r="E195" s="350">
        <v>500</v>
      </c>
      <c r="F195" s="218"/>
    </row>
    <row r="196" spans="1:6" ht="21.75" customHeight="1">
      <c r="A196" s="217" t="s">
        <v>1398</v>
      </c>
      <c r="B196" s="212" t="str">
        <f>IFERROR(VLOOKUP(A196,'Tổng,SUMMARY'!C:D,2,0),)</f>
        <v>KS-881478</v>
      </c>
      <c r="C196" s="342">
        <v>46311</v>
      </c>
      <c r="D196" s="213"/>
      <c r="E196" s="350">
        <v>600</v>
      </c>
      <c r="F196" s="218"/>
    </row>
    <row r="197" spans="1:6" ht="21.75" customHeight="1">
      <c r="A197" s="211" t="s">
        <v>1193</v>
      </c>
      <c r="B197" s="212" t="str">
        <f>IFERROR(VLOOKUP(A197,'Tổng,SUMMARY'!C:D,2,0),)</f>
        <v>KS-881483</v>
      </c>
      <c r="C197" s="342">
        <v>46311</v>
      </c>
      <c r="D197" s="213"/>
      <c r="E197" s="350">
        <v>1200</v>
      </c>
      <c r="F197" s="218"/>
    </row>
    <row r="198" spans="1:6" ht="21.75" customHeight="1">
      <c r="A198" s="211" t="s">
        <v>1402</v>
      </c>
      <c r="B198" s="212" t="str">
        <f>IFERROR(VLOOKUP(A198,'Tổng,SUMMARY'!C:D,2,0),)</f>
        <v>KS-871319</v>
      </c>
      <c r="C198" s="342">
        <v>46311</v>
      </c>
      <c r="D198" s="213"/>
      <c r="E198" s="350">
        <v>300</v>
      </c>
      <c r="F198" s="218"/>
    </row>
    <row r="199" spans="1:6" ht="21.75" customHeight="1">
      <c r="A199" s="211" t="s">
        <v>1404</v>
      </c>
      <c r="B199" s="212" t="str">
        <f>IFERROR(VLOOKUP(A199,'Tổng,SUMMARY'!C:D,2,0),)</f>
        <v>KS-880913</v>
      </c>
      <c r="C199" s="342">
        <v>46311</v>
      </c>
      <c r="D199" s="213"/>
      <c r="E199" s="350">
        <v>550</v>
      </c>
      <c r="F199" s="215"/>
    </row>
    <row r="200" spans="1:6" ht="21.75" customHeight="1">
      <c r="A200" s="211" t="s">
        <v>981</v>
      </c>
      <c r="B200" s="212" t="str">
        <f>IFERROR(VLOOKUP(A200,'Tổng,SUMMARY'!C:D,2,0),)</f>
        <v>KS-881527</v>
      </c>
      <c r="C200" s="342">
        <v>46311</v>
      </c>
      <c r="D200" s="213"/>
      <c r="E200" s="350">
        <v>1200</v>
      </c>
      <c r="F200" s="215"/>
    </row>
    <row r="201" spans="1:6" ht="21.75" customHeight="1">
      <c r="A201" s="211" t="s">
        <v>1405</v>
      </c>
      <c r="B201" s="212" t="str">
        <f>IFERROR(VLOOKUP(A201,'Tổng,SUMMARY'!C:D,2,0),)</f>
        <v>KS-880120</v>
      </c>
      <c r="C201" s="342">
        <v>46311</v>
      </c>
      <c r="D201" s="213"/>
      <c r="E201" s="350">
        <v>600</v>
      </c>
      <c r="F201" s="215"/>
    </row>
    <row r="202" spans="1:6" ht="21.75" customHeight="1">
      <c r="A202" s="211" t="s">
        <v>800</v>
      </c>
      <c r="B202" s="212" t="str">
        <f>IFERROR(VLOOKUP(A202,'Tổng,SUMMARY'!C:D,2,0),)</f>
        <v>KS-881041</v>
      </c>
      <c r="C202" s="342">
        <v>46311</v>
      </c>
      <c r="D202" s="213"/>
      <c r="E202" s="350">
        <v>550</v>
      </c>
      <c r="F202" s="215"/>
    </row>
    <row r="203" spans="1:6" ht="21.75" customHeight="1">
      <c r="A203" s="211" t="s">
        <v>1408</v>
      </c>
      <c r="B203" s="212" t="str">
        <f>IFERROR(VLOOKUP(A203,'Tổng,SUMMARY'!C:D,2,0),)</f>
        <v>KS-880731</v>
      </c>
      <c r="C203" s="342">
        <v>46311</v>
      </c>
      <c r="D203" s="213"/>
      <c r="E203" s="350">
        <v>1200</v>
      </c>
      <c r="F203" s="215"/>
    </row>
    <row r="204" spans="1:6" ht="21.75" customHeight="1">
      <c r="A204" s="211" t="s">
        <v>894</v>
      </c>
      <c r="B204" s="212" t="str">
        <f>IFERROR(VLOOKUP(A204,'Tổng,SUMMARY'!C:D,2,0),)</f>
        <v>KS-871382</v>
      </c>
      <c r="C204" s="342">
        <v>46311</v>
      </c>
      <c r="D204" s="213"/>
      <c r="E204" s="350">
        <f>1000+1150</f>
        <v>2150</v>
      </c>
      <c r="F204" s="215"/>
    </row>
    <row r="205" spans="1:6" ht="21.75" customHeight="1">
      <c r="A205" s="217" t="s">
        <v>1054</v>
      </c>
      <c r="B205" s="212" t="str">
        <f>IFERROR(VLOOKUP(A205,'Tổng,SUMMARY'!C:D,2,0),)</f>
        <v>KS-880944</v>
      </c>
      <c r="C205" s="342">
        <v>46311</v>
      </c>
      <c r="D205" s="213"/>
      <c r="E205" s="350">
        <v>1800</v>
      </c>
      <c r="F205" s="218"/>
    </row>
    <row r="206" spans="1:6" ht="21.75" customHeight="1">
      <c r="A206" s="217" t="s">
        <v>1035</v>
      </c>
      <c r="B206" s="212" t="str">
        <f>IFERROR(VLOOKUP(A206,'Tổng,SUMMARY'!C:D,2,0),)</f>
        <v>KS-880374</v>
      </c>
      <c r="C206" s="342">
        <v>46311</v>
      </c>
      <c r="D206" s="213"/>
      <c r="E206" s="350">
        <f>500+1000+1200+1200</f>
        <v>3900</v>
      </c>
      <c r="F206" s="218"/>
    </row>
    <row r="207" spans="1:6" ht="21.75" customHeight="1">
      <c r="A207" s="217" t="s">
        <v>1414</v>
      </c>
      <c r="B207" s="212" t="str">
        <f>IFERROR(VLOOKUP(A207,'Tổng,SUMMARY'!C:D,2,0),)</f>
        <v>KS-890195</v>
      </c>
      <c r="C207" s="342">
        <v>46311</v>
      </c>
      <c r="D207" s="222"/>
      <c r="E207" s="350">
        <f>750+780+780+780+780+780</f>
        <v>4650</v>
      </c>
      <c r="F207" s="218"/>
    </row>
    <row r="208" spans="1:6" ht="21.75" customHeight="1">
      <c r="A208" s="211" t="s">
        <v>1362</v>
      </c>
      <c r="B208" s="212" t="str">
        <f>IFERROR(VLOOKUP(A208,'Tổng,SUMMARY'!C:D,2,0),)</f>
        <v>KS-880822</v>
      </c>
      <c r="C208" s="342">
        <v>46311</v>
      </c>
      <c r="D208" s="222"/>
      <c r="E208" s="350">
        <v>1200</v>
      </c>
      <c r="F208" s="218"/>
    </row>
    <row r="209" spans="1:6" ht="21.75" customHeight="1">
      <c r="A209" s="211" t="s">
        <v>1032</v>
      </c>
      <c r="B209" s="212" t="str">
        <f>IFERROR(VLOOKUP(A209,'Tổng,SUMMARY'!C:D,2,0),)</f>
        <v>KS-881462</v>
      </c>
      <c r="C209" s="342">
        <v>46311</v>
      </c>
      <c r="D209" s="213"/>
      <c r="E209" s="350">
        <f>1300+1200+1100</f>
        <v>3600</v>
      </c>
      <c r="F209" s="215"/>
    </row>
    <row r="210" spans="1:6" ht="21.75" customHeight="1">
      <c r="A210" s="217" t="s">
        <v>1335</v>
      </c>
      <c r="B210" s="212" t="str">
        <f>IFERROR(VLOOKUP(A210,'Tổng,SUMMARY'!C:D,2,0),)</f>
        <v>KS-881300</v>
      </c>
      <c r="C210" s="342">
        <v>46311</v>
      </c>
      <c r="D210" s="213"/>
      <c r="E210" s="350">
        <f>2000+2000</f>
        <v>4000</v>
      </c>
      <c r="F210" s="218" t="s">
        <v>1045</v>
      </c>
    </row>
    <row r="211" spans="1:6" ht="21.75" customHeight="1">
      <c r="A211" s="217" t="s">
        <v>815</v>
      </c>
      <c r="B211" s="212" t="str">
        <f>IFERROR(VLOOKUP(A211,'Tổng,SUMMARY'!C:D,2,0),)</f>
        <v>KS-89069</v>
      </c>
      <c r="C211" s="342">
        <v>46311</v>
      </c>
      <c r="D211" s="213"/>
      <c r="E211" s="350">
        <f>2160+2160</f>
        <v>4320</v>
      </c>
      <c r="F211" s="218" t="s">
        <v>1045</v>
      </c>
    </row>
    <row r="212" spans="1:6" ht="21.75" customHeight="1">
      <c r="A212" s="211" t="s">
        <v>1048</v>
      </c>
      <c r="B212" s="212" t="str">
        <f>IFERROR(VLOOKUP(A212,'Tổng,SUMMARY'!C:D,2,0),)</f>
        <v>KS-880753</v>
      </c>
      <c r="C212" s="342">
        <v>46311</v>
      </c>
      <c r="D212" s="213"/>
      <c r="E212" s="350">
        <v>1350</v>
      </c>
      <c r="F212" s="218" t="s">
        <v>1045</v>
      </c>
    </row>
    <row r="213" spans="1:6" ht="21.75" customHeight="1">
      <c r="A213" s="217" t="s">
        <v>1075</v>
      </c>
      <c r="B213" s="212" t="str">
        <f>IFERROR(VLOOKUP(A213,'Tổng,SUMMARY'!C:D,2,0),)</f>
        <v>KS-880372</v>
      </c>
      <c r="C213" s="342">
        <v>46311</v>
      </c>
      <c r="D213" s="213"/>
      <c r="E213" s="350">
        <v>2400</v>
      </c>
      <c r="F213" s="218" t="s">
        <v>1045</v>
      </c>
    </row>
    <row r="214" spans="1:6" ht="21.75" customHeight="1">
      <c r="A214" s="217" t="s">
        <v>1054</v>
      </c>
      <c r="B214" s="212" t="str">
        <f>IFERROR(VLOOKUP(A214,'Tổng,SUMMARY'!C:D,2,0),)</f>
        <v>KS-880944</v>
      </c>
      <c r="C214" s="342">
        <v>46311</v>
      </c>
      <c r="D214" s="213"/>
      <c r="E214" s="350">
        <v>3600</v>
      </c>
      <c r="F214" s="218" t="s">
        <v>1045</v>
      </c>
    </row>
    <row r="215" spans="1:6" ht="21.75" customHeight="1">
      <c r="A215" s="217" t="s">
        <v>1430</v>
      </c>
      <c r="B215" s="212" t="str">
        <f>IFERROR(VLOOKUP(A215,'Tổng,SUMMARY'!C:D,2,0),)</f>
        <v>KS-881080</v>
      </c>
      <c r="C215" s="342">
        <v>46311</v>
      </c>
      <c r="D215" s="213"/>
      <c r="E215" s="350">
        <v>2000</v>
      </c>
      <c r="F215" s="218" t="s">
        <v>1045</v>
      </c>
    </row>
    <row r="216" spans="1:6" ht="21.75" customHeight="1">
      <c r="A216" s="217" t="s">
        <v>1090</v>
      </c>
      <c r="B216" s="212" t="str">
        <f>IFERROR(VLOOKUP(A216,'Tổng,SUMMARY'!C:D,2,0),)</f>
        <v>KS-890195</v>
      </c>
      <c r="C216" s="342">
        <v>46312</v>
      </c>
      <c r="D216" s="213"/>
      <c r="E216" s="350">
        <v>780</v>
      </c>
      <c r="F216" s="215"/>
    </row>
    <row r="217" spans="1:6" ht="21.75" customHeight="1">
      <c r="A217" s="211" t="s">
        <v>981</v>
      </c>
      <c r="B217" s="212" t="str">
        <f>IFERROR(VLOOKUP(A217,'Tổng,SUMMARY'!C:D,2,0),)</f>
        <v>KS-881527</v>
      </c>
      <c r="C217" s="342">
        <v>46312</v>
      </c>
      <c r="D217" s="213"/>
      <c r="E217" s="350">
        <v>2400</v>
      </c>
      <c r="F217" s="215"/>
    </row>
    <row r="218" spans="1:6" ht="21.75" customHeight="1">
      <c r="A218" s="142" t="s">
        <v>920</v>
      </c>
      <c r="B218" s="212" t="str">
        <f>IFERROR(VLOOKUP(A218,'Tổng,SUMMARY'!C:D,2,0),)</f>
        <v>KS-880822</v>
      </c>
      <c r="C218" s="342">
        <v>46312</v>
      </c>
      <c r="D218" s="213"/>
      <c r="E218" s="350">
        <v>1300</v>
      </c>
      <c r="F218" s="215"/>
    </row>
    <row r="219" spans="1:6" ht="21.75" customHeight="1">
      <c r="A219" s="217" t="s">
        <v>1035</v>
      </c>
      <c r="B219" s="212" t="str">
        <f>IFERROR(VLOOKUP(A219,'Tổng,SUMMARY'!C:D,2,0),)</f>
        <v>KS-880374</v>
      </c>
      <c r="C219" s="342">
        <v>46312</v>
      </c>
      <c r="D219" s="213"/>
      <c r="E219" s="350">
        <v>2400</v>
      </c>
      <c r="F219" s="215"/>
    </row>
    <row r="220" spans="1:6" ht="21.75" customHeight="1">
      <c r="A220" s="211" t="s">
        <v>1032</v>
      </c>
      <c r="B220" s="212" t="str">
        <f>IFERROR(VLOOKUP(A220,'Tổng,SUMMARY'!C:D,2,0),)</f>
        <v>KS-881462</v>
      </c>
      <c r="C220" s="342">
        <v>46312</v>
      </c>
      <c r="D220" s="213"/>
      <c r="E220" s="350">
        <v>1700</v>
      </c>
      <c r="F220" s="215"/>
    </row>
    <row r="221" spans="1:6" ht="21.75" customHeight="1">
      <c r="A221" s="211" t="s">
        <v>1259</v>
      </c>
      <c r="B221" s="212" t="str">
        <f>IFERROR(VLOOKUP(A221,'Tổng,SUMMARY'!C:D,2,0),)</f>
        <v>KS-870247</v>
      </c>
      <c r="C221" s="342">
        <v>46312</v>
      </c>
      <c r="D221" s="213"/>
      <c r="E221" s="350">
        <v>2100</v>
      </c>
      <c r="F221" s="215"/>
    </row>
    <row r="222" spans="1:6" ht="21.75" customHeight="1">
      <c r="A222" s="217" t="s">
        <v>1054</v>
      </c>
      <c r="B222" s="212" t="str">
        <f>IFERROR(VLOOKUP(A222,'Tổng,SUMMARY'!C:D,2,0),)</f>
        <v>KS-880944</v>
      </c>
      <c r="C222" s="342">
        <v>46312</v>
      </c>
      <c r="D222" s="213"/>
      <c r="E222" s="350">
        <v>1200</v>
      </c>
      <c r="F222" s="218"/>
    </row>
    <row r="223" spans="1:6" ht="21.75" customHeight="1">
      <c r="A223" s="139" t="s">
        <v>1398</v>
      </c>
      <c r="B223" s="212" t="str">
        <f>IFERROR(VLOOKUP(A223,'Tổng,SUMMARY'!C:D,2,0),)</f>
        <v>KS-881478</v>
      </c>
      <c r="C223" s="342">
        <v>46312</v>
      </c>
      <c r="D223" s="213"/>
      <c r="E223" s="350">
        <v>600</v>
      </c>
      <c r="F223" s="218"/>
    </row>
    <row r="224" spans="1:6" ht="21.75" customHeight="1">
      <c r="A224" s="136" t="s">
        <v>206</v>
      </c>
      <c r="B224" s="212" t="str">
        <f>IFERROR(VLOOKUP(A224,'Tổng,SUMMARY'!C:D,2,0),)</f>
        <v>KS-880104</v>
      </c>
      <c r="C224" s="342">
        <v>46312</v>
      </c>
      <c r="D224" s="213"/>
      <c r="E224" s="350">
        <v>1200</v>
      </c>
      <c r="F224" s="218"/>
    </row>
    <row r="225" spans="1:6" ht="21.75" customHeight="1">
      <c r="A225" s="142" t="s">
        <v>955</v>
      </c>
      <c r="B225" s="212" t="str">
        <f>IFERROR(VLOOKUP(A225,'Tổng,SUMMARY'!C:D,2,0),)</f>
        <v>KS-880731</v>
      </c>
      <c r="C225" s="342">
        <v>46312</v>
      </c>
      <c r="D225" s="213"/>
      <c r="E225" s="350">
        <v>800</v>
      </c>
      <c r="F225" s="218"/>
    </row>
    <row r="226" spans="1:6" ht="21.75" customHeight="1">
      <c r="A226" s="136" t="s">
        <v>1236</v>
      </c>
      <c r="B226" s="212" t="str">
        <f>IFERROR(VLOOKUP(A226,'Tổng,SUMMARY'!C:D,2,0),)</f>
        <v>KS-881483</v>
      </c>
      <c r="C226" s="342">
        <v>46312</v>
      </c>
      <c r="D226" s="213"/>
      <c r="E226" s="350">
        <v>1000</v>
      </c>
      <c r="F226" s="218"/>
    </row>
    <row r="227" spans="1:6" ht="21.75" customHeight="1">
      <c r="A227" s="219" t="s">
        <v>1463</v>
      </c>
      <c r="B227" s="212" t="str">
        <f>IFERROR(VLOOKUP(A227,'Tổng,SUMMARY'!C:D,2,0),)</f>
        <v>KS-890195</v>
      </c>
      <c r="C227" s="342">
        <v>46312</v>
      </c>
      <c r="D227" s="213"/>
      <c r="E227" s="350">
        <v>780</v>
      </c>
      <c r="F227" s="218"/>
    </row>
    <row r="228" spans="1:6" ht="21.75" customHeight="1">
      <c r="A228" s="136" t="s">
        <v>1075</v>
      </c>
      <c r="B228" s="212" t="str">
        <f>IFERROR(VLOOKUP(A228,'Tổng,SUMMARY'!C:D,2,0),)</f>
        <v>KS-880372</v>
      </c>
      <c r="C228" s="342">
        <v>46312</v>
      </c>
      <c r="D228" s="213"/>
      <c r="E228" s="350">
        <v>2400</v>
      </c>
      <c r="F228" s="218" t="s">
        <v>1466</v>
      </c>
    </row>
    <row r="229" spans="1:6" ht="21.75" customHeight="1">
      <c r="A229" s="136" t="s">
        <v>944</v>
      </c>
      <c r="B229" s="212" t="str">
        <f>IFERROR(VLOOKUP(A229,'Tổng,SUMMARY'!C:D,2,0),)</f>
        <v>KS-881512</v>
      </c>
      <c r="C229" s="342">
        <v>46312</v>
      </c>
      <c r="D229" s="213"/>
      <c r="E229" s="350">
        <v>3600</v>
      </c>
      <c r="F229" s="218" t="s">
        <v>1466</v>
      </c>
    </row>
    <row r="230" spans="1:6" ht="21.75" customHeight="1">
      <c r="A230" s="114" t="s">
        <v>1078</v>
      </c>
      <c r="B230" s="212" t="str">
        <f>IFERROR(VLOOKUP(A230,'Tổng,SUMMARY'!C:D,2,0),)</f>
        <v>KS-8303</v>
      </c>
      <c r="C230" s="342">
        <v>46312</v>
      </c>
      <c r="D230" s="213"/>
      <c r="E230" s="350">
        <v>1250</v>
      </c>
      <c r="F230" s="218" t="s">
        <v>1466</v>
      </c>
    </row>
    <row r="231" spans="1:6" ht="21.75" customHeight="1">
      <c r="A231" s="136" t="s">
        <v>815</v>
      </c>
      <c r="B231" s="212" t="str">
        <f>IFERROR(VLOOKUP(A231,'Tổng,SUMMARY'!C:D,2,0),)</f>
        <v>KS-89069</v>
      </c>
      <c r="C231" s="342">
        <v>46312</v>
      </c>
      <c r="D231" s="213"/>
      <c r="E231" s="350">
        <v>2160</v>
      </c>
      <c r="F231" s="218" t="s">
        <v>1466</v>
      </c>
    </row>
    <row r="232" spans="1:6" ht="21.75" customHeight="1">
      <c r="A232" s="136" t="s">
        <v>485</v>
      </c>
      <c r="B232" s="212" t="s">
        <v>486</v>
      </c>
      <c r="C232" s="342">
        <v>46313</v>
      </c>
      <c r="D232" s="213"/>
      <c r="E232" s="350">
        <v>1200</v>
      </c>
      <c r="F232" s="218"/>
    </row>
    <row r="233" spans="1:6" ht="21.75" customHeight="1">
      <c r="A233" s="221" t="s">
        <v>267</v>
      </c>
      <c r="B233" s="212" t="s">
        <v>268</v>
      </c>
      <c r="C233" s="342">
        <v>46313</v>
      </c>
      <c r="D233" s="213"/>
      <c r="E233" s="350">
        <v>1560</v>
      </c>
      <c r="F233" s="218"/>
    </row>
    <row r="234" spans="1:6" ht="21.75" customHeight="1">
      <c r="A234" s="221" t="s">
        <v>1035</v>
      </c>
      <c r="B234" s="212" t="str">
        <f>IFERROR(VLOOKUP(A234,'Tổng,SUMMARY'!C:D,2,0),)</f>
        <v>KS-880374</v>
      </c>
      <c r="C234" s="342">
        <v>46313</v>
      </c>
      <c r="D234" s="213"/>
      <c r="E234" s="350">
        <v>1200</v>
      </c>
      <c r="F234" s="218"/>
    </row>
    <row r="235" spans="1:6" ht="21.75" customHeight="1">
      <c r="A235" s="221" t="s">
        <v>981</v>
      </c>
      <c r="B235" s="212" t="str">
        <f>IFERROR(VLOOKUP(A235,'Tổng,SUMMARY'!C:D,2,0),)</f>
        <v>KS-881527</v>
      </c>
      <c r="C235" s="342">
        <v>46313</v>
      </c>
      <c r="D235" s="213"/>
      <c r="E235" s="350">
        <v>2400</v>
      </c>
      <c r="F235" s="218"/>
    </row>
    <row r="236" spans="1:6" ht="21.75" customHeight="1">
      <c r="A236" s="219" t="s">
        <v>1032</v>
      </c>
      <c r="B236" s="212" t="str">
        <f>IFERROR(VLOOKUP(A236,'Tổng,SUMMARY'!C:D,2,0),)</f>
        <v>KS-881462</v>
      </c>
      <c r="C236" s="342">
        <v>46313</v>
      </c>
      <c r="D236" s="213"/>
      <c r="E236" s="350">
        <v>1200</v>
      </c>
      <c r="F236" s="215"/>
    </row>
    <row r="237" spans="1:6" ht="21.75" customHeight="1">
      <c r="A237" s="217" t="s">
        <v>1259</v>
      </c>
      <c r="B237" s="212" t="str">
        <f>IFERROR(VLOOKUP(A237,'Tổng,SUMMARY'!C:D,2,0),)</f>
        <v>KS-870247</v>
      </c>
      <c r="C237" s="342">
        <v>46313</v>
      </c>
      <c r="D237" s="213"/>
      <c r="E237" s="350">
        <v>150</v>
      </c>
      <c r="F237" s="218"/>
    </row>
    <row r="238" spans="1:6" ht="21.75" customHeight="1">
      <c r="A238" s="217" t="s">
        <v>955</v>
      </c>
      <c r="B238" s="212" t="str">
        <f>IFERROR(VLOOKUP(A238,'Tổng,SUMMARY'!C:D,2,0),)</f>
        <v>KS-880731</v>
      </c>
      <c r="C238" s="342">
        <v>46313</v>
      </c>
      <c r="D238" s="213"/>
      <c r="E238" s="350">
        <v>150</v>
      </c>
      <c r="F238" s="218"/>
    </row>
    <row r="239" spans="1:6" ht="21.75" customHeight="1">
      <c r="A239" s="217" t="s">
        <v>1314</v>
      </c>
      <c r="B239" s="212" t="str">
        <f>IFERROR(VLOOKUP(A239,'Tổng,SUMMARY'!C:D,2,0),)</f>
        <v>KS-880104</v>
      </c>
      <c r="C239" s="342">
        <v>46313</v>
      </c>
      <c r="D239" s="213"/>
      <c r="E239" s="350">
        <v>1200</v>
      </c>
      <c r="F239" s="218"/>
    </row>
    <row r="240" spans="1:6" ht="21.75" customHeight="1">
      <c r="A240" s="217" t="s">
        <v>873</v>
      </c>
      <c r="B240" s="212" t="str">
        <f>IFERROR(VLOOKUP(A240,'Tổng,SUMMARY'!C:D,2,0),)</f>
        <v>KS-881058</v>
      </c>
      <c r="C240" s="342">
        <v>46313</v>
      </c>
      <c r="D240" s="213"/>
      <c r="E240" s="350">
        <v>1200</v>
      </c>
      <c r="F240" s="218"/>
    </row>
    <row r="241" spans="1:6" ht="21.75" customHeight="1">
      <c r="A241" s="211" t="s">
        <v>1054</v>
      </c>
      <c r="B241" s="212" t="str">
        <f>IFERROR(VLOOKUP(A241,'Tổng,SUMMARY'!C:D,2,0),)</f>
        <v>KS-880944</v>
      </c>
      <c r="C241" s="342">
        <v>46313</v>
      </c>
      <c r="D241" s="213"/>
      <c r="E241" s="350">
        <v>1200</v>
      </c>
      <c r="F241" s="218"/>
    </row>
    <row r="242" spans="1:6" ht="21.75" customHeight="1">
      <c r="A242" s="221" t="s">
        <v>981</v>
      </c>
      <c r="B242" s="212" t="str">
        <f>IFERROR(VLOOKUP(A242,'Tổng,SUMMARY'!C:D,2,0),)</f>
        <v>KS-881527</v>
      </c>
      <c r="C242" s="342">
        <v>46313</v>
      </c>
      <c r="D242" s="213"/>
      <c r="E242" s="350">
        <v>1200</v>
      </c>
      <c r="F242" s="218"/>
    </row>
    <row r="243" spans="1:6" ht="21.75" customHeight="1">
      <c r="A243" s="221" t="s">
        <v>1180</v>
      </c>
      <c r="B243" s="212" t="str">
        <f>IFERROR(VLOOKUP(A243,'Tổng,SUMMARY'!C:D,2,0),)</f>
        <v>KS-871056</v>
      </c>
      <c r="C243" s="342">
        <v>46313</v>
      </c>
      <c r="D243" s="213"/>
      <c r="E243" s="350">
        <v>750</v>
      </c>
      <c r="F243" s="218"/>
    </row>
    <row r="244" spans="1:6" ht="21.75" customHeight="1">
      <c r="A244" s="221" t="s">
        <v>779</v>
      </c>
      <c r="B244" s="212" t="str">
        <f>IFERROR(VLOOKUP(A244,'Tổng,SUMMARY'!C:D,2,0),)</f>
        <v>KS-870161</v>
      </c>
      <c r="C244" s="342">
        <v>46313</v>
      </c>
      <c r="D244" s="213"/>
      <c r="E244" s="350">
        <v>700</v>
      </c>
      <c r="F244" s="215"/>
    </row>
    <row r="245" spans="1:6" ht="21.75" customHeight="1">
      <c r="A245" s="211" t="s">
        <v>787</v>
      </c>
      <c r="B245" s="212" t="str">
        <f>IFERROR(VLOOKUP(A245,'Tổng,SUMMARY'!C:D,2,0),)</f>
        <v>KS-880120</v>
      </c>
      <c r="C245" s="342">
        <v>46313</v>
      </c>
      <c r="D245" s="213"/>
      <c r="E245" s="350">
        <v>1200</v>
      </c>
      <c r="F245" s="215"/>
    </row>
    <row r="246" spans="1:6" ht="21.75" customHeight="1">
      <c r="A246" s="211" t="s">
        <v>1032</v>
      </c>
      <c r="B246" s="212" t="str">
        <f>IFERROR(VLOOKUP(A246,'Tổng,SUMMARY'!C:D,2,0),)</f>
        <v>KS-881462</v>
      </c>
      <c r="C246" s="342">
        <v>46314</v>
      </c>
      <c r="D246" s="213"/>
      <c r="E246" s="350">
        <v>3200</v>
      </c>
      <c r="F246" s="215"/>
    </row>
    <row r="247" spans="1:6" ht="21.75" customHeight="1">
      <c r="A247" s="211" t="s">
        <v>1090</v>
      </c>
      <c r="B247" s="212" t="str">
        <f>IFERROR(VLOOKUP(A247,'Tổng,SUMMARY'!C:D,2,0),)</f>
        <v>KS-890195</v>
      </c>
      <c r="C247" s="342">
        <v>46314</v>
      </c>
      <c r="D247" s="213"/>
      <c r="E247" s="347">
        <f>780+780+780+660</f>
        <v>3000</v>
      </c>
      <c r="F247" s="215"/>
    </row>
    <row r="248" spans="1:6" ht="21.75" customHeight="1">
      <c r="A248" s="211" t="s">
        <v>902</v>
      </c>
      <c r="B248" s="212" t="str">
        <f>IFERROR(VLOOKUP(A248,'Tổng,SUMMARY'!C:D,2,0),)</f>
        <v>KS-880910</v>
      </c>
      <c r="C248" s="342">
        <v>46314</v>
      </c>
      <c r="D248" s="213"/>
      <c r="E248" s="350">
        <v>2400</v>
      </c>
      <c r="F248" s="215"/>
    </row>
    <row r="249" spans="1:6" ht="21.75" customHeight="1">
      <c r="A249" s="211" t="s">
        <v>1054</v>
      </c>
      <c r="B249" s="212" t="str">
        <f>IFERROR(VLOOKUP(A249,'Tổng,SUMMARY'!C:D,2,0),)</f>
        <v>KS-880944</v>
      </c>
      <c r="C249" s="342">
        <v>46314</v>
      </c>
      <c r="D249" s="213"/>
      <c r="E249" s="350">
        <v>1150</v>
      </c>
      <c r="F249" s="218"/>
    </row>
    <row r="250" spans="1:6" ht="21.75" customHeight="1">
      <c r="A250" s="211" t="s">
        <v>800</v>
      </c>
      <c r="B250" s="212" t="str">
        <f>IFERROR(VLOOKUP(A250,'Tổng,SUMMARY'!C:D,2,0),)</f>
        <v>KS-881041</v>
      </c>
      <c r="C250" s="342">
        <v>46314</v>
      </c>
      <c r="D250" s="213"/>
      <c r="E250" s="350">
        <f>1200+750</f>
        <v>1950</v>
      </c>
      <c r="F250" s="218"/>
    </row>
    <row r="251" spans="1:6" ht="21.75" customHeight="1">
      <c r="A251" s="217" t="s">
        <v>206</v>
      </c>
      <c r="B251" s="212" t="str">
        <f>IFERROR(VLOOKUP(A251,'Tổng,SUMMARY'!C:D,2,0),)</f>
        <v>KS-880104</v>
      </c>
      <c r="C251" s="342">
        <v>46314</v>
      </c>
      <c r="D251" s="213"/>
      <c r="E251" s="350">
        <v>2400</v>
      </c>
      <c r="F251" s="218"/>
    </row>
    <row r="252" spans="1:6" ht="21.75" customHeight="1">
      <c r="A252" s="217" t="s">
        <v>787</v>
      </c>
      <c r="B252" s="212" t="str">
        <f>IFERROR(VLOOKUP(A252,'Tổng,SUMMARY'!C:D,2,0),)</f>
        <v>KS-880120</v>
      </c>
      <c r="C252" s="342">
        <v>46314</v>
      </c>
      <c r="D252" s="213"/>
      <c r="E252" s="350">
        <v>350</v>
      </c>
      <c r="F252" s="218"/>
    </row>
    <row r="253" spans="1:6" ht="21.75" customHeight="1">
      <c r="A253" s="217" t="s">
        <v>894</v>
      </c>
      <c r="B253" s="212" t="str">
        <f>IFERROR(VLOOKUP(A253,'Tổng,SUMMARY'!C:D,2,0),)</f>
        <v>KS-871382</v>
      </c>
      <c r="C253" s="342">
        <v>46314</v>
      </c>
      <c r="D253" s="213"/>
      <c r="E253" s="350">
        <v>2400</v>
      </c>
      <c r="F253" s="215"/>
    </row>
    <row r="254" spans="1:6" ht="21.75" customHeight="1">
      <c r="A254" s="217" t="s">
        <v>1033</v>
      </c>
      <c r="B254" s="212" t="str">
        <f>IFERROR(VLOOKUP(A254,'Tổng,SUMMARY'!C:D,2,0),)</f>
        <v>KS-881362</v>
      </c>
      <c r="C254" s="342">
        <v>46314</v>
      </c>
      <c r="D254" s="213"/>
      <c r="E254" s="350">
        <v>1000</v>
      </c>
      <c r="F254" s="215"/>
    </row>
    <row r="255" spans="1:6" ht="21.75" customHeight="1">
      <c r="A255" s="221" t="s">
        <v>13</v>
      </c>
      <c r="B255" s="212" t="str">
        <f>IFERROR(VLOOKUP(A255,'Tổng,SUMMARY'!C:D,2,0),)</f>
        <v>KS-881058</v>
      </c>
      <c r="C255" s="342">
        <v>46314</v>
      </c>
      <c r="D255" s="213"/>
      <c r="E255" s="350">
        <v>1200</v>
      </c>
      <c r="F255" s="215"/>
    </row>
    <row r="256" spans="1:6" ht="21.75" customHeight="1">
      <c r="A256" s="221" t="s">
        <v>1507</v>
      </c>
      <c r="B256" s="212" t="str">
        <f>IFERROR(VLOOKUP(A256,'Tổng,SUMMARY'!C:D,2,0),)</f>
        <v>KS-870861</v>
      </c>
      <c r="C256" s="342">
        <v>46314</v>
      </c>
      <c r="D256" s="213"/>
      <c r="E256" s="350">
        <v>1200</v>
      </c>
      <c r="F256" s="215"/>
    </row>
    <row r="257" spans="1:6" ht="21.75" customHeight="1">
      <c r="A257" s="221" t="s">
        <v>1075</v>
      </c>
      <c r="B257" s="212" t="str">
        <f>IFERROR(VLOOKUP(A257,'Tổng,SUMMARY'!C:D,2,0),)</f>
        <v>KS-880372</v>
      </c>
      <c r="C257" s="342">
        <v>46314</v>
      </c>
      <c r="D257" s="213"/>
      <c r="E257" s="350">
        <v>2400</v>
      </c>
      <c r="F257" s="215" t="s">
        <v>1510</v>
      </c>
    </row>
    <row r="258" spans="1:6" ht="21.75" customHeight="1">
      <c r="A258" s="221" t="s">
        <v>75</v>
      </c>
      <c r="B258" s="212" t="str">
        <f>IFERROR(VLOOKUP(A258,'Tổng,SUMMARY'!C:D,2,0),)</f>
        <v>KS-881512</v>
      </c>
      <c r="C258" s="342">
        <v>46314</v>
      </c>
      <c r="D258" s="213"/>
      <c r="E258" s="350">
        <v>3600</v>
      </c>
      <c r="F258" s="215" t="s">
        <v>1510</v>
      </c>
    </row>
    <row r="259" spans="1:6" ht="21.75" customHeight="1">
      <c r="A259" s="221" t="s">
        <v>358</v>
      </c>
      <c r="B259" s="212" t="str">
        <f>IFERROR(VLOOKUP(A259,'Tổng,SUMMARY'!C:D,2,0),)</f>
        <v>KS-880944</v>
      </c>
      <c r="C259" s="342">
        <v>46314</v>
      </c>
      <c r="D259" s="213"/>
      <c r="E259" s="350">
        <v>3600</v>
      </c>
      <c r="F259" s="215" t="s">
        <v>1510</v>
      </c>
    </row>
    <row r="260" spans="1:6" ht="21.75" customHeight="1">
      <c r="A260" s="221" t="s">
        <v>770</v>
      </c>
      <c r="B260" s="212" t="str">
        <f>IFERROR(VLOOKUP(A260,'Tổng,SUMMARY'!C:D,2,0),)</f>
        <v>KS-881300</v>
      </c>
      <c r="C260" s="342">
        <v>46314</v>
      </c>
      <c r="D260" s="213"/>
      <c r="E260" s="350">
        <f>2000+2000</f>
        <v>4000</v>
      </c>
      <c r="F260" s="215" t="s">
        <v>1510</v>
      </c>
    </row>
    <row r="261" spans="1:6" ht="21.75" customHeight="1">
      <c r="A261" s="221" t="s">
        <v>1330</v>
      </c>
      <c r="B261" s="212" t="str">
        <f>IFERROR(VLOOKUP(A261,'Tổng,SUMMARY'!C:D,2,0),)</f>
        <v>KS-881080</v>
      </c>
      <c r="C261" s="342">
        <v>46314</v>
      </c>
      <c r="D261" s="213"/>
      <c r="E261" s="350">
        <v>1050</v>
      </c>
      <c r="F261" s="218" t="s">
        <v>1510</v>
      </c>
    </row>
    <row r="262" spans="1:6" ht="21.75" customHeight="1">
      <c r="A262" s="221" t="s">
        <v>1369</v>
      </c>
      <c r="B262" s="212" t="str">
        <f>IFERROR(VLOOKUP(A262,'Tổng,SUMMARY'!C:D,2,0),)</f>
        <v>KS-86015</v>
      </c>
      <c r="C262" s="342">
        <v>46314</v>
      </c>
      <c r="D262" s="213"/>
      <c r="E262" s="350">
        <v>3600</v>
      </c>
      <c r="F262" s="218" t="s">
        <v>1510</v>
      </c>
    </row>
    <row r="263" spans="1:6" ht="21.75" customHeight="1">
      <c r="A263" s="221" t="s">
        <v>1047</v>
      </c>
      <c r="B263" s="212" t="str">
        <f>IFERROR(VLOOKUP(A263,'Tổng,SUMMARY'!C:D,2,0),)</f>
        <v>KS-880959</v>
      </c>
      <c r="C263" s="342">
        <v>46314</v>
      </c>
      <c r="D263" s="213"/>
      <c r="E263" s="350">
        <v>2400</v>
      </c>
      <c r="F263" s="218" t="s">
        <v>1510</v>
      </c>
    </row>
    <row r="264" spans="1:6" ht="21.75" customHeight="1">
      <c r="A264" s="221" t="s">
        <v>1035</v>
      </c>
      <c r="B264" s="212" t="str">
        <f>IFERROR(VLOOKUP(A264,'Tổng,SUMMARY'!C:D,2,0),)</f>
        <v>KS-880374</v>
      </c>
      <c r="C264" s="342">
        <v>46315</v>
      </c>
      <c r="D264" s="213"/>
      <c r="E264" s="350">
        <v>1200</v>
      </c>
      <c r="F264" s="218"/>
    </row>
    <row r="265" spans="1:6" ht="21.75" customHeight="1">
      <c r="A265" s="221" t="s">
        <v>981</v>
      </c>
      <c r="B265" s="212" t="str">
        <f>IFERROR(VLOOKUP(A265,'Tổng,SUMMARY'!C:D,2,0),)</f>
        <v>KS-881527</v>
      </c>
      <c r="C265" s="342">
        <v>46315</v>
      </c>
      <c r="D265" s="213"/>
      <c r="E265" s="350">
        <v>2400</v>
      </c>
      <c r="F265" s="218"/>
    </row>
    <row r="266" spans="1:6" ht="21.75" customHeight="1">
      <c r="A266" s="221" t="s">
        <v>1075</v>
      </c>
      <c r="B266" s="212" t="str">
        <f>IFERROR(VLOOKUP(A266,'Tổng,SUMMARY'!C:D,2,0),)</f>
        <v>KS-880372</v>
      </c>
      <c r="C266" s="342">
        <v>46315</v>
      </c>
      <c r="D266" s="213"/>
      <c r="E266" s="350">
        <v>2400</v>
      </c>
      <c r="F266" s="218" t="s">
        <v>1510</v>
      </c>
    </row>
    <row r="267" spans="1:6" ht="21.75" customHeight="1">
      <c r="A267" s="221" t="s">
        <v>358</v>
      </c>
      <c r="B267" s="212" t="str">
        <f>IFERROR(VLOOKUP(A267,'Tổng,SUMMARY'!C:D,2,0),)</f>
        <v>KS-880944</v>
      </c>
      <c r="C267" s="342">
        <v>46315</v>
      </c>
      <c r="D267" s="213"/>
      <c r="E267" s="350">
        <v>3600</v>
      </c>
      <c r="F267" s="218" t="s">
        <v>1510</v>
      </c>
    </row>
    <row r="268" spans="1:6" ht="21.75" customHeight="1">
      <c r="A268" s="221" t="s">
        <v>1047</v>
      </c>
      <c r="B268" s="212" t="str">
        <f>IFERROR(VLOOKUP(A268,'Tổng,SUMMARY'!C:D,2,0),)</f>
        <v>KS-880959</v>
      </c>
      <c r="C268" s="342">
        <v>46315</v>
      </c>
      <c r="D268" s="213"/>
      <c r="E268" s="350">
        <v>2400</v>
      </c>
      <c r="F268" s="218" t="s">
        <v>1510</v>
      </c>
    </row>
    <row r="269" spans="1:6" ht="21.75" customHeight="1">
      <c r="A269" s="221" t="s">
        <v>1559</v>
      </c>
      <c r="B269" s="212" t="str">
        <f>IFERROR(VLOOKUP(A269,'Tổng,SUMMARY'!C:D,2,0),)</f>
        <v>KS-871382</v>
      </c>
      <c r="C269" s="342">
        <v>46316</v>
      </c>
      <c r="D269" s="213"/>
      <c r="E269" s="351">
        <v>2400</v>
      </c>
      <c r="F269" s="215"/>
    </row>
    <row r="270" spans="1:6" ht="21.75" customHeight="1">
      <c r="A270" s="217" t="s">
        <v>1563</v>
      </c>
      <c r="B270" s="212" t="str">
        <f>IFERROR(VLOOKUP(A270,'Tổng,SUMMARY'!C:D,2,0),)</f>
        <v>KS-870252</v>
      </c>
      <c r="C270" s="342">
        <v>46316</v>
      </c>
      <c r="D270" s="213"/>
      <c r="E270" s="351">
        <v>1000</v>
      </c>
      <c r="F270" s="215"/>
    </row>
    <row r="271" spans="1:6" ht="21.75" customHeight="1">
      <c r="A271" s="211" t="s">
        <v>1032</v>
      </c>
      <c r="B271" s="212" t="str">
        <f>IFERROR(VLOOKUP(A271,'Tổng,SUMMARY'!C:D,2,0),)</f>
        <v>KS-881462</v>
      </c>
      <c r="C271" s="342">
        <v>46316</v>
      </c>
      <c r="D271" s="213"/>
      <c r="E271" s="351">
        <f>2400+900</f>
        <v>3300</v>
      </c>
      <c r="F271" s="215"/>
    </row>
    <row r="272" spans="1:6" ht="21.75" customHeight="1">
      <c r="A272" s="221" t="s">
        <v>981</v>
      </c>
      <c r="B272" s="212" t="str">
        <f>IFERROR(VLOOKUP(A272,'Tổng,SUMMARY'!C:D,2,0),)</f>
        <v>KS-881527</v>
      </c>
      <c r="C272" s="342">
        <v>46316</v>
      </c>
      <c r="D272" s="213"/>
      <c r="E272" s="351">
        <v>2400</v>
      </c>
      <c r="F272" s="215"/>
    </row>
    <row r="273" spans="1:6" ht="21.75" customHeight="1">
      <c r="A273" s="221" t="s">
        <v>358</v>
      </c>
      <c r="B273" s="212" t="str">
        <f>IFERROR(VLOOKUP(A273,'Tổng,SUMMARY'!C:D,2,0),)</f>
        <v>KS-880944</v>
      </c>
      <c r="C273" s="342">
        <v>46316</v>
      </c>
      <c r="D273" s="213"/>
      <c r="E273" s="351">
        <v>3600</v>
      </c>
      <c r="F273" s="215"/>
    </row>
    <row r="274" spans="1:6" ht="21.75" customHeight="1">
      <c r="A274" s="221" t="s">
        <v>1035</v>
      </c>
      <c r="B274" s="212" t="str">
        <f>IFERROR(VLOOKUP(A274,'Tổng,SUMMARY'!C:D,2,0),)</f>
        <v>KS-880374</v>
      </c>
      <c r="C274" s="342">
        <v>46316</v>
      </c>
      <c r="D274" s="213"/>
      <c r="E274" s="351">
        <v>6000</v>
      </c>
      <c r="F274" s="215"/>
    </row>
    <row r="275" spans="1:6" ht="21.75" customHeight="1">
      <c r="A275" s="221" t="s">
        <v>358</v>
      </c>
      <c r="B275" s="212" t="str">
        <f>IFERROR(VLOOKUP(A275,'Tổng,SUMMARY'!C:D,2,0),)</f>
        <v>KS-880944</v>
      </c>
      <c r="C275" s="342">
        <v>46316</v>
      </c>
      <c r="D275" s="213"/>
      <c r="E275" s="351">
        <v>3600</v>
      </c>
      <c r="F275" s="218" t="s">
        <v>1510</v>
      </c>
    </row>
    <row r="276" spans="1:6" ht="21.75" customHeight="1">
      <c r="A276" s="221" t="s">
        <v>1047</v>
      </c>
      <c r="B276" s="212" t="str">
        <f>IFERROR(VLOOKUP(A276,'Tổng,SUMMARY'!C:D,2,0),)</f>
        <v>KS-880959</v>
      </c>
      <c r="C276" s="342">
        <v>46316</v>
      </c>
      <c r="D276" s="213"/>
      <c r="E276" s="351">
        <f>2400+2400</f>
        <v>4800</v>
      </c>
      <c r="F276" s="218" t="s">
        <v>1510</v>
      </c>
    </row>
    <row r="277" spans="1:6" ht="21.75" customHeight="1">
      <c r="A277" s="221" t="s">
        <v>1583</v>
      </c>
      <c r="B277" s="212" t="str">
        <f>IFERROR(VLOOKUP(A277,'Tổng,SUMMARY'!C:D,2,0),)</f>
        <v>KS-86015</v>
      </c>
      <c r="C277" s="342">
        <v>46316</v>
      </c>
      <c r="D277" s="213"/>
      <c r="E277" s="351">
        <v>-3600</v>
      </c>
      <c r="F277" s="218" t="s">
        <v>1510</v>
      </c>
    </row>
    <row r="278" spans="1:6" ht="21.75" customHeight="1">
      <c r="A278" s="221"/>
      <c r="B278" s="212">
        <f>IFERROR(VLOOKUP(A278,'Tổng,SUMMARY'!C:D,2,0),)</f>
        <v>0</v>
      </c>
      <c r="C278" s="342">
        <v>46316</v>
      </c>
      <c r="D278" s="213"/>
      <c r="E278" s="351"/>
      <c r="F278" s="215"/>
    </row>
    <row r="279" spans="1:6" ht="21.75" customHeight="1">
      <c r="A279" s="221"/>
      <c r="B279" s="212">
        <f>IFERROR(VLOOKUP(A279,'Tổng,SUMMARY'!C:D,2,0),)</f>
        <v>0</v>
      </c>
      <c r="C279" s="342">
        <v>46316</v>
      </c>
      <c r="D279" s="213"/>
      <c r="E279" s="351"/>
      <c r="F279" s="215"/>
    </row>
    <row r="280" spans="1:6" ht="21.75" customHeight="1">
      <c r="A280" s="221"/>
      <c r="B280" s="212">
        <f>IFERROR(VLOOKUP(A280,'Tổng,SUMMARY'!C:D,2,0),)</f>
        <v>0</v>
      </c>
      <c r="C280" s="342">
        <v>46316</v>
      </c>
      <c r="D280" s="213"/>
      <c r="E280" s="351"/>
      <c r="F280" s="215"/>
    </row>
    <row r="281" spans="1:6" ht="21.75" customHeight="1">
      <c r="A281" s="217"/>
      <c r="B281" s="212">
        <f>IFERROR(VLOOKUP(A281,'Tổng,SUMMARY'!C:D,2,0),)</f>
        <v>0</v>
      </c>
      <c r="C281" s="342">
        <v>46316</v>
      </c>
      <c r="D281" s="213"/>
      <c r="E281" s="351"/>
      <c r="F281" s="218"/>
    </row>
    <row r="282" spans="1:6" ht="21.75" customHeight="1">
      <c r="A282" s="217"/>
      <c r="B282" s="212">
        <f>IFERROR(VLOOKUP(A282,'Tổng,SUMMARY'!C:D,2,0),)</f>
        <v>0</v>
      </c>
      <c r="C282" s="342">
        <v>46316</v>
      </c>
      <c r="D282" s="213"/>
      <c r="E282" s="351"/>
      <c r="F282" s="218"/>
    </row>
    <row r="283" spans="1:6" ht="21.75" customHeight="1">
      <c r="A283" s="221"/>
      <c r="B283" s="212">
        <f>IFERROR(VLOOKUP(A283,'Tổng,SUMMARY'!C:D,2,0),)</f>
        <v>0</v>
      </c>
      <c r="C283" s="343"/>
      <c r="D283" s="213"/>
      <c r="E283" s="351"/>
      <c r="F283" s="218"/>
    </row>
    <row r="284" spans="1:6" ht="21.75" customHeight="1">
      <c r="A284" s="221"/>
      <c r="B284" s="212">
        <f>IFERROR(VLOOKUP(A284,'Tổng,SUMMARY'!C:D,2,0),)</f>
        <v>0</v>
      </c>
      <c r="C284" s="343"/>
      <c r="D284" s="213"/>
      <c r="E284" s="351"/>
      <c r="F284" s="218"/>
    </row>
    <row r="285" spans="1:6" ht="21.75" customHeight="1">
      <c r="A285" s="221"/>
      <c r="B285" s="212">
        <f>IFERROR(VLOOKUP(A285,'Tổng,SUMMARY'!C:D,2,0),)</f>
        <v>0</v>
      </c>
      <c r="C285" s="343"/>
      <c r="D285" s="213"/>
      <c r="E285" s="351"/>
      <c r="F285" s="218"/>
    </row>
    <row r="286" spans="1:6" ht="21.75" customHeight="1">
      <c r="A286" s="221"/>
      <c r="B286" s="212">
        <f>IFERROR(VLOOKUP(A286,'Tổng,SUMMARY'!C:D,2,0),)</f>
        <v>0</v>
      </c>
      <c r="C286" s="343"/>
      <c r="D286" s="213"/>
      <c r="E286" s="351"/>
      <c r="F286" s="215"/>
    </row>
    <row r="287" spans="1:6" ht="21.75" customHeight="1">
      <c r="A287" s="221"/>
      <c r="B287" s="212">
        <f>IFERROR(VLOOKUP(A287,'Tổng,SUMMARY'!C:D,2,0),)</f>
        <v>0</v>
      </c>
      <c r="C287" s="343"/>
      <c r="D287" s="213"/>
      <c r="E287" s="351"/>
      <c r="F287" s="215"/>
    </row>
    <row r="288" spans="1:6" ht="21.75" customHeight="1">
      <c r="A288" s="221"/>
      <c r="B288" s="212">
        <f>IFERROR(VLOOKUP(A288,'Tổng,SUMMARY'!C:D,2,0),)</f>
        <v>0</v>
      </c>
      <c r="C288" s="343"/>
      <c r="D288" s="213"/>
      <c r="E288" s="351"/>
      <c r="F288" s="215"/>
    </row>
    <row r="289" spans="1:6" ht="21.75" customHeight="1">
      <c r="A289" s="221"/>
      <c r="B289" s="212">
        <f>IFERROR(VLOOKUP(A289,'Tổng,SUMMARY'!C:D,2,0),)</f>
        <v>0</v>
      </c>
      <c r="C289" s="343"/>
      <c r="D289" s="213"/>
      <c r="E289" s="351"/>
      <c r="F289" s="215"/>
    </row>
    <row r="290" spans="1:6" ht="21.75" customHeight="1">
      <c r="A290" s="221"/>
      <c r="B290" s="212">
        <f>IFERROR(VLOOKUP(A290,'Tổng,SUMMARY'!C:D,2,0),)</f>
        <v>0</v>
      </c>
      <c r="C290" s="343"/>
      <c r="D290" s="213"/>
      <c r="E290" s="351"/>
      <c r="F290" s="215"/>
    </row>
    <row r="291" spans="1:6" ht="21.75" customHeight="1">
      <c r="A291" s="217"/>
      <c r="B291" s="212">
        <f>IFERROR(VLOOKUP(A291,'Tổng,SUMMARY'!C:D,2,0),)</f>
        <v>0</v>
      </c>
      <c r="C291" s="343"/>
      <c r="D291" s="213"/>
      <c r="E291" s="350"/>
      <c r="F291" s="215"/>
    </row>
    <row r="292" spans="1:6" ht="21.75" customHeight="1">
      <c r="A292" s="217"/>
      <c r="B292" s="212">
        <f>IFERROR(VLOOKUP(A292,'Tổng,SUMMARY'!C:D,2,0),)</f>
        <v>0</v>
      </c>
      <c r="C292" s="343"/>
      <c r="D292" s="213"/>
      <c r="E292" s="350"/>
      <c r="F292" s="218"/>
    </row>
    <row r="293" spans="1:6" ht="21.75" customHeight="1">
      <c r="A293" s="217"/>
      <c r="B293" s="212">
        <f>IFERROR(VLOOKUP(A293,'Tổng,SUMMARY'!C:D,2,0),)</f>
        <v>0</v>
      </c>
      <c r="C293" s="343"/>
      <c r="D293" s="213"/>
      <c r="E293" s="350"/>
      <c r="F293" s="218"/>
    </row>
    <row r="294" spans="1:6" ht="21.75" customHeight="1">
      <c r="A294" s="217"/>
      <c r="B294" s="212">
        <f>IFERROR(VLOOKUP(A294,'Tổng,SUMMARY'!C:D,2,0),)</f>
        <v>0</v>
      </c>
      <c r="C294" s="343"/>
      <c r="D294" s="213"/>
      <c r="E294" s="350"/>
      <c r="F294" s="218"/>
    </row>
    <row r="295" spans="1:6" ht="21.75" customHeight="1">
      <c r="A295" s="221"/>
      <c r="B295" s="212">
        <f>IFERROR(VLOOKUP(A295,'Tổng,SUMMARY'!C:D,2,0),)</f>
        <v>0</v>
      </c>
      <c r="C295" s="343"/>
      <c r="D295" s="213"/>
      <c r="E295" s="350"/>
      <c r="F295" s="218"/>
    </row>
    <row r="296" spans="1:6" ht="21.75" customHeight="1">
      <c r="A296" s="221"/>
      <c r="B296" s="212">
        <f>IFERROR(VLOOKUP(A296,'Tổng,SUMMARY'!C:D,2,0),)</f>
        <v>0</v>
      </c>
      <c r="C296" s="343"/>
      <c r="D296" s="213"/>
      <c r="E296" s="350"/>
      <c r="F296" s="218"/>
    </row>
    <row r="297" spans="1:6" ht="21.75" customHeight="1">
      <c r="A297" s="217"/>
      <c r="B297" s="212">
        <f>IFERROR(VLOOKUP(A297,'Tổng,SUMMARY'!C:D,2,0),)</f>
        <v>0</v>
      </c>
      <c r="C297" s="343"/>
      <c r="D297" s="213"/>
      <c r="E297" s="350"/>
      <c r="F297" s="218"/>
    </row>
    <row r="298" spans="1:6" ht="21.75" customHeight="1">
      <c r="A298" s="221"/>
      <c r="B298" s="212">
        <f>IFERROR(VLOOKUP(A298,'Tổng,SUMMARY'!C:D,2,0),)</f>
        <v>0</v>
      </c>
      <c r="C298" s="343"/>
      <c r="D298" s="213"/>
      <c r="E298" s="350"/>
      <c r="F298" s="215"/>
    </row>
    <row r="299" spans="1:6" ht="21.75" customHeight="1">
      <c r="A299" s="221"/>
      <c r="B299" s="212">
        <f>IFERROR(VLOOKUP(A299,'Tổng,SUMMARY'!C:D,2,0),)</f>
        <v>0</v>
      </c>
      <c r="C299" s="343"/>
      <c r="D299" s="213"/>
      <c r="E299" s="350"/>
      <c r="F299" s="215"/>
    </row>
    <row r="300" spans="1:6" ht="21.75" customHeight="1">
      <c r="A300" s="221"/>
      <c r="B300" s="212">
        <f>IFERROR(VLOOKUP(A300,'Tổng,SUMMARY'!C:D,2,0),)</f>
        <v>0</v>
      </c>
      <c r="C300" s="343"/>
      <c r="D300" s="213"/>
      <c r="E300" s="350"/>
      <c r="F300" s="215"/>
    </row>
    <row r="301" spans="1:6" ht="21.75" customHeight="1">
      <c r="A301" s="221"/>
      <c r="B301" s="212">
        <f>IFERROR(VLOOKUP(A301,'Tổng,SUMMARY'!C:D,2,0),)</f>
        <v>0</v>
      </c>
      <c r="C301" s="343"/>
      <c r="D301" s="213"/>
      <c r="E301" s="350"/>
      <c r="F301" s="215"/>
    </row>
    <row r="302" spans="1:6" ht="21.75" customHeight="1">
      <c r="A302" s="211"/>
      <c r="B302" s="212">
        <f>IFERROR(VLOOKUP(A302,'Tổng,SUMMARY'!C:D,2,0),)</f>
        <v>0</v>
      </c>
      <c r="C302" s="343"/>
      <c r="D302" s="213"/>
      <c r="E302" s="350"/>
      <c r="F302" s="215"/>
    </row>
    <row r="303" spans="1:6" ht="21.75" customHeight="1">
      <c r="A303" s="221"/>
      <c r="B303" s="212">
        <f>IFERROR(VLOOKUP(A303,'Tổng,SUMMARY'!C:D,2,0),)</f>
        <v>0</v>
      </c>
      <c r="C303" s="343"/>
      <c r="D303" s="213"/>
      <c r="E303" s="350"/>
      <c r="F303" s="215"/>
    </row>
    <row r="304" spans="1:6" ht="21.75" customHeight="1">
      <c r="A304" s="221"/>
      <c r="B304" s="212">
        <f>IFERROR(VLOOKUP(A304,'Tổng,SUMMARY'!C:D,2,0),)</f>
        <v>0</v>
      </c>
      <c r="C304" s="343"/>
      <c r="D304" s="213"/>
      <c r="E304" s="350"/>
      <c r="F304" s="215"/>
    </row>
    <row r="305" spans="1:6" ht="21.75" customHeight="1">
      <c r="A305" s="221"/>
      <c r="B305" s="212">
        <f>IFERROR(VLOOKUP(A305,'Tổng,SUMMARY'!C:D,2,0),)</f>
        <v>0</v>
      </c>
      <c r="C305" s="343"/>
      <c r="D305" s="213"/>
      <c r="E305" s="350"/>
      <c r="F305" s="215"/>
    </row>
    <row r="306" spans="1:6" ht="21.75" customHeight="1">
      <c r="A306" s="217"/>
      <c r="B306" s="212">
        <f>IFERROR(VLOOKUP(A306,'Tổng,SUMMARY'!C:D,2,0),)</f>
        <v>0</v>
      </c>
      <c r="C306" s="343"/>
      <c r="D306" s="213"/>
      <c r="E306" s="350"/>
      <c r="F306" s="215"/>
    </row>
    <row r="307" spans="1:6" ht="21.75" customHeight="1">
      <c r="A307" s="217"/>
      <c r="B307" s="212">
        <f>IFERROR(VLOOKUP(A307,'Tổng,SUMMARY'!C:D,2,0),)</f>
        <v>0</v>
      </c>
      <c r="C307" s="343"/>
      <c r="D307" s="213"/>
      <c r="E307" s="350"/>
      <c r="F307" s="215"/>
    </row>
    <row r="308" spans="1:6" ht="21.75" customHeight="1">
      <c r="A308" s="217"/>
      <c r="B308" s="212">
        <f>IFERROR(VLOOKUP(A308,'Tổng,SUMMARY'!C:D,2,0),)</f>
        <v>0</v>
      </c>
      <c r="C308" s="343"/>
      <c r="D308" s="213"/>
      <c r="E308" s="350"/>
      <c r="F308" s="218"/>
    </row>
    <row r="309" spans="1:6" ht="21.75" customHeight="1">
      <c r="A309" s="217"/>
      <c r="B309" s="212">
        <f>IFERROR(VLOOKUP(A309,'Tổng,SUMMARY'!C:D,2,0),)</f>
        <v>0</v>
      </c>
      <c r="C309" s="343"/>
      <c r="D309" s="213"/>
      <c r="E309" s="350"/>
      <c r="F309" s="218"/>
    </row>
    <row r="310" spans="1:6" ht="21.75" customHeight="1">
      <c r="A310" s="217"/>
      <c r="B310" s="212">
        <f>IFERROR(VLOOKUP(A310,'Tổng,SUMMARY'!C:D,2,0),)</f>
        <v>0</v>
      </c>
      <c r="C310" s="343"/>
      <c r="D310" s="213"/>
      <c r="E310" s="350"/>
      <c r="F310" s="218"/>
    </row>
    <row r="311" spans="1:6" ht="21.75" customHeight="1">
      <c r="A311" s="221"/>
      <c r="B311" s="212">
        <f>IFERROR(VLOOKUP(A311,'Tổng,SUMMARY'!C:D,2,0),)</f>
        <v>0</v>
      </c>
      <c r="C311" s="343"/>
      <c r="D311" s="213"/>
      <c r="E311" s="350"/>
      <c r="F311" s="215"/>
    </row>
    <row r="312" spans="1:6" ht="21.75" customHeight="1">
      <c r="A312" s="217"/>
      <c r="B312" s="212">
        <f>IFERROR(VLOOKUP(A312,'Tổng,SUMMARY'!C:D,2,0),)</f>
        <v>0</v>
      </c>
      <c r="C312" s="343"/>
      <c r="D312" s="213"/>
      <c r="E312" s="350"/>
      <c r="F312" s="215"/>
    </row>
    <row r="313" spans="1:6" ht="21.75" customHeight="1">
      <c r="A313" s="221"/>
      <c r="B313" s="212">
        <f>IFERROR(VLOOKUP(A313,'Tổng,SUMMARY'!C:D,2,0),)</f>
        <v>0</v>
      </c>
      <c r="C313" s="343"/>
      <c r="D313" s="213"/>
      <c r="E313" s="350"/>
      <c r="F313" s="215"/>
    </row>
    <row r="314" spans="1:6" ht="21.75" customHeight="1">
      <c r="A314" s="221"/>
      <c r="B314" s="212">
        <f>IFERROR(VLOOKUP(A314,'Tổng,SUMMARY'!C:D,2,0),)</f>
        <v>0</v>
      </c>
      <c r="C314" s="343"/>
      <c r="D314" s="213"/>
      <c r="E314" s="350"/>
      <c r="F314" s="215"/>
    </row>
    <row r="315" spans="1:6" ht="21.75" customHeight="1">
      <c r="A315" s="221"/>
      <c r="B315" s="212">
        <f>IFERROR(VLOOKUP(A315,'Tổng,SUMMARY'!C:D,2,0),)</f>
        <v>0</v>
      </c>
      <c r="C315" s="343"/>
      <c r="D315" s="213"/>
      <c r="E315" s="350"/>
      <c r="F315" s="215"/>
    </row>
    <row r="316" spans="1:6" ht="21.75" customHeight="1">
      <c r="A316" s="221"/>
      <c r="B316" s="212">
        <f>IFERROR(VLOOKUP(A316,'Tổng,SUMMARY'!C:D,2,0),)</f>
        <v>0</v>
      </c>
      <c r="C316" s="343"/>
      <c r="D316" s="213"/>
      <c r="E316" s="350"/>
      <c r="F316" s="215"/>
    </row>
    <row r="317" spans="1:6" ht="21.75" customHeight="1">
      <c r="A317" s="211"/>
      <c r="B317" s="212">
        <f>IFERROR(VLOOKUP(A317,'Tổng,SUMMARY'!C:D,2,0),)</f>
        <v>0</v>
      </c>
      <c r="C317" s="343"/>
      <c r="D317" s="213"/>
      <c r="E317" s="350"/>
      <c r="F317" s="215"/>
    </row>
    <row r="318" spans="1:6" ht="21.75" customHeight="1">
      <c r="A318" s="217"/>
      <c r="B318" s="212">
        <f>IFERROR(VLOOKUP(A318,'Tổng,SUMMARY'!C:D,2,0),)</f>
        <v>0</v>
      </c>
      <c r="C318" s="343"/>
      <c r="D318" s="213"/>
      <c r="E318" s="350"/>
      <c r="F318" s="215"/>
    </row>
    <row r="319" spans="1:6" ht="21.75" customHeight="1">
      <c r="A319" s="221"/>
      <c r="B319" s="212">
        <f>IFERROR(VLOOKUP(A319,'Tổng,SUMMARY'!C:D,2,0),)</f>
        <v>0</v>
      </c>
      <c r="C319" s="343"/>
      <c r="D319" s="213"/>
      <c r="E319" s="350"/>
      <c r="F319" s="215"/>
    </row>
    <row r="320" spans="1:6" ht="21.75" customHeight="1">
      <c r="A320" s="217"/>
      <c r="B320" s="212">
        <f>IFERROR(VLOOKUP(A320,'Tổng,SUMMARY'!C:D,2,0),)</f>
        <v>0</v>
      </c>
      <c r="C320" s="343"/>
      <c r="D320" s="213"/>
      <c r="E320" s="350"/>
      <c r="F320" s="218"/>
    </row>
    <row r="321" spans="1:6" ht="21.75" customHeight="1">
      <c r="A321" s="217"/>
      <c r="B321" s="212">
        <f>IFERROR(VLOOKUP(A321,'Tổng,SUMMARY'!C:D,2,0),)</f>
        <v>0</v>
      </c>
      <c r="C321" s="343"/>
      <c r="D321" s="213"/>
      <c r="E321" s="350"/>
      <c r="F321" s="218"/>
    </row>
    <row r="322" spans="1:6" ht="21.75" customHeight="1">
      <c r="A322" s="221"/>
      <c r="B322" s="212">
        <f>IFERROR(VLOOKUP(A322,'Tổng,SUMMARY'!C:D,2,0),)</f>
        <v>0</v>
      </c>
      <c r="C322" s="343"/>
      <c r="D322" s="213"/>
      <c r="E322" s="350"/>
      <c r="F322" s="218"/>
    </row>
    <row r="323" spans="1:6" ht="21.75" customHeight="1">
      <c r="A323" s="219"/>
      <c r="B323" s="212">
        <f>IFERROR(VLOOKUP(A323,'Tổng,SUMMARY'!C:D,2,0),)</f>
        <v>0</v>
      </c>
      <c r="C323" s="343"/>
      <c r="D323" s="213"/>
      <c r="E323" s="214"/>
      <c r="F323" s="218"/>
    </row>
    <row r="324" spans="1:6" ht="21.75" customHeight="1">
      <c r="A324" s="219"/>
      <c r="B324" s="212">
        <f>IFERROR(VLOOKUP(A324,'Tổng,SUMMARY'!C:D,2,0),)</f>
        <v>0</v>
      </c>
      <c r="C324" s="343"/>
      <c r="D324" s="213"/>
      <c r="E324" s="214"/>
      <c r="F324" s="218"/>
    </row>
    <row r="325" spans="1:6" ht="21.75" customHeight="1">
      <c r="A325" s="219"/>
      <c r="B325" s="212">
        <f>IFERROR(VLOOKUP(A325,'Tổng,SUMMARY'!C:D,2,0),)</f>
        <v>0</v>
      </c>
      <c r="C325" s="343"/>
      <c r="D325" s="213"/>
      <c r="E325" s="214"/>
      <c r="F325" s="215"/>
    </row>
    <row r="326" spans="1:6" ht="21.75" customHeight="1">
      <c r="A326" s="219"/>
      <c r="B326" s="212">
        <f>IFERROR(VLOOKUP(A326,'Tổng,SUMMARY'!C:D,2,0),)</f>
        <v>0</v>
      </c>
      <c r="C326" s="343"/>
      <c r="D326" s="213"/>
      <c r="E326" s="214"/>
      <c r="F326" s="215"/>
    </row>
    <row r="327" spans="1:6" ht="21.75" customHeight="1">
      <c r="A327" s="221"/>
      <c r="B327" s="212">
        <f>IFERROR(VLOOKUP(A327,'Tổng,SUMMARY'!C:D,2,0),)</f>
        <v>0</v>
      </c>
      <c r="C327" s="343"/>
      <c r="D327" s="213"/>
      <c r="E327" s="214"/>
      <c r="F327" s="215"/>
    </row>
    <row r="328" spans="1:6" ht="21.75" customHeight="1">
      <c r="A328" s="221"/>
      <c r="B328" s="212">
        <f>IFERROR(VLOOKUP(A328,'Tổng,SUMMARY'!C:D,2,0),)</f>
        <v>0</v>
      </c>
      <c r="C328" s="343"/>
      <c r="D328" s="213"/>
      <c r="E328" s="350"/>
      <c r="F328" s="215"/>
    </row>
    <row r="329" spans="1:6" ht="21.75" customHeight="1">
      <c r="A329" s="221"/>
      <c r="B329" s="212">
        <f>IFERROR(VLOOKUP(A329,'Tổng,SUMMARY'!C:D,2,0),)</f>
        <v>0</v>
      </c>
      <c r="C329" s="343"/>
      <c r="D329" s="213"/>
      <c r="E329" s="350"/>
      <c r="F329" s="215"/>
    </row>
    <row r="330" spans="1:6" ht="21.75" customHeight="1">
      <c r="A330" s="221"/>
      <c r="B330" s="212">
        <f>IFERROR(VLOOKUP(A330,'Tổng,SUMMARY'!C:D,2,0),)</f>
        <v>0</v>
      </c>
      <c r="C330" s="343"/>
      <c r="D330" s="213"/>
      <c r="E330" s="350"/>
      <c r="F330" s="215"/>
    </row>
    <row r="331" spans="1:6" ht="21.75" customHeight="1">
      <c r="A331" s="221"/>
      <c r="B331" s="212">
        <f>IFERROR(VLOOKUP(A331,'Tổng,SUMMARY'!C:D,2,0),)</f>
        <v>0</v>
      </c>
      <c r="C331" s="343"/>
      <c r="D331" s="213"/>
      <c r="E331" s="350"/>
      <c r="F331" s="215"/>
    </row>
    <row r="332" spans="1:6" ht="21.75" customHeight="1">
      <c r="A332" s="221"/>
      <c r="B332" s="212">
        <f>IFERROR(VLOOKUP(A332,'Tổng,SUMMARY'!C:D,2,0),)</f>
        <v>0</v>
      </c>
      <c r="C332" s="343"/>
      <c r="D332" s="213"/>
      <c r="E332" s="350"/>
      <c r="F332" s="215"/>
    </row>
    <row r="333" spans="1:6" ht="21.75" customHeight="1">
      <c r="A333" s="221"/>
      <c r="B333" s="212">
        <f>IFERROR(VLOOKUP(A333,'Tổng,SUMMARY'!C:D,2,0),)</f>
        <v>0</v>
      </c>
      <c r="C333" s="343"/>
      <c r="D333" s="213"/>
      <c r="E333" s="350"/>
      <c r="F333" s="215"/>
    </row>
    <row r="334" spans="1:6" ht="21.75" customHeight="1">
      <c r="A334" s="221"/>
      <c r="B334" s="212">
        <f>IFERROR(VLOOKUP(A334,'Tổng,SUMMARY'!C:D,2,0),)</f>
        <v>0</v>
      </c>
      <c r="C334" s="343"/>
      <c r="D334" s="213"/>
      <c r="E334" s="350"/>
      <c r="F334" s="215"/>
    </row>
    <row r="335" spans="1:6" ht="21.75" customHeight="1">
      <c r="A335" s="221"/>
      <c r="B335" s="212">
        <f>IFERROR(VLOOKUP(A335,'Tổng,SUMMARY'!C:D,2,0),)</f>
        <v>0</v>
      </c>
      <c r="C335" s="343"/>
      <c r="D335" s="213"/>
      <c r="E335" s="350"/>
      <c r="F335" s="215"/>
    </row>
    <row r="336" spans="1:6" ht="21.75" customHeight="1">
      <c r="A336" s="221"/>
      <c r="B336" s="212">
        <f>IFERROR(VLOOKUP(A336,'Tổng,SUMMARY'!C:D,2,0),)</f>
        <v>0</v>
      </c>
      <c r="C336" s="343"/>
      <c r="D336" s="213"/>
      <c r="E336" s="350"/>
      <c r="F336" s="218"/>
    </row>
    <row r="337" spans="1:6" ht="21.75" customHeight="1">
      <c r="A337" s="217"/>
      <c r="B337" s="212">
        <f>IFERROR(VLOOKUP(A337,'Tổng,SUMMARY'!C:D,2,0),)</f>
        <v>0</v>
      </c>
      <c r="C337" s="343"/>
      <c r="D337" s="213"/>
      <c r="E337" s="350"/>
      <c r="F337" s="218"/>
    </row>
    <row r="338" spans="1:6" ht="21.75" customHeight="1">
      <c r="A338" s="221"/>
      <c r="B338" s="212">
        <f>IFERROR(VLOOKUP(A338,'Tổng,SUMMARY'!C:D,2,0),)</f>
        <v>0</v>
      </c>
      <c r="C338" s="343"/>
      <c r="D338" s="213"/>
      <c r="E338" s="350"/>
      <c r="F338" s="218"/>
    </row>
    <row r="339" spans="1:6" ht="21.75" customHeight="1">
      <c r="A339" s="221"/>
      <c r="B339" s="212">
        <f>IFERROR(VLOOKUP(A339,'Tổng,SUMMARY'!C:D,2,0),)</f>
        <v>0</v>
      </c>
      <c r="C339" s="343"/>
      <c r="D339" s="213"/>
      <c r="E339" s="350"/>
      <c r="F339" s="215"/>
    </row>
    <row r="340" spans="1:6" ht="21.75" customHeight="1">
      <c r="A340" s="221"/>
      <c r="B340" s="212">
        <f>IFERROR(VLOOKUP(A340,'Tổng,SUMMARY'!C:D,2,0),)</f>
        <v>0</v>
      </c>
      <c r="C340" s="343"/>
      <c r="D340" s="213"/>
      <c r="E340" s="350"/>
      <c r="F340" s="215"/>
    </row>
    <row r="341" spans="1:6" ht="21.75" customHeight="1">
      <c r="A341" s="221"/>
      <c r="B341" s="212">
        <f>IFERROR(VLOOKUP(A341,'Tổng,SUMMARY'!C:D,2,0),)</f>
        <v>0</v>
      </c>
      <c r="C341" s="343"/>
      <c r="D341" s="213"/>
      <c r="E341" s="350"/>
      <c r="F341" s="215"/>
    </row>
    <row r="342" spans="1:6" ht="21.75" customHeight="1">
      <c r="A342" s="221"/>
      <c r="B342" s="212">
        <f>IFERROR(VLOOKUP(A342,'Tổng,SUMMARY'!C:D,2,0),)</f>
        <v>0</v>
      </c>
      <c r="C342" s="343"/>
      <c r="D342" s="213"/>
      <c r="E342" s="350"/>
      <c r="F342" s="215"/>
    </row>
    <row r="343" spans="1:6" ht="21.75" customHeight="1">
      <c r="A343" s="221"/>
      <c r="B343" s="212">
        <f>IFERROR(VLOOKUP(A343,'Tổng,SUMMARY'!C:D,2,0),)</f>
        <v>0</v>
      </c>
      <c r="C343" s="343"/>
      <c r="D343" s="213"/>
      <c r="E343" s="350"/>
      <c r="F343" s="215"/>
    </row>
    <row r="344" spans="1:6" ht="21.75" customHeight="1">
      <c r="A344" s="221"/>
      <c r="B344" s="212">
        <f>IFERROR(VLOOKUP(A344,'Tổng,SUMMARY'!C:D,2,0),)</f>
        <v>0</v>
      </c>
      <c r="C344" s="343"/>
      <c r="D344" s="213"/>
      <c r="E344" s="350"/>
      <c r="F344" s="218"/>
    </row>
    <row r="345" spans="1:6" ht="21.75" customHeight="1">
      <c r="A345" s="221"/>
      <c r="B345" s="212">
        <f>IFERROR(VLOOKUP(A345,'Tổng,SUMMARY'!C:D,2,0),)</f>
        <v>0</v>
      </c>
      <c r="C345" s="343"/>
      <c r="D345" s="213"/>
      <c r="E345" s="350"/>
      <c r="F345" s="218"/>
    </row>
    <row r="346" spans="1:6" ht="21.75" customHeight="1">
      <c r="A346" s="221"/>
      <c r="B346" s="212">
        <f>IFERROR(VLOOKUP(A346,'Tổng,SUMMARY'!C:D,2,0),)</f>
        <v>0</v>
      </c>
      <c r="C346" s="343"/>
      <c r="D346" s="213"/>
      <c r="E346" s="350"/>
      <c r="F346" s="218"/>
    </row>
    <row r="347" spans="1:6" ht="21.75" customHeight="1">
      <c r="A347" s="217"/>
      <c r="B347" s="212">
        <f>IFERROR(VLOOKUP(A347,'Tổng,SUMMARY'!C:D,2,0),)</f>
        <v>0</v>
      </c>
      <c r="C347" s="343"/>
      <c r="D347" s="213"/>
      <c r="E347" s="350"/>
      <c r="F347" s="218"/>
    </row>
    <row r="348" spans="1:6" ht="21.75" customHeight="1">
      <c r="A348" s="221"/>
      <c r="B348" s="212">
        <f>IFERROR(VLOOKUP(A348,'Tổng,SUMMARY'!C:D,2,0),)</f>
        <v>0</v>
      </c>
      <c r="C348" s="343"/>
      <c r="D348" s="213"/>
      <c r="E348" s="350"/>
      <c r="F348" s="215"/>
    </row>
    <row r="349" spans="1:6" ht="21.75" customHeight="1">
      <c r="A349" s="221"/>
      <c r="B349" s="212">
        <f>IFERROR(VLOOKUP(A349,'Tổng,SUMMARY'!C:D,2,0),)</f>
        <v>0</v>
      </c>
      <c r="C349" s="343"/>
      <c r="D349" s="213"/>
      <c r="E349" s="350"/>
      <c r="F349" s="215"/>
    </row>
    <row r="350" spans="1:6" ht="21.75" customHeight="1">
      <c r="A350" s="221"/>
      <c r="B350" s="212">
        <f>IFERROR(VLOOKUP(A350,'Tổng,SUMMARY'!C:D,2,0),)</f>
        <v>0</v>
      </c>
      <c r="C350" s="343"/>
      <c r="D350" s="213"/>
      <c r="E350" s="350"/>
      <c r="F350" s="215"/>
    </row>
    <row r="351" spans="1:6" ht="21.75" customHeight="1">
      <c r="A351" s="221"/>
      <c r="B351" s="212">
        <f>IFERROR(VLOOKUP(A351,'Tổng,SUMMARY'!C:D,2,0),)</f>
        <v>0</v>
      </c>
      <c r="C351" s="343"/>
      <c r="D351" s="213"/>
      <c r="E351" s="350"/>
      <c r="F351" s="215"/>
    </row>
    <row r="352" spans="1:6" ht="21.75" customHeight="1">
      <c r="A352" s="221"/>
      <c r="B352" s="212">
        <f>IFERROR(VLOOKUP(A352,'Tổng,SUMMARY'!C:D,2,0),)</f>
        <v>0</v>
      </c>
      <c r="C352" s="343"/>
      <c r="D352" s="213"/>
      <c r="E352" s="350"/>
      <c r="F352" s="215"/>
    </row>
    <row r="353" spans="1:6" ht="21.75" customHeight="1">
      <c r="A353" s="221"/>
      <c r="B353" s="212">
        <f>IFERROR(VLOOKUP(A353,'Tổng,SUMMARY'!C:D,2,0),)</f>
        <v>0</v>
      </c>
      <c r="C353" s="343"/>
      <c r="D353" s="213"/>
      <c r="E353" s="350"/>
      <c r="F353" s="215"/>
    </row>
    <row r="354" spans="1:6" ht="21.75" customHeight="1">
      <c r="A354" s="221"/>
      <c r="B354" s="212">
        <f>IFERROR(VLOOKUP(A354,'Tổng,SUMMARY'!C:D,2,0),)</f>
        <v>0</v>
      </c>
      <c r="C354" s="343"/>
      <c r="D354" s="213"/>
      <c r="E354" s="350"/>
      <c r="F354" s="215"/>
    </row>
    <row r="355" spans="1:6" ht="21.75" customHeight="1">
      <c r="A355" s="221"/>
      <c r="B355" s="212">
        <f>IFERROR(VLOOKUP(A355,'Tổng,SUMMARY'!C:D,2,0),)</f>
        <v>0</v>
      </c>
      <c r="C355" s="343"/>
      <c r="D355" s="213"/>
      <c r="E355" s="350"/>
      <c r="F355" s="215"/>
    </row>
    <row r="356" spans="1:6" ht="21.75" customHeight="1">
      <c r="A356" s="221"/>
      <c r="B356" s="212">
        <f>IFERROR(VLOOKUP(A356,'Tổng,SUMMARY'!C:D,2,0),)</f>
        <v>0</v>
      </c>
      <c r="C356" s="343"/>
      <c r="D356" s="213"/>
      <c r="E356" s="350"/>
      <c r="F356" s="215"/>
    </row>
    <row r="357" spans="1:6" ht="21.75" customHeight="1">
      <c r="A357" s="221"/>
      <c r="B357" s="212">
        <f>IFERROR(VLOOKUP(A357,'Tổng,SUMMARY'!C:D,2,0),)</f>
        <v>0</v>
      </c>
      <c r="C357" s="343"/>
      <c r="D357" s="213"/>
      <c r="E357" s="350"/>
      <c r="F357" s="215"/>
    </row>
    <row r="358" spans="1:6" ht="21.75" customHeight="1">
      <c r="A358" s="221"/>
      <c r="B358" s="212">
        <f>IFERROR(VLOOKUP(A358,'Tổng,SUMMARY'!C:D,2,0),)</f>
        <v>0</v>
      </c>
      <c r="C358" s="343"/>
      <c r="D358" s="213"/>
      <c r="E358" s="350"/>
      <c r="F358" s="215"/>
    </row>
    <row r="359" spans="1:6" ht="21.75" customHeight="1">
      <c r="A359" s="221"/>
      <c r="B359" s="212">
        <f>IFERROR(VLOOKUP(A359,'Tổng,SUMMARY'!C:D,2,0),)</f>
        <v>0</v>
      </c>
      <c r="C359" s="343"/>
      <c r="D359" s="213"/>
      <c r="E359" s="350"/>
      <c r="F359" s="215"/>
    </row>
    <row r="360" spans="1:6" ht="21.75" customHeight="1">
      <c r="A360" s="221"/>
      <c r="B360" s="223"/>
      <c r="C360" s="343"/>
      <c r="D360" s="213"/>
      <c r="E360" s="350"/>
      <c r="F360" s="215"/>
    </row>
    <row r="361" spans="1:6" ht="21.75" customHeight="1">
      <c r="A361" s="221"/>
      <c r="B361" s="223"/>
      <c r="C361" s="343"/>
      <c r="D361" s="213"/>
      <c r="E361" s="350"/>
      <c r="F361" s="215"/>
    </row>
    <row r="362" spans="1:6" ht="21.75" customHeight="1">
      <c r="A362" s="221"/>
      <c r="B362" s="223"/>
      <c r="C362" s="343"/>
      <c r="D362" s="213"/>
      <c r="E362" s="350"/>
      <c r="F362" s="215"/>
    </row>
    <row r="363" spans="1:6" ht="21.75" customHeight="1">
      <c r="A363" s="221"/>
      <c r="B363" s="223"/>
      <c r="C363" s="343"/>
      <c r="D363" s="213"/>
      <c r="E363" s="350"/>
      <c r="F363" s="215"/>
    </row>
    <row r="364" spans="1:6" ht="21.75" customHeight="1">
      <c r="A364" s="221"/>
      <c r="B364" s="223"/>
      <c r="C364" s="343"/>
      <c r="D364" s="213"/>
      <c r="E364" s="350"/>
      <c r="F364" s="215"/>
    </row>
    <row r="365" spans="1:6" ht="21.75" customHeight="1">
      <c r="A365" s="221"/>
      <c r="B365" s="223"/>
      <c r="C365" s="343"/>
      <c r="D365" s="213"/>
      <c r="E365" s="350"/>
      <c r="F365" s="215"/>
    </row>
    <row r="366" spans="1:6" ht="21.75" customHeight="1">
      <c r="A366" s="221"/>
      <c r="B366" s="223"/>
      <c r="C366" s="343"/>
      <c r="D366" s="213"/>
      <c r="E366" s="350"/>
      <c r="F366" s="215"/>
    </row>
    <row r="367" spans="1:6" ht="21.75" customHeight="1">
      <c r="A367" s="221"/>
      <c r="B367" s="223"/>
      <c r="C367" s="343"/>
      <c r="D367" s="213"/>
      <c r="E367" s="350"/>
      <c r="F367" s="215"/>
    </row>
    <row r="368" spans="1:6" ht="21.75" customHeight="1">
      <c r="A368" s="221"/>
      <c r="B368" s="223"/>
      <c r="C368" s="343"/>
      <c r="D368" s="213"/>
      <c r="E368" s="350"/>
      <c r="F368" s="215"/>
    </row>
    <row r="369" spans="1:6" ht="21.75" customHeight="1">
      <c r="A369" s="221"/>
      <c r="B369" s="223"/>
      <c r="C369" s="343"/>
      <c r="D369" s="213"/>
      <c r="E369" s="350"/>
      <c r="F369" s="215"/>
    </row>
    <row r="370" spans="1:6" ht="21.75" customHeight="1">
      <c r="A370" s="221"/>
      <c r="B370" s="223"/>
      <c r="C370" s="343"/>
      <c r="D370" s="213"/>
      <c r="E370" s="350"/>
      <c r="F370" s="215"/>
    </row>
    <row r="371" spans="1:6" ht="21.75" customHeight="1">
      <c r="A371" s="221"/>
      <c r="B371" s="223"/>
      <c r="C371" s="343"/>
      <c r="D371" s="213"/>
      <c r="E371" s="350"/>
      <c r="F371" s="215"/>
    </row>
    <row r="372" spans="1:6" ht="21.75" customHeight="1">
      <c r="A372" s="221"/>
      <c r="B372" s="223"/>
      <c r="C372" s="343"/>
      <c r="D372" s="213"/>
      <c r="E372" s="350"/>
      <c r="F372" s="215"/>
    </row>
    <row r="373" spans="1:6" ht="21.75" customHeight="1">
      <c r="A373" s="221"/>
      <c r="B373" s="223"/>
      <c r="C373" s="343"/>
      <c r="D373" s="213"/>
      <c r="E373" s="350"/>
      <c r="F373" s="215"/>
    </row>
    <row r="374" spans="1:6" ht="21.75" customHeight="1">
      <c r="A374" s="221"/>
      <c r="B374" s="223"/>
      <c r="C374" s="343"/>
      <c r="D374" s="213"/>
      <c r="E374" s="350"/>
      <c r="F374" s="215"/>
    </row>
    <row r="375" spans="1:6" ht="21.75" customHeight="1">
      <c r="A375" s="221"/>
      <c r="B375" s="223"/>
      <c r="C375" s="343"/>
      <c r="D375" s="213"/>
      <c r="E375" s="350"/>
      <c r="F375" s="215"/>
    </row>
    <row r="376" spans="1:6" ht="21.75" customHeight="1">
      <c r="A376" s="221"/>
      <c r="B376" s="223"/>
      <c r="C376" s="343"/>
      <c r="D376" s="213"/>
      <c r="E376" s="350"/>
      <c r="F376" s="215"/>
    </row>
    <row r="377" spans="1:6" ht="21.75" customHeight="1">
      <c r="A377" s="221"/>
      <c r="B377" s="223"/>
      <c r="C377" s="343"/>
      <c r="D377" s="213"/>
      <c r="E377" s="350"/>
      <c r="F377" s="215"/>
    </row>
    <row r="378" spans="1:6" ht="21.75" customHeight="1">
      <c r="A378" s="221"/>
      <c r="B378" s="223"/>
      <c r="C378" s="343"/>
      <c r="D378" s="213"/>
      <c r="E378" s="350"/>
      <c r="F378" s="215"/>
    </row>
    <row r="379" spans="1:6" ht="21.75" customHeight="1">
      <c r="A379" s="221"/>
      <c r="B379" s="223"/>
      <c r="C379" s="343"/>
      <c r="D379" s="213"/>
      <c r="E379" s="350"/>
      <c r="F379" s="215"/>
    </row>
    <row r="380" spans="1:6" ht="21.75" customHeight="1">
      <c r="A380" s="221"/>
      <c r="B380" s="223"/>
      <c r="C380" s="343"/>
      <c r="D380" s="213"/>
      <c r="E380" s="350"/>
      <c r="F380" s="215"/>
    </row>
    <row r="381" spans="1:6" ht="21.75" customHeight="1">
      <c r="A381" s="221"/>
      <c r="B381" s="223"/>
      <c r="C381" s="343"/>
      <c r="D381" s="213"/>
      <c r="E381" s="350"/>
      <c r="F381" s="215"/>
    </row>
    <row r="382" spans="1:6" ht="21.75" customHeight="1">
      <c r="A382" s="221"/>
      <c r="B382" s="223"/>
      <c r="C382" s="343"/>
      <c r="D382" s="213"/>
      <c r="E382" s="350"/>
      <c r="F382" s="215"/>
    </row>
    <row r="383" spans="1:6" ht="21.75" customHeight="1">
      <c r="A383" s="221"/>
      <c r="B383" s="223"/>
      <c r="C383" s="343"/>
      <c r="D383" s="213"/>
      <c r="E383" s="350"/>
      <c r="F383" s="215"/>
    </row>
    <row r="384" spans="1:6" ht="21.75" customHeight="1">
      <c r="A384" s="221"/>
      <c r="B384" s="223"/>
      <c r="C384" s="343"/>
      <c r="D384" s="213"/>
      <c r="E384" s="350"/>
      <c r="F384" s="215"/>
    </row>
    <row r="385" spans="1:6" ht="21.75" customHeight="1">
      <c r="A385" s="221"/>
      <c r="B385" s="223"/>
      <c r="C385" s="343"/>
      <c r="D385" s="213"/>
      <c r="E385" s="350"/>
      <c r="F385" s="215"/>
    </row>
    <row r="386" spans="1:6" ht="21.75" customHeight="1">
      <c r="A386" s="221"/>
      <c r="B386" s="223"/>
      <c r="C386" s="343"/>
      <c r="D386" s="213"/>
      <c r="E386" s="350"/>
      <c r="F386" s="215"/>
    </row>
    <row r="387" spans="1:6" ht="21.75" customHeight="1">
      <c r="A387" s="221"/>
      <c r="B387" s="223"/>
      <c r="C387" s="343"/>
      <c r="D387" s="213"/>
      <c r="E387" s="350"/>
      <c r="F387" s="215"/>
    </row>
    <row r="388" spans="1:6" ht="21.75" customHeight="1">
      <c r="A388" s="221"/>
      <c r="B388" s="223"/>
      <c r="C388" s="343"/>
      <c r="D388" s="213"/>
      <c r="E388" s="350"/>
      <c r="F388" s="215"/>
    </row>
    <row r="389" spans="1:6" ht="21.75" customHeight="1">
      <c r="A389" s="221"/>
      <c r="B389" s="223"/>
      <c r="C389" s="343"/>
      <c r="D389" s="213"/>
      <c r="E389" s="350"/>
      <c r="F389" s="215"/>
    </row>
    <row r="390" spans="1:6" ht="21.75" customHeight="1">
      <c r="A390" s="221"/>
      <c r="B390" s="223"/>
      <c r="C390" s="343"/>
      <c r="D390" s="213"/>
      <c r="E390" s="350"/>
      <c r="F390" s="215"/>
    </row>
    <row r="391" spans="1:6" ht="21.75" customHeight="1">
      <c r="A391" s="221"/>
      <c r="B391" s="223"/>
      <c r="C391" s="343"/>
      <c r="D391" s="213"/>
      <c r="E391" s="350"/>
      <c r="F391" s="215"/>
    </row>
    <row r="392" spans="1:6" ht="21.75" customHeight="1">
      <c r="A392" s="221"/>
      <c r="B392" s="223"/>
      <c r="C392" s="343"/>
      <c r="D392" s="213"/>
      <c r="E392" s="350"/>
      <c r="F392" s="215"/>
    </row>
    <row r="393" spans="1:6" ht="21.75" customHeight="1">
      <c r="A393" s="221"/>
      <c r="B393" s="223"/>
      <c r="C393" s="343"/>
      <c r="D393" s="213"/>
      <c r="E393" s="350"/>
      <c r="F393" s="215"/>
    </row>
    <row r="394" spans="1:6" ht="21.75" customHeight="1">
      <c r="A394" s="221"/>
      <c r="B394" s="223"/>
      <c r="C394" s="343"/>
      <c r="D394" s="213"/>
      <c r="E394" s="350"/>
      <c r="F394" s="215"/>
    </row>
    <row r="395" spans="1:6" ht="21.75" customHeight="1">
      <c r="A395" s="221"/>
      <c r="B395" s="223"/>
      <c r="C395" s="343"/>
      <c r="D395" s="213"/>
      <c r="E395" s="350"/>
      <c r="F395" s="215"/>
    </row>
    <row r="396" spans="1:6" ht="21.75" customHeight="1">
      <c r="A396" s="221"/>
      <c r="B396" s="223"/>
      <c r="C396" s="343"/>
      <c r="D396" s="213"/>
      <c r="E396" s="350"/>
      <c r="F396" s="215"/>
    </row>
    <row r="397" spans="1:6" ht="21.75" customHeight="1">
      <c r="A397" s="221"/>
      <c r="B397" s="223"/>
      <c r="C397" s="343"/>
      <c r="D397" s="213"/>
      <c r="E397" s="350"/>
      <c r="F397" s="215"/>
    </row>
    <row r="398" spans="1:6" ht="21.75" customHeight="1">
      <c r="A398" s="221"/>
      <c r="B398" s="223"/>
      <c r="C398" s="343"/>
      <c r="D398" s="213"/>
      <c r="E398" s="350"/>
      <c r="F398" s="215"/>
    </row>
    <row r="399" spans="1:6" ht="21.75" customHeight="1">
      <c r="A399" s="221"/>
      <c r="B399" s="223"/>
      <c r="C399" s="343"/>
      <c r="D399" s="213"/>
      <c r="E399" s="350"/>
      <c r="F399" s="215"/>
    </row>
    <row r="400" spans="1:6" ht="21.75" customHeight="1">
      <c r="A400" s="221"/>
      <c r="B400" s="223"/>
      <c r="C400" s="343"/>
      <c r="D400" s="213"/>
      <c r="E400" s="350"/>
      <c r="F400" s="215"/>
    </row>
    <row r="401" spans="1:6" ht="21.75" customHeight="1">
      <c r="A401" s="221"/>
      <c r="B401" s="223"/>
      <c r="C401" s="343"/>
      <c r="D401" s="213"/>
      <c r="E401" s="350"/>
      <c r="F401" s="215"/>
    </row>
    <row r="402" spans="1:6" ht="21.75" customHeight="1">
      <c r="A402" s="221"/>
      <c r="B402" s="223"/>
      <c r="C402" s="343"/>
      <c r="D402" s="213"/>
      <c r="E402" s="350"/>
      <c r="F402" s="215"/>
    </row>
    <row r="403" spans="1:6" ht="21.75" customHeight="1">
      <c r="A403" s="221"/>
      <c r="B403" s="223"/>
      <c r="C403" s="343"/>
      <c r="D403" s="213"/>
      <c r="E403" s="350"/>
      <c r="F403" s="215"/>
    </row>
    <row r="404" spans="1:6" ht="21.75" customHeight="1">
      <c r="A404" s="221"/>
      <c r="B404" s="223"/>
      <c r="C404" s="343"/>
      <c r="D404" s="213"/>
      <c r="E404" s="350"/>
      <c r="F404" s="215"/>
    </row>
    <row r="405" spans="1:6" ht="21.75" customHeight="1">
      <c r="A405" s="221"/>
      <c r="B405" s="223"/>
      <c r="C405" s="343"/>
      <c r="D405" s="213"/>
      <c r="E405" s="350"/>
      <c r="F405" s="215"/>
    </row>
    <row r="406" spans="1:6" ht="21.75" customHeight="1">
      <c r="A406" s="221"/>
      <c r="B406" s="223"/>
      <c r="C406" s="343"/>
      <c r="D406" s="213"/>
      <c r="E406" s="350"/>
      <c r="F406" s="215"/>
    </row>
    <row r="407" spans="1:6" ht="21.75" customHeight="1">
      <c r="A407" s="221"/>
      <c r="B407" s="223"/>
      <c r="C407" s="343"/>
      <c r="D407" s="213"/>
      <c r="E407" s="350"/>
      <c r="F407" s="215"/>
    </row>
    <row r="408" spans="1:6" ht="21.75" customHeight="1">
      <c r="A408" s="221"/>
      <c r="B408" s="223"/>
      <c r="C408" s="343"/>
      <c r="D408" s="213"/>
      <c r="E408" s="350"/>
      <c r="F408" s="215"/>
    </row>
    <row r="409" spans="1:6" ht="21.75" customHeight="1">
      <c r="A409" s="221"/>
      <c r="B409" s="223"/>
      <c r="C409" s="343"/>
      <c r="D409" s="213"/>
      <c r="E409" s="350"/>
      <c r="F409" s="215"/>
    </row>
    <row r="410" spans="1:6" ht="21.75" customHeight="1">
      <c r="A410" s="221"/>
      <c r="B410" s="223"/>
      <c r="C410" s="343"/>
      <c r="D410" s="213"/>
      <c r="E410" s="350"/>
      <c r="F410" s="215"/>
    </row>
    <row r="411" spans="1:6" ht="21.75" customHeight="1">
      <c r="A411" s="221"/>
      <c r="B411" s="223"/>
      <c r="C411" s="343"/>
      <c r="D411" s="213"/>
      <c r="E411" s="350"/>
      <c r="F411" s="215"/>
    </row>
    <row r="412" spans="1:6" ht="21.75" customHeight="1">
      <c r="A412" s="221"/>
      <c r="B412" s="223"/>
      <c r="C412" s="343"/>
      <c r="D412" s="213"/>
      <c r="E412" s="350"/>
      <c r="F412" s="215"/>
    </row>
    <row r="413" spans="1:6" ht="21.75" customHeight="1">
      <c r="A413" s="221"/>
      <c r="B413" s="223"/>
      <c r="C413" s="343"/>
      <c r="D413" s="213"/>
      <c r="E413" s="350"/>
      <c r="F413" s="215"/>
    </row>
    <row r="414" spans="1:6" ht="21.75" customHeight="1">
      <c r="A414" s="221"/>
      <c r="B414" s="223"/>
      <c r="C414" s="343"/>
      <c r="D414" s="213"/>
      <c r="E414" s="350"/>
      <c r="F414" s="215"/>
    </row>
    <row r="415" spans="1:6" ht="21.75" customHeight="1">
      <c r="A415" s="221"/>
      <c r="B415" s="223"/>
      <c r="C415" s="343"/>
      <c r="D415" s="213"/>
      <c r="E415" s="350"/>
      <c r="F415" s="215"/>
    </row>
    <row r="416" spans="1:6" ht="21.75" customHeight="1">
      <c r="A416" s="221"/>
      <c r="B416" s="223"/>
      <c r="C416" s="343"/>
      <c r="D416" s="213"/>
      <c r="E416" s="350"/>
      <c r="F416" s="215"/>
    </row>
    <row r="417" spans="1:6" ht="21.75" customHeight="1">
      <c r="A417" s="221"/>
      <c r="B417" s="223"/>
      <c r="C417" s="343"/>
      <c r="D417" s="213"/>
      <c r="E417" s="350"/>
      <c r="F417" s="215"/>
    </row>
    <row r="418" spans="1:6" ht="21.75" customHeight="1">
      <c r="A418" s="221"/>
      <c r="B418" s="223"/>
      <c r="C418" s="343"/>
      <c r="D418" s="213"/>
      <c r="E418" s="350"/>
      <c r="F418" s="215"/>
    </row>
    <row r="419" spans="1:6" ht="21.75" customHeight="1">
      <c r="A419" s="221"/>
      <c r="B419" s="223"/>
      <c r="C419" s="343"/>
      <c r="D419" s="213"/>
      <c r="E419" s="350"/>
      <c r="F419" s="215"/>
    </row>
    <row r="420" spans="1:6" ht="21.75" customHeight="1">
      <c r="A420" s="221"/>
      <c r="B420" s="223"/>
      <c r="C420" s="343"/>
      <c r="D420" s="213"/>
      <c r="E420" s="350"/>
      <c r="F420" s="215"/>
    </row>
    <row r="421" spans="1:6" ht="21.75" customHeight="1">
      <c r="A421" s="221"/>
      <c r="B421" s="223"/>
      <c r="C421" s="343"/>
      <c r="D421" s="213"/>
      <c r="E421" s="350"/>
      <c r="F421" s="215"/>
    </row>
    <row r="422" spans="1:6" ht="21.75" customHeight="1">
      <c r="A422" s="221"/>
      <c r="B422" s="223"/>
      <c r="C422" s="343"/>
      <c r="D422" s="213"/>
      <c r="E422" s="350"/>
      <c r="F422" s="215"/>
    </row>
    <row r="423" spans="1:6" ht="21.75" customHeight="1">
      <c r="A423" s="221"/>
      <c r="B423" s="223"/>
      <c r="C423" s="343"/>
      <c r="D423" s="213"/>
      <c r="E423" s="350"/>
      <c r="F423" s="215"/>
    </row>
    <row r="424" spans="1:6" ht="21.75" customHeight="1">
      <c r="A424" s="221"/>
      <c r="B424" s="223"/>
      <c r="C424" s="343"/>
      <c r="D424" s="213"/>
      <c r="E424" s="350"/>
      <c r="F424" s="215"/>
    </row>
    <row r="425" spans="1:6" ht="21.75" customHeight="1">
      <c r="A425" s="221"/>
      <c r="B425" s="223"/>
      <c r="C425" s="343"/>
      <c r="D425" s="213"/>
      <c r="E425" s="350"/>
      <c r="F425" s="215"/>
    </row>
    <row r="426" spans="1:6" ht="21.75" customHeight="1">
      <c r="A426" s="221"/>
      <c r="B426" s="223"/>
      <c r="C426" s="343"/>
      <c r="D426" s="213"/>
      <c r="E426" s="350"/>
      <c r="F426" s="215"/>
    </row>
    <row r="427" spans="1:6" ht="21.75" customHeight="1">
      <c r="A427" s="221"/>
      <c r="B427" s="223"/>
      <c r="C427" s="343"/>
      <c r="D427" s="213"/>
      <c r="E427" s="350"/>
      <c r="F427" s="215"/>
    </row>
    <row r="428" spans="1:6" ht="21.75" customHeight="1">
      <c r="A428" s="221"/>
      <c r="B428" s="223"/>
      <c r="C428" s="343"/>
      <c r="D428" s="213"/>
      <c r="E428" s="350"/>
      <c r="F428" s="215"/>
    </row>
    <row r="429" spans="1:6" ht="21.75" customHeight="1">
      <c r="A429" s="221"/>
      <c r="B429" s="223"/>
      <c r="C429" s="343"/>
      <c r="D429" s="213"/>
      <c r="E429" s="350"/>
      <c r="F429" s="215"/>
    </row>
    <row r="430" spans="1:6" ht="21.75" customHeight="1">
      <c r="A430" s="221"/>
      <c r="B430" s="223"/>
      <c r="C430" s="343"/>
      <c r="D430" s="213"/>
      <c r="E430" s="350"/>
      <c r="F430" s="215"/>
    </row>
    <row r="431" spans="1:6" ht="21.75" customHeight="1">
      <c r="A431" s="221"/>
      <c r="B431" s="223"/>
      <c r="C431" s="343"/>
      <c r="D431" s="213"/>
      <c r="E431" s="350"/>
      <c r="F431" s="215"/>
    </row>
    <row r="432" spans="1:6" ht="21.75" customHeight="1">
      <c r="A432" s="221"/>
      <c r="B432" s="223"/>
      <c r="C432" s="343"/>
      <c r="D432" s="213"/>
      <c r="E432" s="350"/>
      <c r="F432" s="215"/>
    </row>
    <row r="433" spans="1:6" ht="21.75" customHeight="1">
      <c r="A433" s="221"/>
      <c r="B433" s="223"/>
      <c r="C433" s="343"/>
      <c r="D433" s="213"/>
      <c r="E433" s="350"/>
      <c r="F433" s="215"/>
    </row>
    <row r="434" spans="1:6" ht="21.75" customHeight="1">
      <c r="A434" s="221"/>
      <c r="B434" s="223"/>
      <c r="C434" s="343"/>
      <c r="D434" s="213"/>
      <c r="E434" s="350"/>
      <c r="F434" s="215"/>
    </row>
    <row r="435" spans="1:6" ht="21.75" customHeight="1">
      <c r="A435" s="221"/>
      <c r="B435" s="223"/>
      <c r="C435" s="343"/>
      <c r="D435" s="213"/>
      <c r="E435" s="350"/>
      <c r="F435" s="215"/>
    </row>
    <row r="436" spans="1:6" ht="21.75" customHeight="1">
      <c r="A436" s="221"/>
      <c r="B436" s="223"/>
      <c r="C436" s="343"/>
      <c r="D436" s="213"/>
      <c r="E436" s="350"/>
      <c r="F436" s="215"/>
    </row>
    <row r="437" spans="1:6" ht="21.75" customHeight="1">
      <c r="A437" s="221"/>
      <c r="B437" s="223"/>
      <c r="C437" s="343"/>
      <c r="D437" s="213"/>
      <c r="E437" s="350"/>
      <c r="F437" s="215"/>
    </row>
    <row r="438" spans="1:6" ht="21.75" customHeight="1">
      <c r="A438" s="221"/>
      <c r="B438" s="223"/>
      <c r="C438" s="343"/>
      <c r="D438" s="213"/>
      <c r="E438" s="350"/>
      <c r="F438" s="215"/>
    </row>
    <row r="439" spans="1:6" ht="21.75" customHeight="1">
      <c r="A439" s="221"/>
      <c r="B439" s="223"/>
      <c r="C439" s="343"/>
      <c r="D439" s="213"/>
      <c r="E439" s="350"/>
      <c r="F439" s="215"/>
    </row>
    <row r="440" spans="1:6" ht="21.75" customHeight="1">
      <c r="A440" s="221"/>
      <c r="B440" s="223"/>
      <c r="C440" s="343"/>
      <c r="D440" s="213"/>
      <c r="E440" s="350"/>
      <c r="F440" s="215"/>
    </row>
    <row r="441" spans="1:6" ht="21.75" customHeight="1">
      <c r="A441" s="221"/>
      <c r="B441" s="223"/>
      <c r="C441" s="343"/>
      <c r="D441" s="213"/>
      <c r="E441" s="350"/>
      <c r="F441" s="215"/>
    </row>
    <row r="442" spans="1:6" ht="21.75" customHeight="1">
      <c r="A442" s="221"/>
      <c r="B442" s="223"/>
      <c r="C442" s="343"/>
      <c r="D442" s="213"/>
      <c r="E442" s="350"/>
      <c r="F442" s="215"/>
    </row>
    <row r="443" spans="1:6" ht="21.75" customHeight="1">
      <c r="A443" s="221"/>
      <c r="B443" s="223"/>
      <c r="C443" s="343"/>
      <c r="D443" s="213"/>
      <c r="E443" s="350"/>
      <c r="F443" s="215"/>
    </row>
    <row r="444" spans="1:6" ht="21.75" customHeight="1">
      <c r="A444" s="221"/>
      <c r="B444" s="223"/>
      <c r="C444" s="343"/>
      <c r="D444" s="213"/>
      <c r="E444" s="350"/>
      <c r="F444" s="215"/>
    </row>
    <row r="445" spans="1:6" ht="21.75" customHeight="1">
      <c r="A445" s="221"/>
      <c r="B445" s="223"/>
      <c r="C445" s="343"/>
      <c r="D445" s="213"/>
      <c r="E445" s="350"/>
      <c r="F445" s="215"/>
    </row>
    <row r="446" spans="1:6" ht="21.75" customHeight="1">
      <c r="A446" s="221"/>
      <c r="B446" s="223"/>
      <c r="C446" s="343"/>
      <c r="D446" s="213"/>
      <c r="E446" s="350"/>
      <c r="F446" s="215"/>
    </row>
    <row r="447" spans="1:6" ht="21.75" customHeight="1">
      <c r="A447" s="221"/>
      <c r="B447" s="223"/>
      <c r="C447" s="343"/>
      <c r="E447" s="350"/>
      <c r="F447" s="215"/>
    </row>
    <row r="448" spans="1:6" ht="21.75" customHeight="1">
      <c r="A448" s="221"/>
      <c r="B448" s="223"/>
      <c r="C448" s="343"/>
      <c r="D448" s="213"/>
      <c r="E448" s="350"/>
      <c r="F448" s="215"/>
    </row>
    <row r="449" spans="1:6" ht="21.75" customHeight="1">
      <c r="A449" s="221"/>
      <c r="B449" s="223"/>
      <c r="C449" s="343"/>
      <c r="D449" s="213"/>
      <c r="E449" s="350"/>
      <c r="F449" s="215"/>
    </row>
    <row r="450" spans="1:6" ht="21.75" customHeight="1">
      <c r="A450" s="221"/>
      <c r="B450" s="223"/>
      <c r="C450" s="343"/>
      <c r="D450" s="213"/>
      <c r="E450" s="350"/>
      <c r="F450" s="215"/>
    </row>
    <row r="451" spans="1:6" ht="21.75" customHeight="1">
      <c r="A451" s="221"/>
      <c r="B451" s="223"/>
      <c r="C451" s="343"/>
      <c r="D451" s="213"/>
      <c r="E451" s="350"/>
      <c r="F451" s="215"/>
    </row>
    <row r="452" spans="1:6" ht="21.75" customHeight="1">
      <c r="A452" s="221"/>
      <c r="B452" s="223"/>
      <c r="C452" s="343"/>
      <c r="D452" s="213"/>
      <c r="E452" s="350"/>
      <c r="F452" s="215"/>
    </row>
    <row r="453" spans="1:6" ht="21.75" customHeight="1">
      <c r="A453" s="221"/>
      <c r="B453" s="223"/>
      <c r="C453" s="343"/>
      <c r="D453" s="213"/>
      <c r="E453" s="350"/>
      <c r="F453" s="215"/>
    </row>
    <row r="454" spans="1:6" ht="21.75" customHeight="1">
      <c r="A454" s="221"/>
      <c r="B454" s="223"/>
      <c r="C454" s="343"/>
      <c r="D454" s="213"/>
      <c r="E454" s="350"/>
      <c r="F454" s="215"/>
    </row>
    <row r="455" spans="1:6" ht="21.75" customHeight="1">
      <c r="A455" s="221"/>
      <c r="B455" s="223"/>
      <c r="C455" s="343"/>
      <c r="D455" s="213"/>
      <c r="E455" s="350"/>
      <c r="F455" s="215"/>
    </row>
    <row r="456" spans="1:6" ht="21.75" customHeight="1">
      <c r="A456" s="221"/>
      <c r="B456" s="223"/>
      <c r="C456" s="343"/>
      <c r="D456" s="213"/>
      <c r="E456" s="350"/>
      <c r="F456" s="215"/>
    </row>
    <row r="457" spans="1:6" ht="21.75" customHeight="1">
      <c r="A457" s="221"/>
      <c r="B457" s="223"/>
      <c r="C457" s="343"/>
      <c r="D457" s="213"/>
      <c r="E457" s="350"/>
      <c r="F457" s="215"/>
    </row>
    <row r="458" spans="1:6" ht="21.75" customHeight="1">
      <c r="A458" s="221"/>
      <c r="B458" s="223"/>
      <c r="C458" s="343"/>
      <c r="D458" s="213"/>
      <c r="E458" s="350"/>
      <c r="F458" s="215"/>
    </row>
    <row r="459" spans="1:6" ht="21.75" customHeight="1">
      <c r="A459" s="221"/>
      <c r="B459" s="223"/>
      <c r="C459" s="343"/>
      <c r="D459" s="213"/>
      <c r="E459" s="350"/>
      <c r="F459" s="215"/>
    </row>
    <row r="460" spans="1:6" ht="21.75" customHeight="1">
      <c r="A460" s="221"/>
      <c r="B460" s="223"/>
      <c r="C460" s="343"/>
      <c r="D460" s="213"/>
      <c r="E460" s="350"/>
      <c r="F460" s="215"/>
    </row>
    <row r="461" spans="1:6" ht="21.75" customHeight="1">
      <c r="A461" s="221"/>
      <c r="B461" s="223"/>
      <c r="C461" s="343"/>
      <c r="D461" s="213"/>
      <c r="E461" s="350"/>
      <c r="F461" s="215"/>
    </row>
    <row r="462" spans="1:6" ht="21.75" customHeight="1">
      <c r="A462" s="221"/>
      <c r="B462" s="223"/>
      <c r="C462" s="343"/>
      <c r="D462" s="213"/>
      <c r="E462" s="350"/>
      <c r="F462" s="215"/>
    </row>
    <row r="463" spans="1:6" ht="21.75" customHeight="1">
      <c r="A463" s="221"/>
      <c r="B463" s="223"/>
      <c r="C463" s="343"/>
      <c r="D463" s="213"/>
      <c r="E463" s="350"/>
      <c r="F463" s="215"/>
    </row>
    <row r="464" spans="1:6" ht="21.75" customHeight="1">
      <c r="A464" s="221"/>
      <c r="B464" s="223"/>
      <c r="C464" s="343"/>
      <c r="D464" s="213"/>
      <c r="E464" s="350"/>
      <c r="F464" s="215"/>
    </row>
    <row r="465" spans="1:6" ht="21.75" customHeight="1">
      <c r="A465" s="221"/>
      <c r="B465" s="223"/>
      <c r="C465" s="343"/>
      <c r="D465" s="213"/>
      <c r="E465" s="350"/>
      <c r="F465" s="215"/>
    </row>
    <row r="466" spans="1:6" ht="21.75" customHeight="1">
      <c r="A466" s="221"/>
      <c r="B466" s="223"/>
      <c r="C466" s="343"/>
      <c r="D466" s="213"/>
      <c r="E466" s="350"/>
      <c r="F466" s="215"/>
    </row>
    <row r="467" spans="1:6" ht="21.75" customHeight="1">
      <c r="A467" s="221"/>
      <c r="B467" s="223"/>
      <c r="C467" s="343"/>
      <c r="D467" s="213"/>
      <c r="E467" s="350"/>
      <c r="F467" s="215"/>
    </row>
    <row r="468" spans="1:6" ht="21.75" customHeight="1">
      <c r="A468" s="221"/>
      <c r="B468" s="223"/>
      <c r="C468" s="343"/>
      <c r="D468" s="213"/>
      <c r="E468" s="350"/>
      <c r="F468" s="215"/>
    </row>
    <row r="469" spans="1:6" ht="21.75" customHeight="1">
      <c r="A469" s="221"/>
      <c r="B469" s="223"/>
      <c r="C469" s="343"/>
      <c r="D469" s="213"/>
      <c r="E469" s="350"/>
      <c r="F469" s="215"/>
    </row>
    <row r="470" spans="1:6" ht="21.75" customHeight="1">
      <c r="A470" s="221"/>
      <c r="B470" s="223"/>
      <c r="C470" s="343"/>
      <c r="D470" s="213"/>
      <c r="E470" s="350"/>
      <c r="F470" s="215"/>
    </row>
    <row r="471" spans="1:6" ht="21.75" customHeight="1">
      <c r="A471" s="221"/>
      <c r="B471" s="223"/>
      <c r="C471" s="343"/>
      <c r="D471" s="213"/>
      <c r="E471" s="350"/>
      <c r="F471" s="215"/>
    </row>
    <row r="472" spans="1:6" ht="21.75" customHeight="1">
      <c r="A472" s="221"/>
      <c r="B472" s="223"/>
      <c r="C472" s="343"/>
      <c r="D472" s="213"/>
      <c r="E472" s="350"/>
      <c r="F472" s="215"/>
    </row>
    <row r="473" spans="1:6" ht="21.75" customHeight="1">
      <c r="A473" s="221"/>
      <c r="B473" s="223"/>
      <c r="C473" s="343"/>
      <c r="D473" s="213"/>
      <c r="E473" s="350"/>
      <c r="F473" s="215"/>
    </row>
    <row r="474" spans="1:6" ht="21.75" customHeight="1">
      <c r="A474" s="221"/>
      <c r="B474" s="223"/>
      <c r="C474" s="343"/>
      <c r="D474" s="213"/>
      <c r="E474" s="350"/>
      <c r="F474" s="215"/>
    </row>
    <row r="475" spans="1:6" ht="21.75" customHeight="1">
      <c r="A475" s="221"/>
      <c r="B475" s="223"/>
      <c r="C475" s="343"/>
      <c r="D475" s="213"/>
      <c r="E475" s="350"/>
      <c r="F475" s="215"/>
    </row>
    <row r="476" spans="1:6" ht="21.75" customHeight="1">
      <c r="A476" s="221"/>
      <c r="B476" s="223"/>
      <c r="C476" s="343"/>
      <c r="D476" s="213"/>
      <c r="E476" s="350"/>
      <c r="F476" s="215"/>
    </row>
    <row r="477" spans="1:6" ht="21.75" customHeight="1">
      <c r="A477" s="221"/>
      <c r="B477" s="223"/>
      <c r="C477" s="343"/>
      <c r="D477" s="213"/>
      <c r="E477" s="350"/>
      <c r="F477" s="215"/>
    </row>
    <row r="478" spans="1:6" ht="21.75" customHeight="1">
      <c r="A478" s="221"/>
      <c r="B478" s="223"/>
      <c r="C478" s="343"/>
      <c r="D478" s="213"/>
      <c r="E478" s="350"/>
      <c r="F478" s="215"/>
    </row>
    <row r="479" spans="1:6" ht="21.75" customHeight="1">
      <c r="A479" s="221"/>
      <c r="B479" s="223"/>
      <c r="C479" s="343"/>
      <c r="D479" s="213"/>
      <c r="E479" s="350"/>
      <c r="F479" s="215"/>
    </row>
    <row r="480" spans="1:6" ht="21.75" customHeight="1">
      <c r="A480" s="221"/>
      <c r="B480" s="223"/>
      <c r="C480" s="343"/>
      <c r="D480" s="213"/>
      <c r="E480" s="350"/>
      <c r="F480" s="215"/>
    </row>
    <row r="481" spans="1:6" ht="21.75" customHeight="1">
      <c r="A481" s="221"/>
      <c r="B481" s="223"/>
      <c r="C481" s="343"/>
      <c r="D481" s="213"/>
      <c r="E481" s="350"/>
      <c r="F481" s="215"/>
    </row>
    <row r="482" spans="1:6" ht="21.75" customHeight="1">
      <c r="A482" s="221"/>
      <c r="B482" s="223"/>
      <c r="C482" s="343"/>
      <c r="D482" s="213"/>
      <c r="E482" s="350"/>
      <c r="F482" s="215"/>
    </row>
    <row r="483" spans="1:6" ht="21.75" customHeight="1">
      <c r="A483" s="221"/>
      <c r="B483" s="223"/>
      <c r="C483" s="343"/>
      <c r="D483" s="213"/>
      <c r="E483" s="350"/>
      <c r="F483" s="215"/>
    </row>
    <row r="484" spans="1:6" ht="21.75" customHeight="1">
      <c r="A484" s="221"/>
      <c r="B484" s="223"/>
      <c r="C484" s="343"/>
      <c r="D484" s="213"/>
      <c r="E484" s="350"/>
      <c r="F484" s="215"/>
    </row>
    <row r="485" spans="1:6" ht="21.75" customHeight="1">
      <c r="A485" s="221"/>
      <c r="B485" s="223"/>
      <c r="C485" s="343"/>
      <c r="D485" s="213"/>
      <c r="E485" s="350"/>
      <c r="F485" s="215"/>
    </row>
    <row r="486" spans="1:6" ht="21.75" customHeight="1">
      <c r="A486" s="221"/>
      <c r="B486" s="223"/>
      <c r="C486" s="343"/>
      <c r="D486" s="213"/>
      <c r="E486" s="350"/>
      <c r="F486" s="215"/>
    </row>
    <row r="487" spans="1:6" ht="21.75" customHeight="1">
      <c r="A487" s="221"/>
      <c r="B487" s="223"/>
      <c r="C487" s="343"/>
      <c r="D487" s="213"/>
      <c r="E487" s="350"/>
      <c r="F487" s="215"/>
    </row>
    <row r="488" spans="1:6" ht="21.75" customHeight="1">
      <c r="A488" s="221"/>
      <c r="B488" s="223"/>
      <c r="C488" s="343"/>
      <c r="D488" s="213"/>
      <c r="E488" s="350"/>
      <c r="F488" s="215"/>
    </row>
    <row r="489" spans="1:6" ht="21.75" customHeight="1">
      <c r="A489" s="221"/>
      <c r="B489" s="223"/>
      <c r="C489" s="343"/>
      <c r="D489" s="213"/>
      <c r="E489" s="350"/>
      <c r="F489" s="215"/>
    </row>
    <row r="490" spans="1:6" ht="21.75" customHeight="1">
      <c r="A490" s="221"/>
      <c r="B490" s="223"/>
      <c r="C490" s="343"/>
      <c r="D490" s="213"/>
      <c r="E490" s="350"/>
      <c r="F490" s="215"/>
    </row>
    <row r="491" spans="1:6" ht="21.75" customHeight="1">
      <c r="A491" s="221"/>
      <c r="B491" s="223"/>
      <c r="C491" s="343"/>
      <c r="D491" s="213"/>
      <c r="E491" s="350"/>
      <c r="F491" s="215"/>
    </row>
    <row r="492" spans="1:6" ht="21.75" customHeight="1">
      <c r="A492" s="221"/>
      <c r="B492" s="223"/>
      <c r="C492" s="343"/>
      <c r="D492" s="213"/>
      <c r="E492" s="350"/>
      <c r="F492" s="215"/>
    </row>
    <row r="493" spans="1:6" ht="21.75" customHeight="1">
      <c r="A493" s="221"/>
      <c r="B493" s="223"/>
      <c r="C493" s="343"/>
      <c r="D493" s="213"/>
      <c r="E493" s="350"/>
      <c r="F493" s="215"/>
    </row>
    <row r="494" spans="1:6" ht="21.75" customHeight="1">
      <c r="A494" s="221"/>
      <c r="B494" s="223"/>
      <c r="C494" s="343"/>
      <c r="D494" s="213"/>
      <c r="E494" s="350"/>
      <c r="F494" s="215"/>
    </row>
    <row r="495" spans="1:6" ht="21.75" customHeight="1">
      <c r="A495" s="221"/>
      <c r="B495" s="223"/>
      <c r="C495" s="343"/>
      <c r="D495" s="213"/>
      <c r="E495" s="350"/>
      <c r="F495" s="215"/>
    </row>
    <row r="496" spans="1:6" ht="21.75" customHeight="1">
      <c r="A496" s="221"/>
      <c r="B496" s="223"/>
      <c r="C496" s="343"/>
      <c r="D496" s="213"/>
      <c r="E496" s="350"/>
      <c r="F496" s="215"/>
    </row>
    <row r="497" spans="1:6" ht="21.75" customHeight="1">
      <c r="A497" s="221"/>
      <c r="B497" s="223"/>
      <c r="C497" s="343"/>
      <c r="D497" s="213"/>
      <c r="E497" s="350"/>
      <c r="F497" s="215"/>
    </row>
    <row r="498" spans="1:6" ht="21.75" customHeight="1">
      <c r="A498" s="221"/>
      <c r="B498" s="223"/>
      <c r="C498" s="343"/>
      <c r="D498" s="213"/>
      <c r="E498" s="350"/>
      <c r="F498" s="215"/>
    </row>
    <row r="499" spans="1:6" ht="21.75" customHeight="1">
      <c r="A499" s="221"/>
      <c r="B499" s="223"/>
      <c r="C499" s="343"/>
      <c r="D499" s="213"/>
      <c r="E499" s="350"/>
      <c r="F499" s="215"/>
    </row>
    <row r="500" spans="1:6" ht="21.75" customHeight="1">
      <c r="A500" s="221"/>
      <c r="B500" s="223"/>
      <c r="C500" s="343"/>
      <c r="D500" s="213"/>
      <c r="E500" s="350"/>
      <c r="F500" s="215"/>
    </row>
    <row r="501" spans="1:6" ht="21.75" customHeight="1">
      <c r="A501" s="221"/>
      <c r="B501" s="223"/>
      <c r="C501" s="343"/>
      <c r="D501" s="213"/>
      <c r="E501" s="350"/>
      <c r="F501" s="215"/>
    </row>
    <row r="502" spans="1:6" ht="21.75" customHeight="1">
      <c r="A502" s="221"/>
      <c r="B502" s="223"/>
      <c r="C502" s="343"/>
      <c r="D502" s="213"/>
      <c r="E502" s="350"/>
      <c r="F502" s="215"/>
    </row>
    <row r="503" spans="1:6" ht="21.75" customHeight="1">
      <c r="A503" s="221"/>
      <c r="B503" s="223"/>
      <c r="C503" s="343"/>
      <c r="D503" s="213"/>
      <c r="E503" s="350"/>
      <c r="F503" s="215"/>
    </row>
    <row r="504" spans="1:6" ht="21.75" customHeight="1">
      <c r="A504" s="221"/>
      <c r="B504" s="223"/>
      <c r="C504" s="343"/>
      <c r="D504" s="213"/>
      <c r="E504" s="350"/>
      <c r="F504" s="215"/>
    </row>
    <row r="505" spans="1:6" ht="21.75" customHeight="1">
      <c r="A505" s="221"/>
      <c r="B505" s="223"/>
      <c r="C505" s="343"/>
      <c r="D505" s="213"/>
      <c r="E505" s="350"/>
      <c r="F505" s="215"/>
    </row>
    <row r="506" spans="1:6" ht="21.75" customHeight="1">
      <c r="A506" s="221"/>
      <c r="B506" s="223"/>
      <c r="C506" s="343"/>
      <c r="D506" s="213"/>
      <c r="E506" s="350"/>
      <c r="F506" s="215"/>
    </row>
    <row r="507" spans="1:6" ht="21.75" customHeight="1">
      <c r="A507" s="221"/>
      <c r="B507" s="223"/>
      <c r="C507" s="343"/>
      <c r="D507" s="213"/>
      <c r="E507" s="350"/>
      <c r="F507" s="215"/>
    </row>
    <row r="508" spans="1:6" ht="21.75" customHeight="1">
      <c r="A508" s="221"/>
      <c r="B508" s="223"/>
      <c r="C508" s="343"/>
      <c r="D508" s="213"/>
      <c r="E508" s="350"/>
      <c r="F508" s="215"/>
    </row>
    <row r="509" spans="1:6" ht="21.75" customHeight="1">
      <c r="A509" s="221"/>
      <c r="B509" s="223"/>
      <c r="C509" s="343"/>
      <c r="D509" s="213"/>
      <c r="E509" s="350"/>
      <c r="F509" s="215"/>
    </row>
    <row r="510" spans="1:6" ht="21.75" customHeight="1">
      <c r="A510" s="221"/>
      <c r="B510" s="223"/>
      <c r="C510" s="343"/>
      <c r="D510" s="213"/>
      <c r="E510" s="350"/>
      <c r="F510" s="215"/>
    </row>
    <row r="511" spans="1:6" ht="21.75" customHeight="1">
      <c r="A511" s="221"/>
      <c r="B511" s="223"/>
      <c r="C511" s="343"/>
      <c r="D511" s="213"/>
      <c r="E511" s="350"/>
      <c r="F511" s="215"/>
    </row>
    <row r="512" spans="1:6" ht="21.75" customHeight="1">
      <c r="A512" s="221"/>
      <c r="B512" s="223"/>
      <c r="C512" s="343"/>
      <c r="D512" s="213"/>
      <c r="E512" s="350"/>
      <c r="F512" s="215"/>
    </row>
    <row r="513" spans="1:6" ht="21.75" customHeight="1">
      <c r="A513" s="221"/>
      <c r="B513" s="223"/>
      <c r="C513" s="343"/>
      <c r="D513" s="213"/>
      <c r="E513" s="350"/>
      <c r="F513" s="215"/>
    </row>
    <row r="514" spans="1:6" ht="21.75" customHeight="1">
      <c r="A514" s="221"/>
      <c r="B514" s="223"/>
      <c r="C514" s="343"/>
      <c r="D514" s="213"/>
      <c r="E514" s="350"/>
      <c r="F514" s="215"/>
    </row>
    <row r="515" spans="1:6" ht="21.75" customHeight="1">
      <c r="A515" s="221"/>
      <c r="B515" s="223"/>
      <c r="C515" s="343"/>
      <c r="D515" s="213"/>
      <c r="E515" s="350"/>
      <c r="F515" s="215"/>
    </row>
    <row r="516" spans="1:6" ht="21.75" customHeight="1">
      <c r="A516" s="221"/>
      <c r="B516" s="223"/>
      <c r="C516" s="343"/>
      <c r="D516" s="213"/>
      <c r="E516" s="350"/>
      <c r="F516" s="215"/>
    </row>
    <row r="517" spans="1:6" ht="21.75" customHeight="1">
      <c r="A517" s="221"/>
      <c r="B517" s="223"/>
      <c r="C517" s="343"/>
      <c r="D517" s="213"/>
      <c r="E517" s="350"/>
      <c r="F517" s="215"/>
    </row>
    <row r="518" spans="1:6" ht="21.75" customHeight="1">
      <c r="A518" s="221"/>
      <c r="B518" s="223"/>
      <c r="C518" s="343"/>
      <c r="D518" s="213"/>
      <c r="E518" s="350"/>
      <c r="F518" s="215"/>
    </row>
    <row r="519" spans="1:6" ht="21.75" customHeight="1">
      <c r="A519" s="221"/>
      <c r="B519" s="223"/>
      <c r="C519" s="343"/>
      <c r="D519" s="213"/>
      <c r="E519" s="350"/>
      <c r="F519" s="215"/>
    </row>
    <row r="520" spans="1:6" ht="21.75" customHeight="1">
      <c r="A520" s="221"/>
      <c r="B520" s="223"/>
      <c r="C520" s="343"/>
      <c r="D520" s="213"/>
      <c r="E520" s="350"/>
      <c r="F520" s="215"/>
    </row>
    <row r="521" spans="1:6" ht="21.75" customHeight="1">
      <c r="A521" s="221"/>
      <c r="B521" s="223"/>
      <c r="C521" s="343"/>
      <c r="D521" s="213"/>
      <c r="E521" s="350"/>
      <c r="F521" s="215"/>
    </row>
    <row r="522" spans="1:6" ht="21.75" customHeight="1">
      <c r="A522" s="221"/>
      <c r="B522" s="223"/>
      <c r="C522" s="343"/>
      <c r="D522" s="213"/>
      <c r="E522" s="350"/>
      <c r="F522" s="215"/>
    </row>
    <row r="523" spans="1:6" ht="21.75" customHeight="1">
      <c r="A523" s="221"/>
      <c r="B523" s="223"/>
      <c r="C523" s="343"/>
      <c r="D523" s="213"/>
      <c r="E523" s="350"/>
      <c r="F523" s="215"/>
    </row>
    <row r="524" spans="1:6" ht="21.75" customHeight="1">
      <c r="A524" s="221"/>
      <c r="B524" s="223"/>
      <c r="C524" s="343"/>
      <c r="D524" s="213"/>
      <c r="E524" s="350"/>
      <c r="F524" s="215"/>
    </row>
    <row r="525" spans="1:6" ht="21.75" customHeight="1">
      <c r="A525" s="221"/>
      <c r="B525" s="223"/>
      <c r="C525" s="343"/>
      <c r="D525" s="213"/>
      <c r="E525" s="350"/>
      <c r="F525" s="215"/>
    </row>
    <row r="526" spans="1:6" ht="21.75" customHeight="1">
      <c r="A526" s="221"/>
      <c r="B526" s="223"/>
      <c r="C526" s="343"/>
      <c r="D526" s="213"/>
      <c r="E526" s="350"/>
      <c r="F526" s="215"/>
    </row>
    <row r="527" spans="1:6" ht="21.75" customHeight="1">
      <c r="A527" s="221"/>
      <c r="B527" s="223"/>
      <c r="C527" s="343"/>
      <c r="D527" s="213"/>
      <c r="E527" s="350"/>
      <c r="F527" s="215"/>
    </row>
    <row r="528" spans="1:6" ht="21.75" customHeight="1">
      <c r="A528" s="221"/>
      <c r="B528" s="223"/>
      <c r="C528" s="343"/>
      <c r="D528" s="213"/>
      <c r="E528" s="350"/>
      <c r="F528" s="215"/>
    </row>
    <row r="529" spans="1:6" ht="21.75" customHeight="1">
      <c r="A529" s="221"/>
      <c r="B529" s="223"/>
      <c r="C529" s="343"/>
      <c r="D529" s="213"/>
      <c r="E529" s="350"/>
      <c r="F529" s="215"/>
    </row>
    <row r="530" spans="1:6" ht="21.75" customHeight="1">
      <c r="A530" s="221"/>
      <c r="B530" s="223"/>
      <c r="C530" s="343"/>
      <c r="D530" s="213"/>
      <c r="E530" s="350"/>
      <c r="F530" s="215"/>
    </row>
    <row r="531" spans="1:6" ht="21.75" customHeight="1">
      <c r="A531" s="221"/>
      <c r="B531" s="223"/>
      <c r="C531" s="343"/>
      <c r="D531" s="213"/>
      <c r="E531" s="350"/>
      <c r="F531" s="215"/>
    </row>
    <row r="532" spans="1:6" ht="21.75" customHeight="1">
      <c r="A532" s="221"/>
      <c r="B532" s="223"/>
      <c r="C532" s="343"/>
      <c r="D532" s="213"/>
      <c r="E532" s="350"/>
      <c r="F532" s="215"/>
    </row>
    <row r="533" spans="1:6" ht="21.75" customHeight="1">
      <c r="A533" s="221"/>
      <c r="B533" s="223"/>
      <c r="C533" s="343"/>
      <c r="D533" s="213"/>
      <c r="E533" s="350"/>
      <c r="F533" s="215"/>
    </row>
    <row r="534" spans="1:6" ht="21.75" customHeight="1">
      <c r="A534" s="221"/>
      <c r="B534" s="223"/>
      <c r="C534" s="343"/>
      <c r="D534" s="213"/>
      <c r="E534" s="350"/>
      <c r="F534" s="215"/>
    </row>
    <row r="535" spans="1:6" ht="21.75" customHeight="1">
      <c r="A535" s="221"/>
      <c r="B535" s="223"/>
      <c r="C535" s="343"/>
      <c r="D535" s="213"/>
      <c r="E535" s="350"/>
      <c r="F535" s="215"/>
    </row>
    <row r="536" spans="1:6" ht="21.75" customHeight="1">
      <c r="A536" s="221"/>
      <c r="B536" s="223"/>
      <c r="C536" s="343"/>
      <c r="D536" s="213"/>
      <c r="E536" s="350"/>
      <c r="F536" s="215"/>
    </row>
    <row r="537" spans="1:6" ht="21.75" customHeight="1">
      <c r="A537" s="221"/>
      <c r="B537" s="223"/>
      <c r="C537" s="343"/>
      <c r="D537" s="213"/>
      <c r="E537" s="350"/>
      <c r="F537" s="215"/>
    </row>
    <row r="538" spans="1:6" ht="21.75" customHeight="1">
      <c r="A538" s="221"/>
      <c r="B538" s="223"/>
      <c r="C538" s="343"/>
      <c r="D538" s="213"/>
      <c r="E538" s="350"/>
      <c r="F538" s="215"/>
    </row>
    <row r="539" spans="1:6" ht="21.75" customHeight="1">
      <c r="A539" s="221"/>
      <c r="B539" s="223"/>
      <c r="C539" s="343"/>
      <c r="D539" s="213"/>
      <c r="E539" s="350"/>
      <c r="F539" s="215"/>
    </row>
    <row r="540" spans="1:6" ht="21.75" customHeight="1">
      <c r="A540" s="221"/>
      <c r="B540" s="223"/>
      <c r="C540" s="343"/>
      <c r="D540" s="213"/>
      <c r="E540" s="350"/>
      <c r="F540" s="215"/>
    </row>
    <row r="541" spans="1:6" ht="21.75" customHeight="1">
      <c r="A541" s="221"/>
      <c r="B541" s="223"/>
      <c r="C541" s="343"/>
      <c r="D541" s="213"/>
      <c r="E541" s="350"/>
      <c r="F541" s="215"/>
    </row>
    <row r="542" spans="1:6" ht="21.75" customHeight="1">
      <c r="A542" s="221"/>
      <c r="B542" s="223"/>
      <c r="C542" s="343"/>
      <c r="D542" s="213"/>
      <c r="E542" s="350"/>
      <c r="F542" s="215"/>
    </row>
    <row r="543" spans="1:6" ht="21.75" customHeight="1">
      <c r="A543" s="221"/>
      <c r="B543" s="223"/>
      <c r="C543" s="343"/>
      <c r="D543" s="222"/>
      <c r="E543" s="350"/>
      <c r="F543" s="215"/>
    </row>
    <row r="544" spans="1:6" ht="21.75" customHeight="1">
      <c r="A544" s="221"/>
      <c r="B544" s="223"/>
      <c r="C544" s="343"/>
      <c r="D544" s="222"/>
      <c r="E544" s="350"/>
      <c r="F544" s="215"/>
    </row>
    <row r="545" spans="1:6" ht="21.75" customHeight="1">
      <c r="A545" s="221"/>
      <c r="B545" s="223"/>
      <c r="C545" s="343"/>
      <c r="D545" s="213"/>
      <c r="E545" s="350"/>
      <c r="F545" s="215"/>
    </row>
    <row r="546" spans="1:6" ht="21.75" customHeight="1">
      <c r="A546" s="221"/>
      <c r="B546" s="223"/>
      <c r="C546" s="343"/>
      <c r="D546" s="213"/>
      <c r="E546" s="350"/>
      <c r="F546" s="215"/>
    </row>
    <row r="547" spans="1:6" ht="21.75" customHeight="1">
      <c r="A547" s="221"/>
      <c r="B547" s="223"/>
      <c r="C547" s="343"/>
      <c r="D547" s="213"/>
      <c r="E547" s="350"/>
      <c r="F547" s="215"/>
    </row>
    <row r="548" spans="1:6" ht="21.75" customHeight="1">
      <c r="A548" s="221"/>
      <c r="B548" s="223"/>
      <c r="C548" s="343"/>
      <c r="D548" s="213"/>
      <c r="E548" s="350"/>
      <c r="F548" s="215"/>
    </row>
    <row r="549" spans="1:6" ht="21.75" customHeight="1">
      <c r="A549" s="221"/>
      <c r="B549" s="223"/>
      <c r="C549" s="343"/>
      <c r="D549" s="213"/>
      <c r="E549" s="350"/>
      <c r="F549" s="215"/>
    </row>
    <row r="550" spans="1:6" ht="21.75" customHeight="1">
      <c r="A550" s="221"/>
      <c r="B550" s="223"/>
      <c r="C550" s="343"/>
      <c r="D550" s="213"/>
      <c r="E550" s="350"/>
      <c r="F550" s="215"/>
    </row>
    <row r="551" spans="1:6" ht="21.75" customHeight="1">
      <c r="A551" s="221"/>
      <c r="B551" s="223"/>
      <c r="C551" s="343"/>
      <c r="D551" s="213"/>
      <c r="E551" s="350"/>
      <c r="F551" s="215"/>
    </row>
    <row r="552" spans="1:6" ht="21.75" customHeight="1">
      <c r="A552" s="221"/>
      <c r="B552" s="223"/>
      <c r="C552" s="343"/>
      <c r="D552" s="213"/>
      <c r="E552" s="350"/>
      <c r="F552" s="215"/>
    </row>
    <row r="553" spans="1:6" ht="21.75" customHeight="1">
      <c r="A553" s="221"/>
      <c r="B553" s="223"/>
      <c r="C553" s="343"/>
      <c r="D553" s="213"/>
      <c r="E553" s="350"/>
      <c r="F553" s="215"/>
    </row>
    <row r="554" spans="1:6" ht="21.75" customHeight="1">
      <c r="A554" s="221"/>
      <c r="B554" s="223"/>
      <c r="C554" s="343"/>
      <c r="D554" s="213"/>
      <c r="E554" s="350"/>
      <c r="F554" s="215"/>
    </row>
    <row r="555" spans="1:6" ht="21.75" customHeight="1">
      <c r="A555" s="221"/>
      <c r="B555" s="223"/>
      <c r="C555" s="343"/>
      <c r="D555" s="213"/>
      <c r="E555" s="350"/>
      <c r="F555" s="215"/>
    </row>
    <row r="556" spans="1:6" ht="21.75" customHeight="1">
      <c r="A556" s="221"/>
      <c r="B556" s="223"/>
      <c r="C556" s="343"/>
      <c r="D556" s="213"/>
      <c r="E556" s="350"/>
      <c r="F556" s="215"/>
    </row>
    <row r="557" spans="1:6" ht="21.75" customHeight="1">
      <c r="A557" s="221"/>
      <c r="B557" s="223"/>
      <c r="C557" s="343"/>
      <c r="D557" s="213"/>
      <c r="E557" s="350"/>
      <c r="F557" s="215"/>
    </row>
    <row r="558" spans="1:6" ht="21.75" customHeight="1">
      <c r="A558" s="221"/>
      <c r="B558" s="223"/>
      <c r="C558" s="343"/>
      <c r="D558" s="213"/>
      <c r="E558" s="350"/>
      <c r="F558" s="215"/>
    </row>
    <row r="559" spans="1:6" ht="21.75" customHeight="1">
      <c r="A559" s="221"/>
      <c r="B559" s="223"/>
      <c r="C559" s="343"/>
      <c r="D559" s="213"/>
      <c r="E559" s="350"/>
      <c r="F559" s="215"/>
    </row>
    <row r="560" spans="1:6" ht="21.75" customHeight="1">
      <c r="A560" s="221"/>
      <c r="B560" s="223"/>
      <c r="C560" s="343"/>
      <c r="D560" s="213"/>
      <c r="E560" s="350"/>
      <c r="F560" s="215"/>
    </row>
    <row r="561" spans="1:6" ht="21.75" customHeight="1">
      <c r="A561" s="221"/>
      <c r="B561" s="223"/>
      <c r="C561" s="343"/>
      <c r="D561" s="213"/>
      <c r="E561" s="350"/>
      <c r="F561" s="215"/>
    </row>
    <row r="562" spans="1:6" ht="21.75" customHeight="1">
      <c r="A562" s="221"/>
      <c r="B562" s="223"/>
      <c r="C562" s="343"/>
      <c r="D562" s="213"/>
      <c r="E562" s="350"/>
      <c r="F562" s="215"/>
    </row>
    <row r="563" spans="1:6" ht="21.75" customHeight="1">
      <c r="A563" s="221"/>
      <c r="B563" s="223"/>
      <c r="C563" s="343"/>
      <c r="D563" s="213"/>
      <c r="E563" s="350"/>
      <c r="F563" s="215"/>
    </row>
    <row r="564" spans="1:6" ht="21.75" customHeight="1">
      <c r="A564" s="221"/>
      <c r="B564" s="223"/>
      <c r="C564" s="343"/>
      <c r="D564" s="213"/>
      <c r="E564" s="350"/>
      <c r="F564" s="215"/>
    </row>
    <row r="565" spans="1:6" ht="21.75" customHeight="1">
      <c r="A565" s="221"/>
      <c r="B565" s="223"/>
      <c r="C565" s="343"/>
      <c r="D565" s="213"/>
      <c r="E565" s="350"/>
      <c r="F565" s="215"/>
    </row>
    <row r="566" spans="1:6" ht="21.75" customHeight="1">
      <c r="A566" s="221"/>
      <c r="B566" s="223"/>
      <c r="C566" s="343"/>
      <c r="D566" s="213"/>
      <c r="E566" s="350"/>
      <c r="F566" s="215"/>
    </row>
    <row r="567" spans="1:6" ht="21.75" customHeight="1">
      <c r="A567" s="221"/>
      <c r="B567" s="223"/>
      <c r="C567" s="343"/>
      <c r="D567" s="213"/>
      <c r="E567" s="350"/>
      <c r="F567" s="215"/>
    </row>
    <row r="568" spans="1:6" ht="21.75" customHeight="1">
      <c r="A568" s="221"/>
      <c r="B568" s="223"/>
      <c r="C568" s="343"/>
      <c r="D568" s="213"/>
      <c r="E568" s="350"/>
      <c r="F568" s="215"/>
    </row>
    <row r="569" spans="1:6" ht="21.75" customHeight="1">
      <c r="A569" s="221"/>
      <c r="B569" s="223"/>
      <c r="C569" s="343"/>
      <c r="D569" s="213"/>
      <c r="E569" s="350"/>
      <c r="F569" s="215"/>
    </row>
    <row r="570" spans="1:6" ht="21.75" customHeight="1">
      <c r="A570" s="221"/>
      <c r="B570" s="223"/>
      <c r="C570" s="343"/>
      <c r="D570" s="213"/>
      <c r="E570" s="350"/>
      <c r="F570" s="215"/>
    </row>
    <row r="571" spans="1:6" ht="21.75" customHeight="1">
      <c r="A571" s="221"/>
      <c r="B571" s="223"/>
      <c r="C571" s="343"/>
      <c r="D571" s="213"/>
      <c r="E571" s="350"/>
      <c r="F571" s="215"/>
    </row>
    <row r="572" spans="1:6" ht="21.75" customHeight="1">
      <c r="A572" s="221"/>
      <c r="B572" s="223"/>
      <c r="C572" s="343"/>
      <c r="D572" s="213"/>
      <c r="E572" s="350"/>
      <c r="F572" s="215"/>
    </row>
    <row r="573" spans="1:6" ht="21.75" customHeight="1">
      <c r="A573" s="221"/>
      <c r="B573" s="223"/>
      <c r="C573" s="343"/>
      <c r="D573" s="213"/>
      <c r="E573" s="350"/>
      <c r="F573" s="215"/>
    </row>
    <row r="574" spans="1:6" ht="21.75" customHeight="1">
      <c r="A574" s="221"/>
      <c r="B574" s="223"/>
      <c r="C574" s="343"/>
      <c r="D574" s="213"/>
      <c r="E574" s="350"/>
      <c r="F574" s="215"/>
    </row>
    <row r="575" spans="1:6" ht="21.75" customHeight="1">
      <c r="A575" s="221"/>
      <c r="B575" s="223"/>
      <c r="C575" s="343"/>
      <c r="D575" s="213"/>
      <c r="E575" s="350"/>
      <c r="F575" s="215"/>
    </row>
    <row r="576" spans="1:6" ht="21.75" customHeight="1">
      <c r="A576" s="221"/>
      <c r="B576" s="223"/>
      <c r="C576" s="343"/>
      <c r="D576" s="213"/>
      <c r="E576" s="350"/>
      <c r="F576" s="215"/>
    </row>
    <row r="577" spans="1:6" ht="21.75" customHeight="1">
      <c r="A577" s="221"/>
      <c r="B577" s="223"/>
      <c r="C577" s="343"/>
      <c r="D577" s="213"/>
      <c r="E577" s="350"/>
      <c r="F577" s="215"/>
    </row>
    <row r="578" spans="1:6" ht="21.75" customHeight="1">
      <c r="A578" s="221"/>
      <c r="B578" s="223"/>
      <c r="C578" s="343"/>
      <c r="D578" s="213"/>
      <c r="E578" s="350"/>
      <c r="F578" s="215"/>
    </row>
    <row r="579" spans="1:6" ht="21.75" customHeight="1">
      <c r="A579" s="221"/>
      <c r="B579" s="223"/>
      <c r="C579" s="343"/>
      <c r="D579" s="213"/>
      <c r="E579" s="350"/>
      <c r="F579" s="215"/>
    </row>
    <row r="580" spans="1:6" ht="21.75" customHeight="1">
      <c r="A580" s="221"/>
      <c r="B580" s="223"/>
      <c r="C580" s="343"/>
      <c r="D580" s="213"/>
      <c r="E580" s="350"/>
      <c r="F580" s="215"/>
    </row>
    <row r="581" spans="1:6" ht="21.75" customHeight="1">
      <c r="A581" s="221"/>
      <c r="B581" s="223"/>
      <c r="C581" s="343"/>
      <c r="D581" s="213"/>
      <c r="E581" s="350"/>
      <c r="F581" s="215"/>
    </row>
    <row r="582" spans="1:6" ht="21.75" customHeight="1">
      <c r="A582" s="221"/>
      <c r="B582" s="223"/>
      <c r="C582" s="343"/>
      <c r="D582" s="213"/>
      <c r="E582" s="350"/>
      <c r="F582" s="215"/>
    </row>
    <row r="583" spans="1:6" ht="21.75" customHeight="1">
      <c r="A583" s="221"/>
      <c r="B583" s="223"/>
      <c r="C583" s="343"/>
      <c r="D583" s="213"/>
      <c r="E583" s="350"/>
      <c r="F583" s="215"/>
    </row>
    <row r="584" spans="1:6" ht="21.75" customHeight="1">
      <c r="A584" s="221"/>
      <c r="B584" s="223"/>
      <c r="C584" s="343"/>
      <c r="D584" s="213"/>
      <c r="E584" s="350"/>
      <c r="F584" s="215"/>
    </row>
    <row r="585" spans="1:6" ht="21.75" customHeight="1">
      <c r="A585" s="221"/>
      <c r="B585" s="223"/>
      <c r="C585" s="343"/>
      <c r="D585" s="213"/>
      <c r="E585" s="350"/>
      <c r="F585" s="215"/>
    </row>
    <row r="586" spans="1:6" ht="21.75" customHeight="1">
      <c r="A586" s="221"/>
      <c r="B586" s="223"/>
      <c r="C586" s="343"/>
      <c r="D586" s="213"/>
      <c r="E586" s="350"/>
      <c r="F586" s="215"/>
    </row>
    <row r="587" spans="1:6" ht="21.75" customHeight="1">
      <c r="A587" s="221"/>
      <c r="B587" s="223"/>
      <c r="C587" s="343"/>
      <c r="D587" s="213"/>
      <c r="E587" s="350"/>
      <c r="F587" s="215"/>
    </row>
    <row r="588" spans="1:6" ht="21.75" customHeight="1">
      <c r="A588" s="221"/>
      <c r="B588" s="223"/>
      <c r="C588" s="343"/>
      <c r="D588" s="213"/>
      <c r="E588" s="350"/>
      <c r="F588" s="215"/>
    </row>
    <row r="589" spans="1:6" ht="21.75" customHeight="1">
      <c r="A589" s="221"/>
      <c r="B589" s="223"/>
      <c r="C589" s="343"/>
      <c r="D589" s="213"/>
      <c r="E589" s="350"/>
      <c r="F589" s="215"/>
    </row>
    <row r="590" spans="1:6" ht="21.75" customHeight="1">
      <c r="A590" s="221"/>
      <c r="B590" s="223"/>
      <c r="C590" s="343"/>
      <c r="D590" s="213"/>
      <c r="E590" s="350"/>
      <c r="F590" s="215"/>
    </row>
    <row r="591" spans="1:6" ht="21.75" customHeight="1">
      <c r="A591" s="221"/>
      <c r="B591" s="223"/>
      <c r="C591" s="343"/>
      <c r="D591" s="213"/>
      <c r="E591" s="350"/>
      <c r="F591" s="215"/>
    </row>
    <row r="592" spans="1:6" ht="21.75" customHeight="1">
      <c r="A592" s="221"/>
      <c r="B592" s="223"/>
      <c r="C592" s="343"/>
      <c r="D592" s="213"/>
      <c r="E592" s="350"/>
      <c r="F592" s="215"/>
    </row>
    <row r="593" spans="1:6" ht="21.75" customHeight="1">
      <c r="A593" s="221"/>
      <c r="B593" s="223"/>
      <c r="C593" s="343"/>
      <c r="D593" s="213"/>
      <c r="E593" s="350"/>
      <c r="F593" s="215"/>
    </row>
    <row r="594" spans="1:6" ht="21.75" customHeight="1">
      <c r="A594" s="221"/>
      <c r="B594" s="223"/>
      <c r="C594" s="343"/>
      <c r="D594" s="213"/>
      <c r="E594" s="350"/>
      <c r="F594" s="215"/>
    </row>
    <row r="595" spans="1:6" ht="21.75" customHeight="1">
      <c r="A595" s="221"/>
      <c r="B595" s="223"/>
      <c r="C595" s="343"/>
      <c r="D595" s="213"/>
      <c r="E595" s="350"/>
      <c r="F595" s="215"/>
    </row>
    <row r="596" spans="1:6" ht="21.75" customHeight="1">
      <c r="A596" s="221"/>
      <c r="B596" s="223"/>
      <c r="C596" s="343"/>
      <c r="D596" s="213"/>
      <c r="E596" s="350"/>
      <c r="F596" s="215"/>
    </row>
    <row r="597" spans="1:6" ht="21.75" customHeight="1">
      <c r="A597" s="221"/>
      <c r="B597" s="223"/>
      <c r="C597" s="343"/>
      <c r="D597" s="213"/>
      <c r="E597" s="350"/>
      <c r="F597" s="215"/>
    </row>
    <row r="598" spans="1:6" ht="21.75" customHeight="1">
      <c r="A598" s="221"/>
      <c r="B598" s="223"/>
      <c r="C598" s="343"/>
      <c r="D598" s="213"/>
      <c r="E598" s="350"/>
      <c r="F598" s="215"/>
    </row>
    <row r="599" spans="1:6" ht="21.75" customHeight="1">
      <c r="A599" s="221"/>
      <c r="B599" s="223"/>
      <c r="C599" s="343"/>
      <c r="D599" s="213"/>
      <c r="E599" s="350"/>
      <c r="F599" s="215"/>
    </row>
    <row r="600" spans="1:6" ht="21.75" customHeight="1">
      <c r="A600" s="221"/>
      <c r="B600" s="223"/>
      <c r="C600" s="343"/>
      <c r="D600" s="213"/>
      <c r="E600" s="350"/>
      <c r="F600" s="215"/>
    </row>
    <row r="601" spans="1:6" ht="21.75" customHeight="1">
      <c r="A601" s="221"/>
      <c r="B601" s="223"/>
      <c r="C601" s="343"/>
      <c r="D601" s="213"/>
      <c r="E601" s="350"/>
      <c r="F601" s="215"/>
    </row>
    <row r="602" spans="1:6" ht="21.75" customHeight="1">
      <c r="A602" s="221"/>
      <c r="B602" s="223"/>
      <c r="C602" s="343"/>
      <c r="D602" s="213"/>
      <c r="E602" s="350"/>
      <c r="F602" s="215"/>
    </row>
    <row r="603" spans="1:6" ht="21.75" customHeight="1">
      <c r="A603" s="221"/>
      <c r="B603" s="223"/>
      <c r="C603" s="343"/>
      <c r="D603" s="213"/>
      <c r="E603" s="350"/>
      <c r="F603" s="215"/>
    </row>
    <row r="604" spans="1:6" ht="21.75" customHeight="1">
      <c r="A604" s="221"/>
      <c r="B604" s="223"/>
      <c r="C604" s="343"/>
      <c r="D604" s="213"/>
      <c r="E604" s="350"/>
      <c r="F604" s="215"/>
    </row>
    <row r="605" spans="1:6" ht="21.75" customHeight="1">
      <c r="A605" s="221"/>
      <c r="B605" s="223"/>
      <c r="C605" s="343"/>
      <c r="D605" s="213"/>
      <c r="E605" s="350"/>
      <c r="F605" s="215"/>
    </row>
    <row r="606" spans="1:6" ht="21.75" customHeight="1">
      <c r="A606" s="221"/>
      <c r="B606" s="223"/>
      <c r="C606" s="343"/>
      <c r="D606" s="213"/>
      <c r="E606" s="350"/>
      <c r="F606" s="215"/>
    </row>
    <row r="607" spans="1:6" ht="21.75" customHeight="1">
      <c r="A607" s="221"/>
      <c r="B607" s="223"/>
      <c r="C607" s="343"/>
      <c r="D607" s="213"/>
      <c r="E607" s="350"/>
      <c r="F607" s="215"/>
    </row>
    <row r="608" spans="1:6" ht="21.75" customHeight="1">
      <c r="A608" s="221"/>
      <c r="B608" s="223"/>
      <c r="C608" s="343"/>
      <c r="D608" s="213"/>
      <c r="E608" s="350"/>
      <c r="F608" s="215"/>
    </row>
    <row r="609" spans="1:6" ht="21.75" customHeight="1">
      <c r="A609" s="221"/>
      <c r="B609" s="223"/>
      <c r="C609" s="343"/>
      <c r="D609" s="213"/>
      <c r="E609" s="350"/>
      <c r="F609" s="215"/>
    </row>
    <row r="610" spans="1:6" ht="21.75" customHeight="1">
      <c r="A610" s="221"/>
      <c r="B610" s="223"/>
      <c r="C610" s="343"/>
      <c r="D610" s="213"/>
      <c r="E610" s="350"/>
      <c r="F610" s="215"/>
    </row>
    <row r="611" spans="1:6" ht="21.75" customHeight="1">
      <c r="A611" s="221"/>
      <c r="B611" s="223"/>
      <c r="C611" s="343"/>
      <c r="D611" s="213"/>
      <c r="E611" s="350"/>
      <c r="F611" s="215"/>
    </row>
    <row r="612" spans="1:6" ht="21.75" customHeight="1">
      <c r="A612" s="221"/>
      <c r="B612" s="223"/>
      <c r="C612" s="343"/>
      <c r="D612" s="213"/>
      <c r="E612" s="350"/>
      <c r="F612" s="215"/>
    </row>
    <row r="613" spans="1:6" ht="21.75" customHeight="1">
      <c r="A613" s="221"/>
      <c r="B613" s="223"/>
      <c r="C613" s="343"/>
      <c r="D613" s="213"/>
      <c r="E613" s="350"/>
      <c r="F613" s="215"/>
    </row>
    <row r="614" spans="1:6" ht="21.75" customHeight="1">
      <c r="A614" s="221"/>
      <c r="B614" s="223"/>
      <c r="C614" s="343"/>
      <c r="D614" s="213"/>
      <c r="E614" s="350"/>
      <c r="F614" s="215"/>
    </row>
    <row r="615" spans="1:6" ht="21.75" customHeight="1">
      <c r="A615" s="221"/>
      <c r="B615" s="223"/>
      <c r="C615" s="343"/>
      <c r="D615" s="213"/>
      <c r="E615" s="350"/>
      <c r="F615" s="215"/>
    </row>
    <row r="616" spans="1:6" ht="21.75" customHeight="1">
      <c r="A616" s="221"/>
      <c r="B616" s="223"/>
      <c r="C616" s="343"/>
      <c r="D616" s="213"/>
      <c r="E616" s="350"/>
      <c r="F616" s="215"/>
    </row>
    <row r="617" spans="1:6" ht="21.75" customHeight="1">
      <c r="A617" s="221"/>
      <c r="B617" s="223"/>
      <c r="C617" s="343"/>
      <c r="D617" s="213"/>
      <c r="E617" s="350"/>
      <c r="F617" s="215"/>
    </row>
    <row r="618" spans="1:6" ht="21.75" customHeight="1">
      <c r="A618" s="221"/>
      <c r="B618" s="223"/>
      <c r="C618" s="343"/>
      <c r="D618" s="213"/>
      <c r="E618" s="350"/>
      <c r="F618" s="215"/>
    </row>
    <row r="619" spans="1:6" ht="21.75" customHeight="1">
      <c r="A619" s="221"/>
      <c r="B619" s="223"/>
      <c r="C619" s="343"/>
      <c r="D619" s="213"/>
      <c r="E619" s="350"/>
      <c r="F619" s="215"/>
    </row>
    <row r="620" spans="1:6" ht="21.75" customHeight="1">
      <c r="A620" s="221"/>
      <c r="B620" s="223"/>
      <c r="C620" s="343"/>
      <c r="D620" s="213"/>
      <c r="E620" s="350"/>
      <c r="F620" s="215"/>
    </row>
    <row r="621" spans="1:6" ht="21.75" customHeight="1">
      <c r="A621" s="221"/>
      <c r="B621" s="223"/>
      <c r="C621" s="343"/>
      <c r="D621" s="213"/>
      <c r="E621" s="350"/>
      <c r="F621" s="215"/>
    </row>
    <row r="622" spans="1:6" ht="21.75" customHeight="1">
      <c r="A622" s="221"/>
      <c r="B622" s="223"/>
      <c r="C622" s="343"/>
      <c r="D622" s="213"/>
      <c r="E622" s="350"/>
      <c r="F622" s="215"/>
    </row>
    <row r="623" spans="1:6" ht="21.75" customHeight="1">
      <c r="A623" s="221"/>
      <c r="B623" s="223"/>
      <c r="C623" s="343"/>
      <c r="D623" s="213"/>
      <c r="E623" s="350"/>
      <c r="F623" s="215"/>
    </row>
    <row r="624" spans="1:6" ht="21.75" customHeight="1">
      <c r="A624" s="221"/>
      <c r="B624" s="223"/>
      <c r="C624" s="343"/>
      <c r="D624" s="213"/>
      <c r="E624" s="350"/>
      <c r="F624" s="215"/>
    </row>
    <row r="625" spans="1:6" ht="21.75" customHeight="1">
      <c r="A625" s="221"/>
      <c r="B625" s="223"/>
      <c r="C625" s="343"/>
      <c r="D625" s="213"/>
      <c r="E625" s="350"/>
      <c r="F625" s="215"/>
    </row>
    <row r="626" spans="1:6" ht="21.75" customHeight="1">
      <c r="A626" s="221"/>
      <c r="B626" s="223"/>
      <c r="C626" s="343"/>
      <c r="D626" s="213"/>
      <c r="E626" s="350"/>
      <c r="F626" s="215"/>
    </row>
    <row r="627" spans="1:6" ht="21.75" customHeight="1">
      <c r="A627" s="221"/>
      <c r="B627" s="223"/>
      <c r="C627" s="343"/>
      <c r="D627" s="213"/>
      <c r="E627" s="350"/>
      <c r="F627" s="215"/>
    </row>
    <row r="628" spans="1:6" ht="21.75" customHeight="1">
      <c r="A628" s="221"/>
      <c r="B628" s="223"/>
      <c r="C628" s="343"/>
      <c r="D628" s="213"/>
      <c r="E628" s="350"/>
      <c r="F628" s="215"/>
    </row>
    <row r="629" spans="1:6" ht="21.75" customHeight="1">
      <c r="A629" s="221"/>
      <c r="B629" s="223"/>
      <c r="C629" s="343"/>
      <c r="D629" s="213"/>
      <c r="E629" s="350"/>
      <c r="F629" s="215"/>
    </row>
    <row r="630" spans="1:6" ht="21.75" customHeight="1">
      <c r="A630" s="221"/>
      <c r="B630" s="223"/>
      <c r="C630" s="343"/>
      <c r="D630" s="213"/>
      <c r="E630" s="350"/>
      <c r="F630" s="215"/>
    </row>
    <row r="631" spans="1:6" ht="21.75" customHeight="1">
      <c r="A631" s="221"/>
      <c r="B631" s="223"/>
      <c r="C631" s="343"/>
      <c r="D631" s="213"/>
      <c r="E631" s="350"/>
      <c r="F631" s="215"/>
    </row>
    <row r="632" spans="1:6" ht="21.75" customHeight="1">
      <c r="A632" s="221"/>
      <c r="B632" s="223"/>
      <c r="C632" s="343"/>
      <c r="D632" s="213"/>
      <c r="E632" s="350"/>
      <c r="F632" s="215"/>
    </row>
    <row r="633" spans="1:6" ht="21.75" customHeight="1">
      <c r="A633" s="221"/>
      <c r="B633" s="223"/>
      <c r="C633" s="343"/>
      <c r="D633" s="213"/>
      <c r="E633" s="350"/>
      <c r="F633" s="215"/>
    </row>
    <row r="634" spans="1:6" ht="21.75" customHeight="1">
      <c r="A634" s="221"/>
      <c r="B634" s="223"/>
      <c r="C634" s="343"/>
      <c r="D634" s="213"/>
      <c r="E634" s="350"/>
      <c r="F634" s="215"/>
    </row>
    <row r="635" spans="1:6" ht="21.75" customHeight="1">
      <c r="A635" s="221"/>
      <c r="B635" s="223"/>
      <c r="C635" s="343"/>
      <c r="D635" s="213"/>
      <c r="E635" s="350"/>
      <c r="F635" s="215"/>
    </row>
    <row r="636" spans="1:6" ht="21.75" customHeight="1">
      <c r="A636" s="221"/>
      <c r="B636" s="223"/>
      <c r="C636" s="343"/>
      <c r="D636" s="213"/>
      <c r="E636" s="350"/>
      <c r="F636" s="215"/>
    </row>
    <row r="637" spans="1:6" ht="21.75" customHeight="1">
      <c r="A637" s="221"/>
      <c r="B637" s="223"/>
      <c r="C637" s="343"/>
      <c r="D637" s="213"/>
      <c r="E637" s="350"/>
      <c r="F637" s="215"/>
    </row>
    <row r="638" spans="1:6" ht="21.75" customHeight="1">
      <c r="A638" s="221"/>
      <c r="B638" s="223"/>
      <c r="C638" s="343"/>
      <c r="D638" s="213"/>
      <c r="E638" s="350"/>
      <c r="F638" s="215"/>
    </row>
    <row r="639" spans="1:6" ht="21.75" customHeight="1">
      <c r="A639" s="221"/>
      <c r="B639" s="223"/>
      <c r="C639" s="343"/>
      <c r="D639" s="213"/>
      <c r="E639" s="350"/>
      <c r="F639" s="215"/>
    </row>
    <row r="640" spans="1:6" ht="21.75" customHeight="1">
      <c r="A640" s="221"/>
      <c r="B640" s="223"/>
      <c r="C640" s="343"/>
      <c r="D640" s="213"/>
      <c r="E640" s="350"/>
      <c r="F640" s="215"/>
    </row>
    <row r="641" spans="1:6" ht="21.75" customHeight="1">
      <c r="A641" s="221"/>
      <c r="B641" s="223"/>
      <c r="C641" s="343"/>
      <c r="D641" s="213"/>
      <c r="E641" s="350"/>
      <c r="F641" s="215"/>
    </row>
    <row r="642" spans="1:6" ht="21.75" customHeight="1">
      <c r="A642" s="221"/>
      <c r="B642" s="223"/>
      <c r="C642" s="343"/>
      <c r="D642" s="213"/>
      <c r="E642" s="350"/>
      <c r="F642" s="215"/>
    </row>
    <row r="643" spans="1:6" ht="21.75" customHeight="1">
      <c r="A643" s="221"/>
      <c r="B643" s="223"/>
      <c r="C643" s="343"/>
      <c r="D643" s="213"/>
      <c r="E643" s="350"/>
      <c r="F643" s="215"/>
    </row>
    <row r="644" spans="1:6" ht="21.75" customHeight="1">
      <c r="A644" s="221"/>
      <c r="B644" s="223"/>
      <c r="C644" s="343"/>
      <c r="D644" s="213"/>
      <c r="E644" s="350"/>
      <c r="F644" s="215"/>
    </row>
    <row r="645" spans="1:6" ht="21.75" customHeight="1">
      <c r="A645" s="221"/>
      <c r="B645" s="223"/>
      <c r="C645" s="343"/>
      <c r="D645" s="213"/>
      <c r="E645" s="350"/>
      <c r="F645" s="215"/>
    </row>
    <row r="646" spans="1:6" ht="21.75" customHeight="1">
      <c r="A646" s="221"/>
      <c r="B646" s="223"/>
      <c r="C646" s="343"/>
      <c r="D646" s="213"/>
      <c r="E646" s="350"/>
      <c r="F646" s="215"/>
    </row>
    <row r="647" spans="1:6" ht="21.75" customHeight="1">
      <c r="A647" s="221"/>
      <c r="B647" s="223"/>
      <c r="C647" s="343"/>
      <c r="D647" s="213"/>
      <c r="E647" s="350"/>
      <c r="F647" s="215"/>
    </row>
    <row r="648" spans="1:6" ht="21.75" customHeight="1">
      <c r="A648" s="221"/>
      <c r="B648" s="223"/>
      <c r="C648" s="343"/>
      <c r="D648" s="213"/>
      <c r="E648" s="350"/>
      <c r="F648" s="215"/>
    </row>
    <row r="649" spans="1:6" ht="21.75" customHeight="1">
      <c r="A649" s="221"/>
      <c r="B649" s="223"/>
      <c r="C649" s="343"/>
      <c r="D649" s="213"/>
      <c r="E649" s="350"/>
      <c r="F649" s="215"/>
    </row>
    <row r="650" spans="1:6" ht="21.75" customHeight="1">
      <c r="A650" s="221"/>
      <c r="B650" s="223"/>
      <c r="C650" s="343"/>
      <c r="D650" s="213"/>
      <c r="E650" s="350"/>
      <c r="F650" s="215"/>
    </row>
    <row r="651" spans="1:6" ht="21.75" customHeight="1">
      <c r="A651" s="221"/>
      <c r="B651" s="223"/>
      <c r="C651" s="343"/>
      <c r="D651" s="213"/>
      <c r="E651" s="350"/>
      <c r="F651" s="215"/>
    </row>
    <row r="652" spans="1:6" ht="21.75" customHeight="1">
      <c r="A652" s="221"/>
      <c r="B652" s="223"/>
      <c r="C652" s="343"/>
      <c r="D652" s="213"/>
      <c r="E652" s="350"/>
      <c r="F652" s="215"/>
    </row>
    <row r="653" spans="1:6" ht="21.75" customHeight="1">
      <c r="A653" s="221"/>
      <c r="B653" s="223"/>
      <c r="C653" s="343"/>
      <c r="D653" s="213"/>
      <c r="E653" s="350"/>
      <c r="F653" s="215"/>
    </row>
    <row r="654" spans="1:6" ht="21.75" customHeight="1">
      <c r="A654" s="221"/>
      <c r="B654" s="223"/>
      <c r="C654" s="343"/>
      <c r="D654" s="213"/>
      <c r="E654" s="350"/>
      <c r="F654" s="215"/>
    </row>
    <row r="655" spans="1:6" ht="21.75" customHeight="1">
      <c r="A655" s="221"/>
      <c r="B655" s="223"/>
      <c r="C655" s="343"/>
      <c r="D655" s="213"/>
      <c r="E655" s="350"/>
      <c r="F655" s="215"/>
    </row>
    <row r="656" spans="1:6" ht="21.75" customHeight="1">
      <c r="A656" s="221"/>
      <c r="B656" s="223"/>
      <c r="C656" s="343"/>
      <c r="D656" s="213"/>
      <c r="E656" s="350"/>
      <c r="F656" s="215"/>
    </row>
    <row r="657" spans="1:6" ht="21.75" customHeight="1">
      <c r="A657" s="221"/>
      <c r="B657" s="223"/>
      <c r="C657" s="343"/>
      <c r="D657" s="213"/>
      <c r="E657" s="350"/>
      <c r="F657" s="215"/>
    </row>
    <row r="658" spans="1:6" ht="21.75" customHeight="1">
      <c r="A658" s="221"/>
      <c r="B658" s="223"/>
      <c r="C658" s="343"/>
      <c r="D658" s="213"/>
      <c r="E658" s="350"/>
      <c r="F658" s="215"/>
    </row>
    <row r="659" spans="1:6" ht="21.75" customHeight="1">
      <c r="A659" s="221"/>
      <c r="B659" s="223"/>
      <c r="C659" s="343"/>
      <c r="D659" s="213"/>
      <c r="E659" s="350"/>
      <c r="F659" s="215"/>
    </row>
    <row r="660" spans="1:6" ht="21.75" customHeight="1">
      <c r="A660" s="221"/>
      <c r="B660" s="223"/>
      <c r="C660" s="343"/>
      <c r="D660" s="213"/>
      <c r="E660" s="350"/>
      <c r="F660" s="215"/>
    </row>
    <row r="661" spans="1:6" ht="21.75" customHeight="1">
      <c r="A661" s="221"/>
      <c r="B661" s="223"/>
      <c r="C661" s="343"/>
      <c r="D661" s="213"/>
      <c r="E661" s="350"/>
      <c r="F661" s="215"/>
    </row>
    <row r="662" spans="1:6" ht="21.75" customHeight="1">
      <c r="A662" s="221"/>
      <c r="B662" s="223"/>
      <c r="C662" s="343"/>
      <c r="D662" s="213"/>
      <c r="E662" s="350"/>
      <c r="F662" s="215"/>
    </row>
    <row r="663" spans="1:6" ht="21.75" customHeight="1">
      <c r="A663" s="221"/>
      <c r="B663" s="223"/>
      <c r="C663" s="343"/>
      <c r="D663" s="213"/>
      <c r="E663" s="350"/>
      <c r="F663" s="215"/>
    </row>
    <row r="664" spans="1:6" ht="21.75" customHeight="1">
      <c r="A664" s="221"/>
      <c r="B664" s="223"/>
      <c r="C664" s="343"/>
      <c r="D664" s="213"/>
      <c r="E664" s="350"/>
      <c r="F664" s="215"/>
    </row>
    <row r="665" spans="1:6" ht="21.75" customHeight="1">
      <c r="A665" s="221"/>
      <c r="B665" s="223"/>
      <c r="C665" s="343"/>
      <c r="D665" s="213"/>
      <c r="E665" s="350"/>
      <c r="F665" s="215"/>
    </row>
    <row r="666" spans="1:6" ht="21.75" customHeight="1">
      <c r="A666" s="221"/>
      <c r="B666" s="223"/>
      <c r="C666" s="343"/>
      <c r="D666" s="222"/>
      <c r="E666" s="350"/>
      <c r="F666" s="215"/>
    </row>
    <row r="667" spans="1:6" ht="21.75" customHeight="1">
      <c r="A667" s="221"/>
      <c r="B667" s="223"/>
      <c r="C667" s="343"/>
      <c r="D667" s="213"/>
      <c r="E667" s="350"/>
      <c r="F667" s="215"/>
    </row>
    <row r="668" spans="1:6" ht="21.75" customHeight="1">
      <c r="A668" s="221"/>
      <c r="B668" s="223"/>
      <c r="C668" s="343"/>
      <c r="D668" s="222"/>
      <c r="E668" s="350"/>
      <c r="F668" s="215"/>
    </row>
    <row r="669" spans="1:6" ht="21.75" customHeight="1">
      <c r="A669" s="221"/>
      <c r="B669" s="223"/>
      <c r="C669" s="343"/>
      <c r="D669" s="222"/>
      <c r="E669" s="350"/>
      <c r="F669" s="215"/>
    </row>
    <row r="670" spans="1:6" ht="21.75" customHeight="1">
      <c r="A670" s="221"/>
      <c r="B670" s="223"/>
      <c r="C670" s="343"/>
      <c r="D670" s="213"/>
      <c r="E670" s="350"/>
      <c r="F670" s="215"/>
    </row>
    <row r="671" spans="1:6" ht="21.75" customHeight="1">
      <c r="A671" s="221"/>
      <c r="B671" s="223"/>
      <c r="C671" s="343"/>
      <c r="D671" s="213"/>
      <c r="E671" s="350"/>
      <c r="F671" s="215"/>
    </row>
    <row r="672" spans="1:6" ht="21.75" customHeight="1">
      <c r="A672" s="221"/>
      <c r="B672" s="223"/>
      <c r="C672" s="343"/>
      <c r="D672" s="213"/>
      <c r="E672" s="350"/>
      <c r="F672" s="215"/>
    </row>
    <row r="673" spans="1:6" ht="21.75" customHeight="1">
      <c r="A673" s="221"/>
      <c r="B673" s="223"/>
      <c r="C673" s="343"/>
      <c r="D673" s="213"/>
      <c r="E673" s="350"/>
      <c r="F673" s="215"/>
    </row>
    <row r="674" spans="1:6" ht="21.75" customHeight="1">
      <c r="A674" s="221"/>
      <c r="B674" s="223"/>
      <c r="C674" s="343"/>
      <c r="D674" s="213"/>
      <c r="E674" s="350"/>
      <c r="F674" s="215"/>
    </row>
    <row r="675" spans="1:6" ht="21.75" customHeight="1">
      <c r="A675" s="221"/>
      <c r="B675" s="223"/>
      <c r="C675" s="343"/>
      <c r="D675" s="213"/>
      <c r="E675" s="350"/>
      <c r="F675" s="215"/>
    </row>
    <row r="676" spans="1:6" ht="21.75" customHeight="1">
      <c r="A676" s="221"/>
      <c r="B676" s="223"/>
      <c r="C676" s="343"/>
      <c r="D676" s="213"/>
      <c r="E676" s="350"/>
      <c r="F676" s="215"/>
    </row>
    <row r="677" spans="1:6" ht="21.75" customHeight="1">
      <c r="A677" s="221"/>
      <c r="B677" s="223"/>
      <c r="C677" s="343"/>
      <c r="D677" s="213"/>
      <c r="E677" s="350"/>
      <c r="F677" s="215"/>
    </row>
    <row r="678" spans="1:6" ht="21.75" customHeight="1">
      <c r="A678" s="221"/>
      <c r="B678" s="223"/>
      <c r="C678" s="343"/>
      <c r="D678" s="213"/>
      <c r="E678" s="350"/>
      <c r="F678" s="215"/>
    </row>
    <row r="679" spans="1:6" ht="21.75" customHeight="1">
      <c r="A679" s="221"/>
      <c r="B679" s="223"/>
      <c r="C679" s="343"/>
      <c r="D679" s="213"/>
      <c r="E679" s="350"/>
      <c r="F679" s="215"/>
    </row>
    <row r="680" spans="1:6" ht="21.75" customHeight="1">
      <c r="A680" s="221"/>
      <c r="B680" s="223"/>
      <c r="C680" s="343"/>
      <c r="D680" s="213"/>
      <c r="E680" s="350"/>
      <c r="F680" s="215"/>
    </row>
    <row r="681" spans="1:6" ht="21.75" customHeight="1">
      <c r="A681" s="221"/>
      <c r="B681" s="223"/>
      <c r="C681" s="343"/>
      <c r="D681" s="213"/>
      <c r="E681" s="350"/>
      <c r="F681" s="215"/>
    </row>
    <row r="682" spans="1:6" ht="21.75" customHeight="1">
      <c r="A682" s="221"/>
      <c r="B682" s="223"/>
      <c r="C682" s="343"/>
      <c r="D682" s="213"/>
      <c r="E682" s="350"/>
      <c r="F682" s="215"/>
    </row>
    <row r="683" spans="1:6" ht="21.75" customHeight="1">
      <c r="A683" s="221"/>
      <c r="B683" s="223"/>
      <c r="C683" s="343"/>
      <c r="D683" s="213"/>
      <c r="E683" s="350"/>
      <c r="F683" s="215"/>
    </row>
    <row r="684" spans="1:6" ht="21.75" customHeight="1">
      <c r="A684" s="221"/>
      <c r="B684" s="223"/>
      <c r="C684" s="343"/>
      <c r="D684" s="213"/>
      <c r="E684" s="350"/>
      <c r="F684" s="215"/>
    </row>
    <row r="685" spans="1:6" ht="21.75" customHeight="1">
      <c r="A685" s="221"/>
      <c r="B685" s="223"/>
      <c r="C685" s="343"/>
      <c r="D685" s="213"/>
      <c r="E685" s="350"/>
      <c r="F685" s="215"/>
    </row>
    <row r="686" spans="1:6" ht="21.75" customHeight="1">
      <c r="A686" s="221"/>
      <c r="B686" s="223"/>
      <c r="C686" s="343"/>
      <c r="D686" s="213"/>
      <c r="E686" s="350"/>
      <c r="F686" s="215"/>
    </row>
    <row r="687" spans="1:6" ht="21.75" customHeight="1">
      <c r="A687" s="221"/>
      <c r="B687" s="223"/>
      <c r="C687" s="343"/>
      <c r="D687" s="213"/>
      <c r="E687" s="350"/>
      <c r="F687" s="215"/>
    </row>
    <row r="688" spans="1:6" ht="21.75" customHeight="1">
      <c r="A688" s="221"/>
      <c r="B688" s="223"/>
      <c r="C688" s="343"/>
      <c r="D688" s="213"/>
      <c r="E688" s="350"/>
      <c r="F688" s="215"/>
    </row>
    <row r="689" spans="1:6" ht="21.75" customHeight="1">
      <c r="A689" s="221"/>
      <c r="B689" s="223"/>
      <c r="C689" s="343"/>
      <c r="D689" s="213"/>
      <c r="E689" s="350"/>
      <c r="F689" s="215"/>
    </row>
    <row r="690" spans="1:6" ht="21.75" customHeight="1">
      <c r="A690" s="221"/>
      <c r="B690" s="223"/>
      <c r="C690" s="343"/>
      <c r="D690" s="213"/>
      <c r="E690" s="350"/>
      <c r="F690" s="215"/>
    </row>
    <row r="691" spans="1:6" ht="21.75" customHeight="1">
      <c r="A691" s="221"/>
      <c r="B691" s="223"/>
      <c r="C691" s="343"/>
      <c r="D691" s="213"/>
      <c r="E691" s="350"/>
      <c r="F691" s="215"/>
    </row>
    <row r="692" spans="1:6" ht="21.75" customHeight="1">
      <c r="A692" s="221"/>
      <c r="B692" s="223"/>
      <c r="C692" s="343"/>
      <c r="D692" s="213"/>
      <c r="E692" s="350"/>
      <c r="F692" s="215"/>
    </row>
    <row r="693" spans="1:6" ht="21.75" customHeight="1">
      <c r="A693" s="221"/>
      <c r="B693" s="223"/>
      <c r="C693" s="343"/>
      <c r="D693" s="213"/>
      <c r="E693" s="350"/>
      <c r="F693" s="215"/>
    </row>
    <row r="694" spans="1:6" ht="21.75" customHeight="1">
      <c r="A694" s="221"/>
      <c r="B694" s="223"/>
      <c r="C694" s="343"/>
      <c r="D694" s="213"/>
      <c r="E694" s="350"/>
      <c r="F694" s="215"/>
    </row>
    <row r="695" spans="1:6" ht="21.75" customHeight="1">
      <c r="A695" s="221"/>
      <c r="B695" s="223"/>
      <c r="C695" s="343"/>
      <c r="D695" s="213"/>
      <c r="E695" s="350"/>
      <c r="F695" s="215"/>
    </row>
    <row r="696" spans="1:6" ht="21.75" customHeight="1">
      <c r="A696" s="221"/>
      <c r="B696" s="223"/>
      <c r="C696" s="343"/>
      <c r="D696" s="213"/>
      <c r="E696" s="350"/>
      <c r="F696" s="215"/>
    </row>
    <row r="697" spans="1:6" ht="21.75" customHeight="1">
      <c r="A697" s="221"/>
      <c r="B697" s="223"/>
      <c r="C697" s="343"/>
      <c r="D697" s="213"/>
      <c r="E697" s="350"/>
      <c r="F697" s="215"/>
    </row>
    <row r="698" spans="1:6" ht="21.75" customHeight="1">
      <c r="A698" s="221"/>
      <c r="B698" s="223"/>
      <c r="C698" s="343"/>
      <c r="D698" s="213"/>
      <c r="E698" s="350"/>
      <c r="F698" s="215"/>
    </row>
    <row r="699" spans="1:6" ht="21.75" customHeight="1">
      <c r="A699" s="221"/>
      <c r="B699" s="223"/>
      <c r="C699" s="343"/>
      <c r="D699" s="213"/>
      <c r="E699" s="350"/>
      <c r="F699" s="215"/>
    </row>
    <row r="700" spans="1:6" ht="21.75" customHeight="1">
      <c r="A700" s="221"/>
      <c r="B700" s="223"/>
      <c r="C700" s="343"/>
      <c r="D700" s="213"/>
      <c r="E700" s="350"/>
      <c r="F700" s="215"/>
    </row>
    <row r="701" spans="1:6" ht="21.75" customHeight="1">
      <c r="A701" s="221"/>
      <c r="B701" s="223"/>
      <c r="C701" s="343"/>
      <c r="D701" s="213"/>
      <c r="E701" s="350"/>
      <c r="F701" s="215"/>
    </row>
    <row r="702" spans="1:6" ht="21.75" customHeight="1">
      <c r="A702" s="221"/>
      <c r="B702" s="223"/>
      <c r="C702" s="343"/>
      <c r="D702" s="213"/>
      <c r="E702" s="350"/>
      <c r="F702" s="215"/>
    </row>
    <row r="703" spans="1:6" ht="21.75" customHeight="1">
      <c r="A703" s="221"/>
      <c r="B703" s="223"/>
      <c r="C703" s="343"/>
      <c r="D703" s="213"/>
      <c r="E703" s="350"/>
      <c r="F703" s="215"/>
    </row>
    <row r="704" spans="1:6" ht="21.75" customHeight="1">
      <c r="A704" s="221"/>
      <c r="B704" s="223"/>
      <c r="C704" s="343"/>
      <c r="D704" s="213"/>
      <c r="E704" s="350"/>
      <c r="F704" s="215"/>
    </row>
    <row r="705" spans="1:6" ht="21.75" customHeight="1">
      <c r="A705" s="221"/>
      <c r="B705" s="223"/>
      <c r="C705" s="343"/>
      <c r="D705" s="213"/>
      <c r="E705" s="350"/>
      <c r="F705" s="215"/>
    </row>
    <row r="706" spans="1:6" ht="21.75" customHeight="1">
      <c r="A706" s="221"/>
      <c r="B706" s="223"/>
      <c r="C706" s="343"/>
      <c r="D706" s="213"/>
      <c r="E706" s="350"/>
      <c r="F706" s="215"/>
    </row>
    <row r="707" spans="1:6" ht="21.75" customHeight="1">
      <c r="A707" s="221"/>
      <c r="B707" s="223"/>
      <c r="C707" s="343"/>
      <c r="D707" s="213"/>
      <c r="E707" s="350"/>
      <c r="F707" s="215"/>
    </row>
    <row r="708" spans="1:6" ht="21.75" customHeight="1">
      <c r="A708" s="221"/>
      <c r="B708" s="223"/>
      <c r="C708" s="343"/>
      <c r="D708" s="213"/>
      <c r="E708" s="350"/>
      <c r="F708" s="215"/>
    </row>
    <row r="709" spans="1:6" ht="21.75" customHeight="1">
      <c r="A709" s="221"/>
      <c r="B709" s="223"/>
      <c r="C709" s="343"/>
      <c r="D709" s="213"/>
      <c r="E709" s="350"/>
      <c r="F709" s="215"/>
    </row>
    <row r="710" spans="1:6" ht="21.75" customHeight="1">
      <c r="A710" s="221"/>
      <c r="B710" s="223"/>
      <c r="C710" s="343"/>
      <c r="D710" s="213"/>
      <c r="E710" s="350"/>
      <c r="F710" s="215"/>
    </row>
    <row r="711" spans="1:6" ht="21.75" customHeight="1">
      <c r="A711" s="221"/>
      <c r="B711" s="223"/>
      <c r="C711" s="343"/>
      <c r="D711" s="213"/>
      <c r="E711" s="350"/>
      <c r="F711" s="215"/>
    </row>
    <row r="712" spans="1:6" ht="21.75" customHeight="1">
      <c r="A712" s="221"/>
      <c r="B712" s="223"/>
      <c r="C712" s="343"/>
      <c r="D712" s="213"/>
      <c r="E712" s="350"/>
      <c r="F712" s="215"/>
    </row>
    <row r="713" spans="1:6" ht="21.75" customHeight="1">
      <c r="A713" s="221"/>
      <c r="B713" s="223"/>
      <c r="C713" s="343"/>
      <c r="D713" s="213"/>
      <c r="E713" s="350"/>
      <c r="F713" s="215"/>
    </row>
    <row r="714" spans="1:6" ht="21.75" customHeight="1">
      <c r="A714" s="221"/>
      <c r="B714" s="223"/>
      <c r="C714" s="343"/>
      <c r="D714" s="213"/>
      <c r="E714" s="350"/>
      <c r="F714" s="215"/>
    </row>
    <row r="715" spans="1:6" ht="21.75" customHeight="1">
      <c r="A715" s="221"/>
      <c r="B715" s="223"/>
      <c r="C715" s="343"/>
      <c r="D715" s="213"/>
      <c r="E715" s="350"/>
      <c r="F715" s="215"/>
    </row>
    <row r="716" spans="1:6" ht="21.75" customHeight="1">
      <c r="A716" s="221"/>
      <c r="B716" s="223"/>
      <c r="C716" s="343"/>
      <c r="D716" s="213"/>
      <c r="E716" s="350"/>
      <c r="F716" s="215"/>
    </row>
    <row r="717" spans="1:6" ht="21.75" customHeight="1">
      <c r="A717" s="221"/>
      <c r="B717" s="223"/>
      <c r="C717" s="343"/>
      <c r="D717" s="213"/>
      <c r="E717" s="350"/>
      <c r="F717" s="215"/>
    </row>
    <row r="718" spans="1:6" ht="21.75" customHeight="1">
      <c r="A718" s="221"/>
      <c r="B718" s="223"/>
      <c r="C718" s="343"/>
      <c r="D718" s="213"/>
      <c r="E718" s="350"/>
      <c r="F718" s="215"/>
    </row>
    <row r="719" spans="1:6" ht="21.75" customHeight="1">
      <c r="A719" s="221"/>
      <c r="B719" s="223"/>
      <c r="C719" s="343"/>
      <c r="D719" s="213"/>
      <c r="E719" s="350"/>
      <c r="F719" s="215"/>
    </row>
    <row r="720" spans="1:6" ht="21.75" customHeight="1">
      <c r="A720" s="221"/>
      <c r="B720" s="223"/>
      <c r="C720" s="343"/>
      <c r="D720" s="213"/>
      <c r="E720" s="350"/>
      <c r="F720" s="215"/>
    </row>
    <row r="721" spans="1:6" ht="21.75" customHeight="1">
      <c r="A721" s="221"/>
      <c r="B721" s="223"/>
      <c r="C721" s="343"/>
      <c r="D721" s="213"/>
      <c r="E721" s="350"/>
      <c r="F721" s="215"/>
    </row>
    <row r="722" spans="1:6" ht="21.75" customHeight="1">
      <c r="A722" s="221"/>
      <c r="B722" s="223"/>
      <c r="C722" s="343"/>
      <c r="D722" s="213"/>
      <c r="E722" s="350"/>
      <c r="F722" s="215"/>
    </row>
    <row r="723" spans="1:6" ht="21.75" customHeight="1">
      <c r="A723" s="221"/>
      <c r="B723" s="223"/>
      <c r="C723" s="343"/>
      <c r="D723" s="213"/>
      <c r="E723" s="350"/>
      <c r="F723" s="215"/>
    </row>
    <row r="724" spans="1:6" ht="21.75" customHeight="1">
      <c r="A724" s="221"/>
      <c r="B724" s="223"/>
      <c r="C724" s="343"/>
      <c r="D724" s="213"/>
      <c r="E724" s="350"/>
      <c r="F724" s="215"/>
    </row>
    <row r="725" spans="1:6" ht="21.75" customHeight="1">
      <c r="A725" s="221"/>
      <c r="B725" s="223"/>
      <c r="C725" s="343"/>
      <c r="D725" s="213"/>
      <c r="E725" s="350"/>
      <c r="F725" s="215"/>
    </row>
    <row r="726" spans="1:6" ht="21.75" customHeight="1">
      <c r="A726" s="221"/>
      <c r="B726" s="223"/>
      <c r="C726" s="343"/>
      <c r="D726" s="213"/>
      <c r="E726" s="350"/>
      <c r="F726" s="215"/>
    </row>
    <row r="727" spans="1:6" ht="21.75" customHeight="1">
      <c r="A727" s="221"/>
      <c r="B727" s="223"/>
      <c r="C727" s="343"/>
      <c r="D727" s="213"/>
      <c r="E727" s="350"/>
      <c r="F727" s="215"/>
    </row>
    <row r="728" spans="1:6" ht="21.75" customHeight="1">
      <c r="A728" s="221"/>
      <c r="B728" s="223"/>
      <c r="C728" s="343"/>
      <c r="D728" s="213"/>
      <c r="E728" s="350"/>
      <c r="F728" s="215"/>
    </row>
    <row r="729" spans="1:6" ht="21.75" customHeight="1">
      <c r="A729" s="221"/>
      <c r="B729" s="223"/>
      <c r="C729" s="343"/>
      <c r="D729" s="213"/>
      <c r="E729" s="350"/>
      <c r="F729" s="215"/>
    </row>
    <row r="730" spans="1:6" ht="21.75" customHeight="1">
      <c r="A730" s="221"/>
      <c r="B730" s="223"/>
      <c r="C730" s="343"/>
      <c r="D730" s="213"/>
      <c r="E730" s="350"/>
      <c r="F730" s="215"/>
    </row>
    <row r="731" spans="1:6" ht="21.75" customHeight="1">
      <c r="A731" s="221"/>
      <c r="B731" s="223"/>
      <c r="C731" s="343"/>
      <c r="D731" s="213"/>
      <c r="E731" s="350"/>
      <c r="F731" s="215"/>
    </row>
    <row r="732" spans="1:6" ht="21.75" customHeight="1">
      <c r="A732" s="221"/>
      <c r="B732" s="223"/>
      <c r="C732" s="343"/>
      <c r="D732" s="213"/>
      <c r="E732" s="350"/>
      <c r="F732" s="215"/>
    </row>
    <row r="733" spans="1:6" ht="21.75" customHeight="1">
      <c r="A733" s="221"/>
      <c r="B733" s="223"/>
      <c r="C733" s="343"/>
      <c r="D733" s="213"/>
      <c r="E733" s="350"/>
      <c r="F733" s="215"/>
    </row>
    <row r="734" spans="1:6" ht="21.75" customHeight="1">
      <c r="A734" s="221"/>
      <c r="B734" s="223"/>
      <c r="C734" s="343"/>
      <c r="D734" s="213"/>
      <c r="E734" s="350"/>
      <c r="F734" s="215"/>
    </row>
    <row r="735" spans="1:6" ht="21.75" customHeight="1">
      <c r="A735" s="221"/>
      <c r="B735" s="223"/>
      <c r="C735" s="343"/>
      <c r="D735" s="213"/>
      <c r="E735" s="350"/>
      <c r="F735" s="215"/>
    </row>
    <row r="736" spans="1:6" ht="21.75" customHeight="1">
      <c r="A736" s="221"/>
      <c r="B736" s="223"/>
      <c r="C736" s="343"/>
      <c r="D736" s="213"/>
      <c r="E736" s="350"/>
      <c r="F736" s="215"/>
    </row>
    <row r="737" spans="1:6" ht="21.75" customHeight="1">
      <c r="A737" s="221"/>
      <c r="B737" s="223"/>
      <c r="C737" s="343"/>
      <c r="D737" s="213"/>
      <c r="E737" s="350"/>
      <c r="F737" s="215"/>
    </row>
    <row r="738" spans="1:6" ht="21.75" customHeight="1">
      <c r="A738" s="221"/>
      <c r="B738" s="223"/>
      <c r="C738" s="343"/>
      <c r="D738" s="213"/>
      <c r="E738" s="350"/>
      <c r="F738" s="215"/>
    </row>
    <row r="739" spans="1:6" ht="21.75" customHeight="1">
      <c r="A739" s="221"/>
      <c r="B739" s="223"/>
      <c r="C739" s="343"/>
      <c r="D739" s="213"/>
      <c r="E739" s="350"/>
      <c r="F739" s="215"/>
    </row>
    <row r="740" spans="1:6" ht="21.75" customHeight="1">
      <c r="A740" s="221"/>
      <c r="B740" s="223"/>
      <c r="C740" s="343"/>
      <c r="D740" s="213"/>
      <c r="E740" s="350"/>
      <c r="F740" s="215"/>
    </row>
    <row r="741" spans="1:6" ht="21.75" customHeight="1">
      <c r="A741" s="221"/>
      <c r="B741" s="223"/>
      <c r="C741" s="343"/>
      <c r="D741" s="213"/>
      <c r="E741" s="350"/>
      <c r="F741" s="215"/>
    </row>
    <row r="742" spans="1:6" ht="21.75" customHeight="1">
      <c r="A742" s="221"/>
      <c r="B742" s="223"/>
      <c r="C742" s="343"/>
      <c r="D742" s="213"/>
      <c r="E742" s="350"/>
      <c r="F742" s="215"/>
    </row>
    <row r="743" spans="1:6" ht="21.75" customHeight="1">
      <c r="A743" s="221"/>
      <c r="B743" s="223"/>
      <c r="C743" s="343"/>
      <c r="D743" s="213"/>
      <c r="E743" s="350"/>
      <c r="F743" s="215"/>
    </row>
    <row r="744" spans="1:6" ht="21.75" customHeight="1">
      <c r="A744" s="221"/>
      <c r="B744" s="223"/>
      <c r="C744" s="343"/>
      <c r="D744" s="213"/>
      <c r="E744" s="350"/>
      <c r="F744" s="215"/>
    </row>
    <row r="745" spans="1:6" ht="21.75" customHeight="1">
      <c r="A745" s="221"/>
      <c r="B745" s="223"/>
      <c r="C745" s="343"/>
      <c r="D745" s="213"/>
      <c r="E745" s="350"/>
      <c r="F745" s="215"/>
    </row>
    <row r="746" spans="1:6" ht="21.75" customHeight="1">
      <c r="A746" s="221"/>
      <c r="B746" s="223"/>
      <c r="C746" s="343"/>
      <c r="D746" s="213"/>
      <c r="E746" s="350"/>
      <c r="F746" s="215"/>
    </row>
    <row r="747" spans="1:6" ht="21.75" customHeight="1">
      <c r="A747" s="221"/>
      <c r="B747" s="223"/>
      <c r="C747" s="343"/>
      <c r="D747" s="213"/>
      <c r="E747" s="350"/>
      <c r="F747" s="215"/>
    </row>
    <row r="748" spans="1:6" ht="21.75" customHeight="1">
      <c r="A748" s="221"/>
      <c r="B748" s="223"/>
      <c r="C748" s="343"/>
      <c r="D748" s="213"/>
      <c r="E748" s="350"/>
      <c r="F748" s="215"/>
    </row>
    <row r="749" spans="1:6" ht="21.75" customHeight="1">
      <c r="A749" s="221"/>
      <c r="B749" s="223"/>
      <c r="C749" s="343"/>
      <c r="D749" s="213"/>
      <c r="E749" s="350"/>
      <c r="F749" s="215"/>
    </row>
    <row r="750" spans="1:6" ht="21.75" customHeight="1">
      <c r="A750" s="221"/>
      <c r="B750" s="223"/>
      <c r="C750" s="343"/>
      <c r="D750" s="213"/>
      <c r="E750" s="350"/>
      <c r="F750" s="215"/>
    </row>
    <row r="751" spans="1:6" ht="21.75" customHeight="1">
      <c r="A751" s="221"/>
      <c r="B751" s="223"/>
      <c r="C751" s="343"/>
      <c r="D751" s="213"/>
      <c r="E751" s="350"/>
      <c r="F751" s="215"/>
    </row>
    <row r="752" spans="1:6" ht="21.75" customHeight="1">
      <c r="A752" s="221"/>
      <c r="B752" s="223"/>
      <c r="C752" s="343"/>
      <c r="D752" s="213"/>
      <c r="E752" s="350"/>
      <c r="F752" s="215"/>
    </row>
    <row r="753" spans="1:6" ht="21.75" customHeight="1">
      <c r="A753" s="221"/>
      <c r="B753" s="223"/>
      <c r="C753" s="343"/>
      <c r="D753" s="213"/>
      <c r="E753" s="350"/>
      <c r="F753" s="215"/>
    </row>
    <row r="754" spans="1:6" ht="21.75" customHeight="1">
      <c r="A754" s="221"/>
      <c r="B754" s="223"/>
      <c r="C754" s="343"/>
      <c r="D754" s="213"/>
      <c r="E754" s="350"/>
      <c r="F754" s="215"/>
    </row>
    <row r="755" spans="1:6" ht="21.75" customHeight="1">
      <c r="A755" s="221"/>
      <c r="B755" s="223"/>
      <c r="C755" s="343"/>
      <c r="D755" s="213"/>
      <c r="E755" s="350"/>
      <c r="F755" s="215"/>
    </row>
    <row r="756" spans="1:6" ht="21.75" customHeight="1">
      <c r="A756" s="221"/>
      <c r="B756" s="223"/>
      <c r="C756" s="343"/>
      <c r="D756" s="213"/>
      <c r="E756" s="350"/>
      <c r="F756" s="215"/>
    </row>
    <row r="757" spans="1:6" ht="21.75" customHeight="1">
      <c r="A757" s="221"/>
      <c r="B757" s="223"/>
      <c r="C757" s="343"/>
      <c r="D757" s="213"/>
      <c r="E757" s="350"/>
      <c r="F757" s="215"/>
    </row>
    <row r="758" spans="1:6" ht="21.75" customHeight="1">
      <c r="A758" s="221"/>
      <c r="B758" s="223"/>
      <c r="C758" s="343"/>
      <c r="D758" s="213"/>
      <c r="E758" s="350"/>
      <c r="F758" s="215"/>
    </row>
    <row r="759" spans="1:6" ht="21.75" customHeight="1">
      <c r="A759" s="221"/>
      <c r="B759" s="223"/>
      <c r="C759" s="343"/>
      <c r="D759" s="213"/>
      <c r="E759" s="350"/>
      <c r="F759" s="215"/>
    </row>
    <row r="760" spans="1:6" ht="21.75" customHeight="1">
      <c r="A760" s="221"/>
      <c r="B760" s="223"/>
      <c r="C760" s="343"/>
      <c r="D760" s="213"/>
      <c r="E760" s="350"/>
      <c r="F760" s="215"/>
    </row>
    <row r="761" spans="1:6" ht="21.75" customHeight="1">
      <c r="A761" s="221"/>
      <c r="B761" s="223"/>
      <c r="C761" s="343"/>
      <c r="D761" s="213"/>
      <c r="E761" s="350"/>
      <c r="F761" s="215"/>
    </row>
    <row r="762" spans="1:6" ht="21.75" customHeight="1">
      <c r="A762" s="221"/>
      <c r="B762" s="223"/>
      <c r="C762" s="343"/>
      <c r="D762" s="213"/>
      <c r="E762" s="350"/>
      <c r="F762" s="215"/>
    </row>
    <row r="763" spans="1:6" ht="21.75" customHeight="1">
      <c r="A763" s="221"/>
      <c r="B763" s="223"/>
      <c r="C763" s="343"/>
      <c r="D763" s="213"/>
      <c r="E763" s="350"/>
      <c r="F763" s="215"/>
    </row>
    <row r="764" spans="1:6" ht="21.75" customHeight="1">
      <c r="A764" s="221"/>
      <c r="B764" s="223"/>
      <c r="C764" s="343"/>
      <c r="D764" s="213"/>
      <c r="E764" s="350"/>
      <c r="F764" s="215"/>
    </row>
    <row r="765" spans="1:6" ht="21.75" customHeight="1">
      <c r="A765" s="221"/>
      <c r="B765" s="223"/>
      <c r="C765" s="343"/>
      <c r="D765" s="213"/>
      <c r="E765" s="350"/>
      <c r="F765" s="215"/>
    </row>
    <row r="766" spans="1:6" ht="21.75" customHeight="1">
      <c r="A766" s="221"/>
      <c r="B766" s="223"/>
      <c r="C766" s="343"/>
      <c r="D766" s="213"/>
      <c r="E766" s="350"/>
      <c r="F766" s="215"/>
    </row>
    <row r="767" spans="1:6" ht="21.75" customHeight="1">
      <c r="A767" s="221"/>
      <c r="B767" s="223"/>
      <c r="C767" s="343"/>
      <c r="D767" s="213"/>
      <c r="E767" s="350"/>
      <c r="F767" s="215"/>
    </row>
    <row r="768" spans="1:6" ht="21.75" customHeight="1">
      <c r="A768" s="221"/>
      <c r="B768" s="223"/>
      <c r="C768" s="343"/>
      <c r="D768" s="213"/>
      <c r="E768" s="350"/>
      <c r="F768" s="215"/>
    </row>
    <row r="769" spans="1:6" ht="21.75" customHeight="1">
      <c r="A769" s="221"/>
      <c r="B769" s="223"/>
      <c r="C769" s="343"/>
      <c r="D769" s="213"/>
      <c r="E769" s="350"/>
      <c r="F769" s="215"/>
    </row>
    <row r="770" spans="1:6" ht="21.75" customHeight="1">
      <c r="A770" s="221"/>
      <c r="B770" s="223"/>
      <c r="C770" s="343"/>
      <c r="D770" s="213"/>
      <c r="E770" s="350"/>
      <c r="F770" s="215"/>
    </row>
    <row r="771" spans="1:6" ht="21.75" customHeight="1">
      <c r="A771" s="221"/>
      <c r="B771" s="223"/>
      <c r="C771" s="343"/>
      <c r="D771" s="213"/>
      <c r="E771" s="350"/>
      <c r="F771" s="215"/>
    </row>
    <row r="772" spans="1:6" ht="21.75" customHeight="1">
      <c r="A772" s="221"/>
      <c r="B772" s="223"/>
      <c r="C772" s="343"/>
      <c r="D772" s="213"/>
      <c r="E772" s="350"/>
      <c r="F772" s="215"/>
    </row>
    <row r="773" spans="1:6" ht="21.75" customHeight="1">
      <c r="A773" s="221"/>
      <c r="B773" s="223"/>
      <c r="C773" s="343"/>
      <c r="D773" s="213"/>
      <c r="E773" s="350"/>
      <c r="F773" s="215"/>
    </row>
    <row r="774" spans="1:6" ht="21.75" customHeight="1">
      <c r="A774" s="221"/>
      <c r="B774" s="223"/>
      <c r="C774" s="343"/>
      <c r="D774" s="213"/>
      <c r="E774" s="350"/>
      <c r="F774" s="215"/>
    </row>
    <row r="775" spans="1:6" ht="21.75" customHeight="1">
      <c r="A775" s="221"/>
      <c r="B775" s="223"/>
      <c r="C775" s="343"/>
      <c r="D775" s="213"/>
      <c r="E775" s="350"/>
      <c r="F775" s="215"/>
    </row>
    <row r="776" spans="1:6" ht="21.75" customHeight="1">
      <c r="A776" s="221"/>
      <c r="B776" s="223"/>
      <c r="C776" s="343"/>
      <c r="D776" s="213"/>
      <c r="E776" s="350"/>
      <c r="F776" s="215"/>
    </row>
    <row r="777" spans="1:6" ht="21.75" customHeight="1">
      <c r="A777" s="221"/>
      <c r="B777" s="223"/>
      <c r="C777" s="343"/>
      <c r="D777" s="213"/>
      <c r="E777" s="350"/>
      <c r="F777" s="215"/>
    </row>
    <row r="778" spans="1:6" ht="21.75" customHeight="1">
      <c r="A778" s="221"/>
      <c r="B778" s="223"/>
      <c r="C778" s="343"/>
      <c r="D778" s="213"/>
      <c r="E778" s="350"/>
      <c r="F778" s="215"/>
    </row>
    <row r="779" spans="1:6" ht="21.75" customHeight="1">
      <c r="A779" s="221"/>
      <c r="B779" s="223"/>
      <c r="C779" s="343"/>
      <c r="D779" s="213"/>
      <c r="E779" s="350"/>
      <c r="F779" s="215"/>
    </row>
    <row r="780" spans="1:6" ht="21.75" customHeight="1">
      <c r="A780" s="221"/>
      <c r="B780" s="223"/>
      <c r="C780" s="343"/>
      <c r="D780" s="213"/>
      <c r="E780" s="350"/>
      <c r="F780" s="215"/>
    </row>
    <row r="781" spans="1:6" ht="21.75" customHeight="1">
      <c r="A781" s="221"/>
      <c r="B781" s="223"/>
      <c r="C781" s="343"/>
      <c r="D781" s="213"/>
      <c r="E781" s="350"/>
      <c r="F781" s="215"/>
    </row>
    <row r="782" spans="1:6" ht="21.75" customHeight="1">
      <c r="A782" s="221"/>
      <c r="B782" s="223"/>
      <c r="C782" s="343"/>
      <c r="D782" s="213"/>
      <c r="E782" s="350"/>
      <c r="F782" s="215"/>
    </row>
    <row r="783" spans="1:6" ht="21.75" customHeight="1">
      <c r="A783" s="221"/>
      <c r="B783" s="223"/>
      <c r="C783" s="343"/>
      <c r="D783" s="213"/>
      <c r="E783" s="350"/>
      <c r="F783" s="215"/>
    </row>
    <row r="784" spans="1:6" ht="21.75" customHeight="1">
      <c r="A784" s="221"/>
      <c r="B784" s="223"/>
      <c r="C784" s="343"/>
      <c r="D784" s="213"/>
      <c r="E784" s="350"/>
      <c r="F784" s="215"/>
    </row>
    <row r="785" spans="1:6" ht="21.75" customHeight="1">
      <c r="A785" s="221"/>
      <c r="B785" s="223"/>
      <c r="C785" s="343"/>
      <c r="D785" s="213"/>
      <c r="E785" s="350"/>
      <c r="F785" s="215"/>
    </row>
    <row r="786" spans="1:6" ht="21.75" customHeight="1">
      <c r="A786" s="221"/>
      <c r="B786" s="223"/>
      <c r="C786" s="343"/>
      <c r="D786" s="213"/>
      <c r="E786" s="350"/>
      <c r="F786" s="215"/>
    </row>
    <row r="787" spans="1:6" ht="21.75" customHeight="1">
      <c r="A787" s="221"/>
      <c r="B787" s="223"/>
      <c r="C787" s="343"/>
      <c r="D787" s="213"/>
      <c r="E787" s="350"/>
      <c r="F787" s="215"/>
    </row>
    <row r="788" spans="1:6" ht="21.75" customHeight="1">
      <c r="A788" s="221"/>
      <c r="B788" s="223"/>
      <c r="C788" s="343"/>
      <c r="D788" s="213"/>
      <c r="E788" s="350"/>
      <c r="F788" s="215"/>
    </row>
    <row r="789" spans="1:6" ht="21.75" customHeight="1">
      <c r="A789" s="221"/>
      <c r="B789" s="223"/>
      <c r="C789" s="343"/>
      <c r="D789" s="213"/>
      <c r="E789" s="350"/>
      <c r="F789" s="215"/>
    </row>
    <row r="790" spans="1:6" ht="21.75" customHeight="1">
      <c r="A790" s="221"/>
      <c r="B790" s="223"/>
      <c r="C790" s="343"/>
      <c r="D790" s="213"/>
      <c r="E790" s="350"/>
      <c r="F790" s="215"/>
    </row>
    <row r="791" spans="1:6" ht="21.75" customHeight="1">
      <c r="A791" s="225"/>
      <c r="B791" s="223"/>
      <c r="C791" s="343"/>
      <c r="D791" s="213"/>
      <c r="E791" s="350"/>
      <c r="F791" s="215"/>
    </row>
    <row r="792" spans="1:6" ht="21.75" customHeight="1">
      <c r="A792" s="225"/>
      <c r="B792" s="223"/>
      <c r="C792" s="343"/>
      <c r="D792" s="213"/>
      <c r="E792" s="350"/>
      <c r="F792" s="215"/>
    </row>
    <row r="793" spans="1:6" ht="21.75" customHeight="1">
      <c r="A793" s="225"/>
      <c r="B793" s="223"/>
      <c r="C793" s="343"/>
      <c r="D793" s="213"/>
      <c r="E793" s="350"/>
      <c r="F793" s="215"/>
    </row>
    <row r="794" spans="1:6" ht="21.75" customHeight="1">
      <c r="A794" s="225"/>
      <c r="B794" s="223"/>
      <c r="C794" s="343"/>
      <c r="D794" s="213"/>
      <c r="E794" s="350"/>
      <c r="F794" s="215"/>
    </row>
    <row r="795" spans="1:6" ht="21.75" customHeight="1">
      <c r="A795" s="225"/>
      <c r="B795" s="223"/>
      <c r="C795" s="343"/>
      <c r="D795" s="213"/>
      <c r="E795" s="350"/>
      <c r="F795" s="215"/>
    </row>
    <row r="796" spans="1:6" ht="21.75" customHeight="1">
      <c r="A796" s="225"/>
      <c r="B796" s="223"/>
      <c r="C796" s="343"/>
      <c r="D796" s="213"/>
      <c r="E796" s="350"/>
      <c r="F796" s="215"/>
    </row>
    <row r="797" spans="1:6" ht="21.75" customHeight="1">
      <c r="A797" s="221"/>
      <c r="B797" s="223"/>
      <c r="C797" s="343"/>
      <c r="D797" s="213"/>
      <c r="E797" s="350"/>
      <c r="F797" s="215"/>
    </row>
    <row r="798" spans="1:6" ht="21.75" customHeight="1">
      <c r="A798" s="221"/>
      <c r="B798" s="223"/>
      <c r="C798" s="343"/>
      <c r="D798" s="213"/>
      <c r="E798" s="350"/>
      <c r="F798" s="215"/>
    </row>
    <row r="799" spans="1:6" ht="21.75" customHeight="1">
      <c r="A799" s="221"/>
      <c r="B799" s="223"/>
      <c r="C799" s="343"/>
      <c r="D799" s="213"/>
      <c r="E799" s="350"/>
      <c r="F799" s="215"/>
    </row>
    <row r="800" spans="1:6" ht="21.75" customHeight="1">
      <c r="A800" s="221"/>
      <c r="B800" s="223"/>
      <c r="C800" s="343"/>
      <c r="D800" s="213"/>
      <c r="E800" s="350"/>
      <c r="F800" s="215"/>
    </row>
    <row r="801" spans="1:6" ht="21.75" customHeight="1">
      <c r="A801" s="221"/>
      <c r="B801" s="223"/>
      <c r="C801" s="343"/>
      <c r="D801" s="213"/>
      <c r="E801" s="350"/>
      <c r="F801" s="215"/>
    </row>
    <row r="802" spans="1:6" ht="21.75" customHeight="1">
      <c r="A802" s="221"/>
      <c r="B802" s="223"/>
      <c r="C802" s="343"/>
      <c r="D802" s="213"/>
      <c r="E802" s="350"/>
      <c r="F802" s="215"/>
    </row>
    <row r="803" spans="1:6" ht="21.75" customHeight="1">
      <c r="A803" s="221"/>
      <c r="B803" s="223"/>
      <c r="C803" s="343"/>
      <c r="D803" s="213"/>
      <c r="E803" s="350"/>
      <c r="F803" s="215"/>
    </row>
    <row r="804" spans="1:6" ht="21.75" customHeight="1">
      <c r="A804" s="221"/>
      <c r="B804" s="223"/>
      <c r="C804" s="343"/>
      <c r="D804" s="213"/>
      <c r="E804" s="350"/>
      <c r="F804" s="215"/>
    </row>
    <row r="805" spans="1:6" ht="21.75" customHeight="1">
      <c r="A805" s="221"/>
      <c r="B805" s="223"/>
      <c r="C805" s="343"/>
      <c r="D805" s="213"/>
      <c r="E805" s="350"/>
      <c r="F805" s="215"/>
    </row>
    <row r="806" spans="1:6" ht="21.75" customHeight="1">
      <c r="A806" s="221"/>
      <c r="B806" s="223"/>
      <c r="C806" s="343"/>
      <c r="D806" s="213"/>
      <c r="E806" s="350"/>
      <c r="F806" s="215"/>
    </row>
    <row r="807" spans="1:6" ht="21.75" customHeight="1">
      <c r="A807" s="221"/>
      <c r="B807" s="223"/>
      <c r="C807" s="343"/>
      <c r="D807" s="213"/>
      <c r="E807" s="350"/>
      <c r="F807" s="215"/>
    </row>
    <row r="808" spans="1:6" ht="21.75" customHeight="1">
      <c r="A808" s="221"/>
      <c r="B808" s="223"/>
      <c r="C808" s="343"/>
      <c r="D808" s="213"/>
      <c r="E808" s="350"/>
      <c r="F808" s="215"/>
    </row>
    <row r="809" spans="1:6" ht="21.75" customHeight="1">
      <c r="A809" s="221"/>
      <c r="B809" s="223"/>
      <c r="C809" s="343"/>
      <c r="D809" s="213"/>
      <c r="E809" s="350"/>
      <c r="F809" s="215"/>
    </row>
    <row r="810" spans="1:6" ht="21.75" customHeight="1">
      <c r="A810" s="221"/>
      <c r="B810" s="223"/>
      <c r="C810" s="343"/>
      <c r="D810" s="213"/>
      <c r="E810" s="350"/>
      <c r="F810" s="215"/>
    </row>
    <row r="811" spans="1:6" ht="21.75" customHeight="1">
      <c r="A811" s="221"/>
      <c r="B811" s="223"/>
      <c r="C811" s="343"/>
      <c r="D811" s="213"/>
      <c r="E811" s="350"/>
      <c r="F811" s="215"/>
    </row>
    <row r="812" spans="1:6" ht="21.75" customHeight="1">
      <c r="A812" s="221"/>
      <c r="B812" s="223"/>
      <c r="C812" s="343"/>
      <c r="D812" s="213"/>
      <c r="E812" s="350"/>
      <c r="F812" s="215"/>
    </row>
    <row r="813" spans="1:6" ht="21.75" customHeight="1">
      <c r="A813" s="221"/>
      <c r="B813" s="223"/>
      <c r="C813" s="343"/>
      <c r="D813" s="213"/>
      <c r="E813" s="350"/>
      <c r="F813" s="215"/>
    </row>
    <row r="814" spans="1:6" ht="21.75" customHeight="1">
      <c r="A814" s="221"/>
      <c r="B814" s="223"/>
      <c r="C814" s="343"/>
      <c r="D814" s="213"/>
      <c r="E814" s="350"/>
      <c r="F814" s="215"/>
    </row>
    <row r="815" spans="1:6" ht="21.75" customHeight="1">
      <c r="A815" s="221"/>
      <c r="B815" s="223"/>
      <c r="C815" s="343"/>
      <c r="D815" s="213"/>
      <c r="E815" s="350"/>
      <c r="F815" s="215"/>
    </row>
    <row r="816" spans="1:6" ht="21.75" customHeight="1">
      <c r="A816" s="221"/>
      <c r="B816" s="223"/>
      <c r="C816" s="343"/>
      <c r="D816" s="213"/>
      <c r="E816" s="350"/>
      <c r="F816" s="215"/>
    </row>
    <row r="817" spans="1:6" ht="21.75" customHeight="1">
      <c r="A817" s="221"/>
      <c r="B817" s="223"/>
      <c r="C817" s="343"/>
      <c r="D817" s="213"/>
      <c r="E817" s="350"/>
      <c r="F817" s="215"/>
    </row>
    <row r="818" spans="1:6" ht="21.75" customHeight="1">
      <c r="A818" s="221"/>
      <c r="B818" s="223"/>
      <c r="C818" s="343"/>
      <c r="D818" s="213"/>
      <c r="E818" s="350"/>
      <c r="F818" s="215"/>
    </row>
    <row r="819" spans="1:6" ht="21.75" customHeight="1">
      <c r="A819" s="221"/>
      <c r="B819" s="223"/>
      <c r="C819" s="343"/>
      <c r="D819" s="213"/>
      <c r="E819" s="350"/>
      <c r="F819" s="215"/>
    </row>
    <row r="820" spans="1:6" ht="21.75" customHeight="1">
      <c r="A820" s="221"/>
      <c r="B820" s="223"/>
      <c r="C820" s="343"/>
      <c r="D820" s="213"/>
      <c r="E820" s="350"/>
      <c r="F820" s="215"/>
    </row>
    <row r="821" spans="1:6" ht="21.75" customHeight="1">
      <c r="A821" s="221"/>
      <c r="B821" s="223"/>
      <c r="C821" s="343"/>
      <c r="D821" s="213"/>
      <c r="E821" s="350"/>
      <c r="F821" s="215"/>
    </row>
    <row r="822" spans="1:6" ht="21.75" customHeight="1">
      <c r="A822" s="221"/>
      <c r="B822" s="223"/>
      <c r="C822" s="343"/>
      <c r="D822" s="213"/>
      <c r="E822" s="350"/>
      <c r="F822" s="215"/>
    </row>
    <row r="823" spans="1:6" ht="21.75" customHeight="1">
      <c r="A823" s="221"/>
      <c r="B823" s="223"/>
      <c r="C823" s="343"/>
      <c r="D823" s="213"/>
      <c r="E823" s="350"/>
      <c r="F823" s="215"/>
    </row>
    <row r="824" spans="1:6" ht="21.75" customHeight="1">
      <c r="A824" s="221"/>
      <c r="B824" s="223"/>
      <c r="C824" s="343"/>
      <c r="D824" s="213"/>
      <c r="E824" s="350"/>
      <c r="F824" s="215"/>
    </row>
    <row r="825" spans="1:6" ht="21.75" customHeight="1">
      <c r="A825" s="221"/>
      <c r="B825" s="223"/>
      <c r="C825" s="343"/>
      <c r="D825" s="213"/>
      <c r="E825" s="350"/>
      <c r="F825" s="215"/>
    </row>
    <row r="826" spans="1:6" ht="21.75" customHeight="1">
      <c r="A826" s="221"/>
      <c r="B826" s="223"/>
      <c r="C826" s="343"/>
      <c r="D826" s="213"/>
      <c r="E826" s="350"/>
      <c r="F826" s="215"/>
    </row>
    <row r="827" spans="1:6" ht="21.75" customHeight="1">
      <c r="A827" s="221"/>
      <c r="B827" s="223"/>
      <c r="C827" s="343"/>
      <c r="D827" s="213"/>
      <c r="E827" s="350"/>
      <c r="F827" s="215"/>
    </row>
    <row r="828" spans="1:6" ht="21.75" customHeight="1">
      <c r="A828" s="221"/>
      <c r="B828" s="223"/>
      <c r="C828" s="343"/>
      <c r="D828" s="213"/>
      <c r="E828" s="350"/>
      <c r="F828" s="215"/>
    </row>
    <row r="829" spans="1:6" ht="21.75" customHeight="1">
      <c r="A829" s="221"/>
      <c r="B829" s="223"/>
      <c r="C829" s="343"/>
      <c r="D829" s="213"/>
      <c r="E829" s="350"/>
      <c r="F829" s="215"/>
    </row>
    <row r="830" spans="1:6" ht="21.75" customHeight="1">
      <c r="A830" s="221"/>
      <c r="B830" s="223"/>
      <c r="C830" s="343"/>
      <c r="D830" s="213"/>
      <c r="E830" s="350"/>
      <c r="F830" s="215"/>
    </row>
    <row r="831" spans="1:6" ht="21.75" customHeight="1">
      <c r="A831" s="221"/>
      <c r="B831" s="223"/>
      <c r="C831" s="343"/>
      <c r="D831" s="213"/>
      <c r="E831" s="350"/>
      <c r="F831" s="215"/>
    </row>
    <row r="832" spans="1:6" ht="21.75" customHeight="1">
      <c r="A832" s="221"/>
      <c r="B832" s="223"/>
      <c r="C832" s="343"/>
      <c r="D832" s="213"/>
      <c r="E832" s="350"/>
      <c r="F832" s="215"/>
    </row>
    <row r="833" spans="1:6" ht="21.75" customHeight="1">
      <c r="A833" s="221"/>
      <c r="B833" s="223"/>
      <c r="C833" s="343"/>
      <c r="D833" s="213"/>
      <c r="E833" s="350"/>
      <c r="F833" s="215"/>
    </row>
    <row r="834" spans="1:6" ht="21.75" customHeight="1">
      <c r="A834" s="221"/>
      <c r="B834" s="223"/>
      <c r="C834" s="343"/>
      <c r="D834" s="213"/>
      <c r="E834" s="350"/>
    </row>
    <row r="835" spans="1:6" ht="21.75" customHeight="1">
      <c r="A835" s="221"/>
      <c r="B835" s="223"/>
      <c r="C835" s="343"/>
      <c r="D835" s="213"/>
      <c r="E835" s="350"/>
      <c r="F835" s="215"/>
    </row>
    <row r="836" spans="1:6" ht="21.75" customHeight="1">
      <c r="A836" s="221"/>
      <c r="B836" s="223"/>
      <c r="C836" s="343"/>
      <c r="D836" s="213"/>
      <c r="E836" s="350"/>
      <c r="F836" s="215"/>
    </row>
    <row r="837" spans="1:6" ht="21.75" customHeight="1">
      <c r="A837" s="221"/>
      <c r="B837" s="223"/>
      <c r="C837" s="343"/>
      <c r="D837" s="213"/>
      <c r="E837" s="350"/>
      <c r="F837" s="215"/>
    </row>
    <row r="838" spans="1:6" ht="21.75" customHeight="1">
      <c r="A838" s="221"/>
      <c r="B838" s="223"/>
      <c r="C838" s="343"/>
      <c r="D838" s="213"/>
      <c r="E838" s="350"/>
      <c r="F838" s="215"/>
    </row>
    <row r="839" spans="1:6" ht="21.75" customHeight="1">
      <c r="A839" s="221"/>
      <c r="B839" s="223"/>
      <c r="C839" s="343"/>
      <c r="D839" s="213"/>
      <c r="E839" s="350"/>
      <c r="F839" s="215"/>
    </row>
    <row r="840" spans="1:6" ht="21.75" customHeight="1">
      <c r="A840" s="221"/>
      <c r="B840" s="223"/>
      <c r="C840" s="343"/>
      <c r="D840" s="213"/>
      <c r="E840" s="350"/>
      <c r="F840" s="215"/>
    </row>
    <row r="841" spans="1:6" ht="21.75" customHeight="1">
      <c r="A841" s="221"/>
      <c r="B841" s="223"/>
      <c r="C841" s="343"/>
      <c r="D841" s="213"/>
      <c r="E841" s="350"/>
      <c r="F841" s="215"/>
    </row>
    <row r="842" spans="1:6" ht="21.75" customHeight="1">
      <c r="A842" s="221"/>
      <c r="B842" s="223"/>
      <c r="C842" s="343"/>
      <c r="D842" s="213"/>
      <c r="E842" s="350"/>
      <c r="F842" s="215"/>
    </row>
    <row r="843" spans="1:6" ht="21.75" customHeight="1">
      <c r="A843" s="221"/>
      <c r="B843" s="223"/>
      <c r="C843" s="343"/>
      <c r="D843" s="213"/>
      <c r="E843" s="350"/>
      <c r="F843" s="215"/>
    </row>
    <row r="844" spans="1:6" ht="21.75" customHeight="1">
      <c r="A844" s="221"/>
      <c r="B844" s="223"/>
      <c r="C844" s="343"/>
      <c r="D844" s="213"/>
      <c r="E844" s="350"/>
      <c r="F844" s="215"/>
    </row>
    <row r="845" spans="1:6" ht="21.75" customHeight="1">
      <c r="A845" s="221"/>
      <c r="B845" s="223"/>
      <c r="C845" s="343"/>
      <c r="D845" s="213"/>
      <c r="E845" s="350"/>
      <c r="F845" s="215"/>
    </row>
    <row r="846" spans="1:6" ht="21.75" customHeight="1">
      <c r="A846" s="221"/>
      <c r="B846" s="223"/>
      <c r="C846" s="343"/>
      <c r="D846" s="213"/>
      <c r="E846" s="350"/>
      <c r="F846" s="215"/>
    </row>
    <row r="847" spans="1:6" ht="21.75" customHeight="1">
      <c r="A847" s="221"/>
      <c r="B847" s="223"/>
      <c r="C847" s="343"/>
      <c r="D847" s="213"/>
      <c r="E847" s="350"/>
      <c r="F847" s="215"/>
    </row>
    <row r="848" spans="1:6" ht="21.75" customHeight="1">
      <c r="A848" s="221"/>
      <c r="B848" s="223"/>
      <c r="C848" s="343"/>
      <c r="D848" s="213"/>
      <c r="E848" s="350"/>
      <c r="F848" s="215"/>
    </row>
    <row r="849" spans="1:6" ht="21.75" customHeight="1">
      <c r="A849" s="221"/>
      <c r="B849" s="223"/>
      <c r="C849" s="343"/>
      <c r="D849" s="213"/>
      <c r="E849" s="350"/>
      <c r="F849" s="215"/>
    </row>
    <row r="850" spans="1:6" ht="21.75" customHeight="1">
      <c r="A850" s="221"/>
      <c r="B850" s="223"/>
      <c r="C850" s="343"/>
      <c r="D850" s="213"/>
      <c r="E850" s="350"/>
      <c r="F850" s="215"/>
    </row>
    <row r="851" spans="1:6" ht="21.75" customHeight="1">
      <c r="A851" s="221"/>
      <c r="B851" s="223"/>
      <c r="C851" s="343"/>
      <c r="D851" s="213"/>
      <c r="E851" s="350"/>
      <c r="F851" s="215"/>
    </row>
    <row r="852" spans="1:6" ht="21.75" customHeight="1">
      <c r="A852" s="221"/>
      <c r="B852" s="223"/>
      <c r="C852" s="343"/>
      <c r="D852" s="213"/>
      <c r="E852" s="350"/>
      <c r="F852" s="215"/>
    </row>
    <row r="853" spans="1:6" ht="21.75" customHeight="1">
      <c r="A853" s="221"/>
      <c r="B853" s="223"/>
      <c r="C853" s="343"/>
      <c r="D853" s="213"/>
      <c r="E853" s="350"/>
      <c r="F853" s="215"/>
    </row>
    <row r="854" spans="1:6" ht="21.75" customHeight="1">
      <c r="A854" s="221"/>
      <c r="B854" s="223"/>
      <c r="C854" s="343"/>
      <c r="D854" s="213"/>
      <c r="E854" s="350"/>
      <c r="F854" s="215"/>
    </row>
    <row r="855" spans="1:6" ht="21.75" customHeight="1">
      <c r="A855" s="221"/>
      <c r="B855" s="223"/>
      <c r="C855" s="343"/>
      <c r="D855" s="213"/>
      <c r="E855" s="350"/>
      <c r="F855" s="215"/>
    </row>
    <row r="856" spans="1:6" ht="21.75" customHeight="1">
      <c r="A856" s="221"/>
      <c r="B856" s="223"/>
      <c r="C856" s="343"/>
      <c r="D856" s="213"/>
      <c r="E856" s="350"/>
      <c r="F856" s="215"/>
    </row>
    <row r="857" spans="1:6" ht="21.75" customHeight="1">
      <c r="A857" s="221"/>
      <c r="B857" s="223"/>
      <c r="C857" s="343"/>
      <c r="D857" s="213"/>
      <c r="E857" s="350"/>
      <c r="F857" s="215"/>
    </row>
    <row r="858" spans="1:6" ht="21.75" customHeight="1">
      <c r="A858" s="221"/>
      <c r="B858" s="223"/>
      <c r="C858" s="343"/>
      <c r="D858" s="213"/>
      <c r="E858" s="350"/>
      <c r="F858" s="215"/>
    </row>
    <row r="859" spans="1:6" ht="21.75" customHeight="1">
      <c r="A859" s="221"/>
      <c r="B859" s="223"/>
      <c r="C859" s="343"/>
      <c r="D859" s="213"/>
      <c r="E859" s="350"/>
      <c r="F859" s="215"/>
    </row>
    <row r="860" spans="1:6" ht="21.75" customHeight="1">
      <c r="A860" s="221"/>
      <c r="B860" s="223"/>
      <c r="C860" s="343"/>
      <c r="D860" s="213"/>
      <c r="E860" s="350"/>
      <c r="F860" s="215"/>
    </row>
    <row r="861" spans="1:6" ht="21.75" customHeight="1">
      <c r="A861" s="221"/>
      <c r="B861" s="223"/>
      <c r="C861" s="343"/>
      <c r="D861" s="213"/>
      <c r="E861" s="350"/>
      <c r="F861" s="215"/>
    </row>
    <row r="862" spans="1:6" ht="21.75" customHeight="1">
      <c r="A862" s="221"/>
      <c r="B862" s="223"/>
      <c r="C862" s="343"/>
      <c r="D862" s="213"/>
      <c r="E862" s="350"/>
      <c r="F862" s="215"/>
    </row>
    <row r="863" spans="1:6" ht="21.75" customHeight="1">
      <c r="A863" s="221"/>
      <c r="B863" s="223"/>
      <c r="C863" s="343"/>
      <c r="D863" s="213"/>
      <c r="E863" s="350"/>
      <c r="F863" s="215"/>
    </row>
    <row r="864" spans="1:6" ht="21.75" customHeight="1">
      <c r="A864" s="221"/>
      <c r="B864" s="223"/>
      <c r="C864" s="343"/>
      <c r="D864" s="213"/>
      <c r="E864" s="350"/>
      <c r="F864" s="215"/>
    </row>
    <row r="865" spans="1:6" ht="21.75" customHeight="1">
      <c r="A865" s="221"/>
      <c r="B865" s="223"/>
      <c r="C865" s="343"/>
      <c r="D865" s="213"/>
      <c r="E865" s="350"/>
      <c r="F865" s="215"/>
    </row>
    <row r="866" spans="1:6" ht="21.75" customHeight="1">
      <c r="A866" s="221"/>
      <c r="B866" s="223"/>
      <c r="C866" s="343"/>
      <c r="D866" s="213"/>
      <c r="E866" s="350"/>
      <c r="F866" s="215"/>
    </row>
    <row r="867" spans="1:6" ht="21.75" customHeight="1">
      <c r="A867" s="221"/>
      <c r="B867" s="223"/>
      <c r="C867" s="343"/>
      <c r="D867" s="213"/>
      <c r="E867" s="350"/>
      <c r="F867" s="215"/>
    </row>
    <row r="868" spans="1:6" ht="21.75" customHeight="1">
      <c r="A868" s="221"/>
      <c r="B868" s="223"/>
      <c r="C868" s="343"/>
      <c r="D868" s="213"/>
      <c r="E868" s="350"/>
      <c r="F868" s="215"/>
    </row>
    <row r="869" spans="1:6" ht="21.75" customHeight="1">
      <c r="A869" s="221"/>
      <c r="B869" s="223"/>
      <c r="C869" s="343"/>
      <c r="D869" s="213"/>
      <c r="E869" s="350"/>
      <c r="F869" s="215"/>
    </row>
    <row r="870" spans="1:6" ht="21.75" customHeight="1">
      <c r="A870" s="221"/>
      <c r="B870" s="223"/>
      <c r="C870" s="343"/>
      <c r="D870" s="213"/>
      <c r="E870" s="350"/>
      <c r="F870" s="215"/>
    </row>
    <row r="871" spans="1:6" ht="21.75" customHeight="1">
      <c r="A871" s="221"/>
      <c r="B871" s="223"/>
      <c r="C871" s="343"/>
      <c r="D871" s="213"/>
      <c r="E871" s="350"/>
      <c r="F871" s="215"/>
    </row>
    <row r="872" spans="1:6" ht="21.75" customHeight="1">
      <c r="A872" s="221"/>
      <c r="B872" s="223"/>
      <c r="C872" s="343"/>
      <c r="D872" s="213"/>
      <c r="E872" s="350"/>
      <c r="F872" s="215"/>
    </row>
    <row r="873" spans="1:6" ht="21.75" customHeight="1">
      <c r="A873" s="221"/>
      <c r="B873" s="223"/>
      <c r="C873" s="343"/>
      <c r="D873" s="213"/>
      <c r="E873" s="350"/>
      <c r="F873" s="215"/>
    </row>
    <row r="874" spans="1:6" ht="21.75" customHeight="1">
      <c r="A874" s="221"/>
      <c r="B874" s="223"/>
      <c r="C874" s="343"/>
      <c r="D874" s="213"/>
      <c r="E874" s="350"/>
      <c r="F874" s="215"/>
    </row>
    <row r="875" spans="1:6" ht="21.75" customHeight="1">
      <c r="A875" s="221"/>
      <c r="B875" s="223"/>
      <c r="C875" s="343"/>
      <c r="D875" s="213"/>
      <c r="E875" s="350"/>
      <c r="F875" s="215"/>
    </row>
    <row r="876" spans="1:6" ht="21.75" customHeight="1">
      <c r="A876" s="221"/>
      <c r="B876" s="223"/>
      <c r="C876" s="343"/>
      <c r="D876" s="213"/>
      <c r="E876" s="350"/>
      <c r="F876" s="215"/>
    </row>
    <row r="877" spans="1:6" ht="21.75" customHeight="1">
      <c r="A877" s="221"/>
      <c r="B877" s="223"/>
      <c r="C877" s="343"/>
      <c r="D877" s="213"/>
      <c r="E877" s="350"/>
      <c r="F877" s="215"/>
    </row>
    <row r="878" spans="1:6" ht="21.75" customHeight="1">
      <c r="A878" s="221"/>
      <c r="B878" s="223"/>
      <c r="C878" s="343"/>
      <c r="D878" s="213"/>
      <c r="E878" s="350"/>
      <c r="F878" s="215"/>
    </row>
    <row r="879" spans="1:6" ht="21.75" customHeight="1">
      <c r="A879" s="221"/>
      <c r="B879" s="223"/>
      <c r="C879" s="343"/>
      <c r="D879" s="213"/>
      <c r="E879" s="350"/>
      <c r="F879" s="215"/>
    </row>
    <row r="880" spans="1:6" ht="21.75" customHeight="1">
      <c r="A880" s="221"/>
      <c r="B880" s="223"/>
      <c r="C880" s="343"/>
      <c r="D880" s="213"/>
      <c r="E880" s="350"/>
      <c r="F880" s="215"/>
    </row>
    <row r="881" spans="1:6" ht="21.75" customHeight="1">
      <c r="A881" s="221"/>
      <c r="B881" s="223"/>
      <c r="C881" s="343"/>
      <c r="D881" s="213"/>
      <c r="E881" s="350"/>
      <c r="F881" s="215"/>
    </row>
    <row r="882" spans="1:6" ht="21.75" customHeight="1">
      <c r="A882" s="221"/>
      <c r="B882" s="223"/>
      <c r="C882" s="343"/>
      <c r="D882" s="213"/>
      <c r="E882" s="350"/>
      <c r="F882" s="215"/>
    </row>
    <row r="883" spans="1:6" ht="21.75" customHeight="1">
      <c r="A883" s="221"/>
      <c r="B883" s="223"/>
      <c r="C883" s="343"/>
      <c r="D883" s="213"/>
      <c r="E883" s="350"/>
      <c r="F883" s="215"/>
    </row>
    <row r="884" spans="1:6" ht="21.75" customHeight="1">
      <c r="A884" s="221"/>
      <c r="B884" s="223"/>
      <c r="C884" s="343"/>
      <c r="D884" s="213"/>
      <c r="E884" s="350"/>
      <c r="F884" s="215"/>
    </row>
    <row r="885" spans="1:6" ht="21.75" customHeight="1">
      <c r="A885" s="221"/>
      <c r="B885" s="223"/>
      <c r="C885" s="343"/>
      <c r="D885" s="213"/>
      <c r="E885" s="350"/>
      <c r="F885" s="215"/>
    </row>
    <row r="886" spans="1:6" ht="21.75" customHeight="1">
      <c r="A886" s="221"/>
      <c r="B886" s="223"/>
      <c r="C886" s="343"/>
      <c r="D886" s="213"/>
      <c r="E886" s="350"/>
      <c r="F886" s="215"/>
    </row>
    <row r="887" spans="1:6" ht="21.75" customHeight="1">
      <c r="A887" s="221"/>
      <c r="B887" s="223"/>
      <c r="C887" s="343"/>
      <c r="D887" s="213"/>
      <c r="E887" s="350"/>
      <c r="F887" s="215"/>
    </row>
    <row r="888" spans="1:6" ht="21.75" customHeight="1">
      <c r="A888" s="221"/>
      <c r="B888" s="223"/>
      <c r="C888" s="343"/>
      <c r="D888" s="213"/>
      <c r="E888" s="350"/>
      <c r="F888" s="215"/>
    </row>
    <row r="889" spans="1:6" ht="21.75" customHeight="1">
      <c r="A889" s="221"/>
      <c r="B889" s="223"/>
      <c r="C889" s="343"/>
      <c r="D889" s="213"/>
      <c r="E889" s="350"/>
      <c r="F889" s="215"/>
    </row>
    <row r="890" spans="1:6" ht="21.75" customHeight="1">
      <c r="A890" s="221"/>
      <c r="B890" s="223"/>
      <c r="C890" s="343"/>
      <c r="D890" s="213"/>
      <c r="E890" s="350"/>
      <c r="F890" s="215"/>
    </row>
    <row r="891" spans="1:6" ht="21.75" customHeight="1">
      <c r="A891" s="221"/>
      <c r="B891" s="223"/>
      <c r="C891" s="343"/>
      <c r="D891" s="213"/>
      <c r="E891" s="350"/>
      <c r="F891" s="215"/>
    </row>
    <row r="892" spans="1:6" ht="21.75" customHeight="1">
      <c r="A892" s="221"/>
      <c r="B892" s="223"/>
      <c r="C892" s="343"/>
      <c r="D892" s="213"/>
      <c r="E892" s="350"/>
      <c r="F892" s="215"/>
    </row>
    <row r="893" spans="1:6" ht="21.75" customHeight="1">
      <c r="A893" s="221"/>
      <c r="B893" s="223"/>
      <c r="C893" s="343"/>
      <c r="D893" s="213"/>
      <c r="E893" s="350"/>
      <c r="F893" s="215"/>
    </row>
    <row r="894" spans="1:6" ht="21.75" customHeight="1">
      <c r="A894" s="221"/>
      <c r="B894" s="223"/>
      <c r="C894" s="343"/>
      <c r="D894" s="213"/>
      <c r="E894" s="350"/>
      <c r="F894" s="215"/>
    </row>
    <row r="895" spans="1:6" ht="21.75" customHeight="1">
      <c r="A895" s="221"/>
      <c r="B895" s="223"/>
      <c r="C895" s="343"/>
      <c r="D895" s="213"/>
      <c r="E895" s="350"/>
      <c r="F895" s="215"/>
    </row>
    <row r="896" spans="1:6" ht="21.75" customHeight="1">
      <c r="A896" s="221"/>
      <c r="B896" s="223"/>
      <c r="C896" s="343"/>
      <c r="D896" s="213"/>
      <c r="E896" s="350"/>
      <c r="F896" s="215"/>
    </row>
    <row r="897" spans="1:6" ht="21.75" customHeight="1">
      <c r="A897" s="221"/>
      <c r="B897" s="223"/>
      <c r="C897" s="343"/>
      <c r="D897" s="213"/>
      <c r="E897" s="350"/>
      <c r="F897" s="215"/>
    </row>
    <row r="898" spans="1:6" ht="21.75" customHeight="1">
      <c r="A898" s="221"/>
      <c r="B898" s="223"/>
      <c r="C898" s="343"/>
      <c r="D898" s="222"/>
      <c r="E898" s="350"/>
      <c r="F898" s="215"/>
    </row>
    <row r="899" spans="1:6" ht="21.75" customHeight="1">
      <c r="A899" s="221"/>
      <c r="B899" s="223"/>
      <c r="C899" s="343"/>
      <c r="D899" s="213"/>
      <c r="E899" s="350"/>
      <c r="F899" s="215"/>
    </row>
    <row r="900" spans="1:6" ht="21.75" customHeight="1">
      <c r="A900" s="221"/>
      <c r="B900" s="223"/>
      <c r="C900" s="343"/>
      <c r="D900" s="213"/>
      <c r="E900" s="350"/>
      <c r="F900" s="215"/>
    </row>
    <row r="901" spans="1:6" ht="21.75" customHeight="1">
      <c r="A901" s="221"/>
      <c r="B901" s="223"/>
      <c r="C901" s="343"/>
      <c r="D901" s="213"/>
      <c r="E901" s="350"/>
      <c r="F901" s="215"/>
    </row>
    <row r="902" spans="1:6" ht="21.75" customHeight="1">
      <c r="A902" s="226"/>
      <c r="B902" s="223"/>
      <c r="C902" s="343"/>
      <c r="D902" s="213"/>
      <c r="E902" s="350"/>
      <c r="F902" s="215"/>
    </row>
    <row r="903" spans="1:6" ht="21.75" customHeight="1">
      <c r="A903" s="221"/>
      <c r="B903" s="223"/>
      <c r="C903" s="343"/>
      <c r="D903" s="213"/>
      <c r="E903" s="350"/>
      <c r="F903" s="215"/>
    </row>
    <row r="904" spans="1:6" ht="21.75" customHeight="1">
      <c r="A904" s="221"/>
      <c r="B904" s="223"/>
      <c r="C904" s="343"/>
      <c r="D904" s="213"/>
      <c r="E904" s="350"/>
      <c r="F904" s="215"/>
    </row>
    <row r="905" spans="1:6" ht="21.75" customHeight="1">
      <c r="A905" s="221"/>
      <c r="B905" s="223"/>
      <c r="C905" s="343"/>
      <c r="D905" s="213"/>
      <c r="E905" s="350"/>
      <c r="F905" s="215"/>
    </row>
    <row r="906" spans="1:6" ht="21.75" customHeight="1">
      <c r="A906" s="221"/>
      <c r="B906" s="223"/>
      <c r="C906" s="343"/>
      <c r="D906" s="213"/>
      <c r="E906" s="350"/>
      <c r="F906" s="215"/>
    </row>
    <row r="907" spans="1:6" ht="21.75" customHeight="1">
      <c r="A907" s="221"/>
      <c r="B907" s="223"/>
      <c r="C907" s="343"/>
      <c r="D907" s="213"/>
      <c r="E907" s="350"/>
      <c r="F907" s="215"/>
    </row>
    <row r="908" spans="1:6" ht="21.75" customHeight="1">
      <c r="A908" s="221"/>
      <c r="B908" s="223"/>
      <c r="C908" s="343"/>
      <c r="D908" s="213"/>
      <c r="E908" s="350"/>
      <c r="F908" s="215"/>
    </row>
    <row r="909" spans="1:6" ht="21.75" customHeight="1">
      <c r="A909" s="221"/>
      <c r="B909" s="223"/>
      <c r="C909" s="343"/>
      <c r="D909" s="213"/>
      <c r="E909" s="350"/>
      <c r="F909" s="215"/>
    </row>
    <row r="910" spans="1:6" ht="21.75" customHeight="1">
      <c r="A910" s="221"/>
      <c r="B910" s="223"/>
      <c r="C910" s="343"/>
      <c r="D910" s="213"/>
      <c r="E910" s="350"/>
      <c r="F910" s="215"/>
    </row>
    <row r="911" spans="1:6" ht="21.75" customHeight="1">
      <c r="A911" s="221"/>
      <c r="B911" s="223"/>
      <c r="C911" s="343"/>
      <c r="D911" s="213"/>
      <c r="E911" s="350"/>
      <c r="F911" s="215"/>
    </row>
    <row r="912" spans="1:6" ht="21.75" customHeight="1">
      <c r="A912" s="221"/>
      <c r="B912" s="223"/>
      <c r="C912" s="343"/>
      <c r="D912" s="213"/>
      <c r="E912" s="350"/>
      <c r="F912" s="215"/>
    </row>
    <row r="913" spans="1:6" ht="21.75" customHeight="1">
      <c r="A913" s="221"/>
      <c r="B913" s="223"/>
      <c r="C913" s="343"/>
      <c r="D913" s="213"/>
      <c r="E913" s="350"/>
      <c r="F913" s="215"/>
    </row>
    <row r="914" spans="1:6" ht="21.75" customHeight="1">
      <c r="A914" s="221"/>
      <c r="B914" s="223"/>
      <c r="C914" s="343"/>
      <c r="D914" s="227"/>
      <c r="E914" s="350"/>
      <c r="F914" s="215"/>
    </row>
    <row r="915" spans="1:6" ht="21.75" customHeight="1">
      <c r="A915" s="221"/>
      <c r="B915" s="223"/>
      <c r="C915" s="343"/>
      <c r="D915" s="227"/>
      <c r="E915" s="350"/>
      <c r="F915" s="215"/>
    </row>
    <row r="916" spans="1:6" ht="21.75" customHeight="1">
      <c r="A916" s="221"/>
      <c r="B916" s="223"/>
      <c r="C916" s="343"/>
      <c r="D916" s="213"/>
      <c r="E916" s="350"/>
      <c r="F916" s="215"/>
    </row>
    <row r="917" spans="1:6" ht="21.75" customHeight="1">
      <c r="A917" s="221"/>
      <c r="B917" s="223"/>
      <c r="C917" s="343"/>
      <c r="D917" s="213"/>
      <c r="E917" s="350"/>
      <c r="F917" s="215"/>
    </row>
    <row r="918" spans="1:6" ht="21.75" customHeight="1">
      <c r="A918" s="221"/>
      <c r="B918" s="223"/>
      <c r="C918" s="343"/>
      <c r="D918" s="213"/>
      <c r="E918" s="350"/>
      <c r="F918" s="215"/>
    </row>
    <row r="919" spans="1:6" ht="21.75" customHeight="1">
      <c r="A919" s="221"/>
      <c r="B919" s="223"/>
      <c r="C919" s="343"/>
      <c r="D919" s="213"/>
      <c r="E919" s="350"/>
      <c r="F919" s="215"/>
    </row>
    <row r="920" spans="1:6" ht="21.75" customHeight="1">
      <c r="A920" s="221"/>
      <c r="B920" s="223"/>
      <c r="C920" s="343"/>
      <c r="D920" s="213"/>
      <c r="E920" s="350"/>
      <c r="F920" s="215"/>
    </row>
    <row r="921" spans="1:6" ht="21.75" customHeight="1">
      <c r="A921" s="221"/>
      <c r="B921" s="223"/>
      <c r="C921" s="343"/>
      <c r="D921" s="213"/>
      <c r="E921" s="350"/>
      <c r="F921" s="215"/>
    </row>
    <row r="922" spans="1:6" ht="21.75" customHeight="1">
      <c r="A922" s="221"/>
      <c r="B922" s="223"/>
      <c r="C922" s="343"/>
      <c r="D922" s="213"/>
      <c r="E922" s="350"/>
      <c r="F922" s="215"/>
    </row>
    <row r="923" spans="1:6" ht="21.75" customHeight="1">
      <c r="A923" s="221"/>
      <c r="B923" s="223"/>
      <c r="C923" s="343"/>
      <c r="D923" s="213"/>
      <c r="E923" s="350"/>
      <c r="F923" s="215"/>
    </row>
    <row r="924" spans="1:6" ht="21.75" customHeight="1">
      <c r="A924" s="221"/>
      <c r="B924" s="223"/>
      <c r="C924" s="343"/>
      <c r="D924" s="213"/>
      <c r="E924" s="350"/>
      <c r="F924" s="215"/>
    </row>
    <row r="925" spans="1:6" ht="21.75" customHeight="1">
      <c r="A925" s="221"/>
      <c r="B925" s="223"/>
      <c r="C925" s="343"/>
      <c r="D925" s="213"/>
      <c r="E925" s="350"/>
      <c r="F925" s="215"/>
    </row>
    <row r="926" spans="1:6" ht="21.75" customHeight="1">
      <c r="A926" s="221"/>
      <c r="B926" s="223"/>
      <c r="C926" s="343"/>
      <c r="D926" s="213"/>
      <c r="E926" s="350"/>
      <c r="F926" s="215"/>
    </row>
    <row r="927" spans="1:6" ht="21.75" customHeight="1">
      <c r="A927" s="221"/>
      <c r="B927" s="223"/>
      <c r="C927" s="343"/>
      <c r="D927" s="213"/>
      <c r="E927" s="350"/>
      <c r="F927" s="215"/>
    </row>
    <row r="928" spans="1:6" ht="21.75" customHeight="1">
      <c r="A928" s="221"/>
      <c r="B928" s="223"/>
      <c r="C928" s="343"/>
      <c r="D928" s="213"/>
      <c r="E928" s="350"/>
      <c r="F928" s="215"/>
    </row>
    <row r="929" spans="1:6" ht="21.75" customHeight="1">
      <c r="A929" s="221"/>
      <c r="B929" s="223"/>
      <c r="C929" s="343"/>
      <c r="D929" s="213"/>
      <c r="E929" s="350"/>
      <c r="F929" s="215"/>
    </row>
    <row r="930" spans="1:6" ht="21.75" customHeight="1">
      <c r="A930" s="221"/>
      <c r="B930" s="223"/>
      <c r="C930" s="343"/>
      <c r="D930" s="213"/>
      <c r="E930" s="350"/>
      <c r="F930" s="215"/>
    </row>
    <row r="931" spans="1:6" ht="21.75" customHeight="1">
      <c r="A931" s="221"/>
      <c r="B931" s="223"/>
      <c r="C931" s="343"/>
      <c r="D931" s="213"/>
      <c r="E931" s="350"/>
      <c r="F931" s="215"/>
    </row>
    <row r="932" spans="1:6" ht="21.75" customHeight="1">
      <c r="A932" s="221"/>
      <c r="B932" s="223"/>
      <c r="C932" s="343"/>
      <c r="D932" s="213"/>
      <c r="E932" s="350"/>
      <c r="F932" s="215"/>
    </row>
    <row r="933" spans="1:6" ht="21.75" customHeight="1">
      <c r="A933" s="221"/>
      <c r="B933" s="223"/>
      <c r="C933" s="343"/>
      <c r="D933" s="213"/>
      <c r="E933" s="350"/>
      <c r="F933" s="215"/>
    </row>
    <row r="934" spans="1:6" ht="21.75" customHeight="1">
      <c r="A934" s="221"/>
      <c r="B934" s="223"/>
      <c r="C934" s="343"/>
      <c r="D934" s="213"/>
      <c r="E934" s="350"/>
      <c r="F934" s="215"/>
    </row>
    <row r="935" spans="1:6" ht="21.75" customHeight="1">
      <c r="A935" s="221"/>
      <c r="B935" s="223"/>
      <c r="C935" s="343"/>
      <c r="D935" s="213"/>
      <c r="E935" s="350"/>
      <c r="F935" s="215"/>
    </row>
    <row r="936" spans="1:6" ht="21.75" customHeight="1">
      <c r="A936" s="221"/>
      <c r="B936" s="223"/>
      <c r="C936" s="343"/>
      <c r="D936" s="213"/>
      <c r="E936" s="350"/>
      <c r="F936" s="215"/>
    </row>
    <row r="937" spans="1:6" ht="21.75" customHeight="1">
      <c r="A937" s="221"/>
      <c r="B937" s="223"/>
      <c r="C937" s="343"/>
      <c r="D937" s="213"/>
      <c r="E937" s="350"/>
      <c r="F937" s="215"/>
    </row>
    <row r="938" spans="1:6" ht="21.75" customHeight="1">
      <c r="A938" s="221"/>
      <c r="B938" s="223"/>
      <c r="C938" s="343"/>
      <c r="D938" s="213"/>
      <c r="E938" s="350"/>
      <c r="F938" s="215"/>
    </row>
    <row r="939" spans="1:6" ht="21.75" customHeight="1">
      <c r="A939" s="221"/>
      <c r="B939" s="223"/>
      <c r="C939" s="343"/>
      <c r="D939" s="213"/>
      <c r="E939" s="350"/>
      <c r="F939" s="215"/>
    </row>
    <row r="940" spans="1:6" ht="21.75" customHeight="1">
      <c r="A940" s="221"/>
      <c r="B940" s="223"/>
      <c r="C940" s="343"/>
      <c r="D940" s="213"/>
      <c r="E940" s="350"/>
      <c r="F940" s="215"/>
    </row>
    <row r="941" spans="1:6" ht="21.75" customHeight="1">
      <c r="A941" s="221"/>
      <c r="B941" s="223"/>
      <c r="C941" s="343"/>
      <c r="D941" s="213"/>
      <c r="E941" s="350"/>
      <c r="F941" s="215"/>
    </row>
    <row r="942" spans="1:6" ht="21.75" customHeight="1">
      <c r="A942" s="221"/>
      <c r="B942" s="223"/>
      <c r="C942" s="343"/>
      <c r="D942" s="213"/>
      <c r="E942" s="350"/>
      <c r="F942" s="215"/>
    </row>
    <row r="943" spans="1:6" ht="21.75" customHeight="1">
      <c r="A943" s="221"/>
      <c r="B943" s="223"/>
      <c r="C943" s="343"/>
      <c r="D943" s="213"/>
      <c r="E943" s="350"/>
      <c r="F943" s="215"/>
    </row>
    <row r="944" spans="1:6" ht="21.75" customHeight="1">
      <c r="A944" s="221"/>
      <c r="B944" s="223"/>
      <c r="C944" s="343"/>
      <c r="D944" s="213"/>
      <c r="E944" s="350"/>
      <c r="F944" s="215"/>
    </row>
    <row r="945" spans="1:6" ht="21.75" customHeight="1">
      <c r="A945" s="221"/>
      <c r="B945" s="223"/>
      <c r="C945" s="343"/>
      <c r="D945" s="213"/>
      <c r="E945" s="350"/>
      <c r="F945" s="215"/>
    </row>
    <row r="946" spans="1:6" ht="21.75" customHeight="1">
      <c r="A946" s="221"/>
      <c r="B946" s="223"/>
      <c r="C946" s="343"/>
      <c r="D946" s="213"/>
      <c r="E946" s="350"/>
      <c r="F946" s="215"/>
    </row>
    <row r="947" spans="1:6" ht="21.75" customHeight="1">
      <c r="A947" s="221"/>
      <c r="B947" s="223"/>
      <c r="C947" s="343"/>
      <c r="D947" s="213"/>
      <c r="E947" s="350"/>
      <c r="F947" s="215"/>
    </row>
    <row r="948" spans="1:6" ht="21.75" customHeight="1">
      <c r="A948" s="221"/>
      <c r="B948" s="223"/>
      <c r="C948" s="343"/>
      <c r="D948" s="213"/>
      <c r="E948" s="350"/>
      <c r="F948" s="215"/>
    </row>
    <row r="949" spans="1:6" ht="21.75" customHeight="1">
      <c r="A949" s="221"/>
      <c r="B949" s="223"/>
      <c r="C949" s="343"/>
      <c r="D949" s="213"/>
      <c r="E949" s="350"/>
      <c r="F949" s="215"/>
    </row>
    <row r="950" spans="1:6" ht="21.75" customHeight="1">
      <c r="A950" s="221"/>
      <c r="B950" s="223"/>
      <c r="C950" s="343"/>
      <c r="D950" s="213"/>
      <c r="E950" s="350"/>
      <c r="F950" s="215"/>
    </row>
    <row r="951" spans="1:6" ht="21.75" customHeight="1">
      <c r="A951" s="221"/>
      <c r="B951" s="223"/>
      <c r="C951" s="343"/>
      <c r="D951" s="213"/>
      <c r="E951" s="350"/>
      <c r="F951" s="215"/>
    </row>
    <row r="952" spans="1:6" ht="21.75" customHeight="1">
      <c r="A952" s="221"/>
      <c r="B952" s="223"/>
      <c r="C952" s="343"/>
      <c r="D952" s="213"/>
      <c r="E952" s="350"/>
      <c r="F952" s="215"/>
    </row>
    <row r="953" spans="1:6" ht="21.75" customHeight="1">
      <c r="A953" s="221"/>
      <c r="B953" s="223"/>
      <c r="C953" s="343"/>
      <c r="D953" s="213"/>
      <c r="E953" s="350"/>
      <c r="F953" s="215"/>
    </row>
    <row r="954" spans="1:6" ht="21.75" customHeight="1">
      <c r="A954" s="221"/>
      <c r="B954" s="223"/>
      <c r="C954" s="343"/>
      <c r="D954" s="213"/>
      <c r="E954" s="350"/>
      <c r="F954" s="215"/>
    </row>
    <row r="955" spans="1:6" ht="21.75" customHeight="1">
      <c r="A955" s="221"/>
      <c r="B955" s="223"/>
      <c r="C955" s="343"/>
      <c r="D955" s="213"/>
      <c r="E955" s="350"/>
      <c r="F955" s="215"/>
    </row>
    <row r="956" spans="1:6" ht="21.75" customHeight="1">
      <c r="A956" s="221"/>
      <c r="B956" s="223"/>
      <c r="C956" s="343"/>
      <c r="D956" s="213"/>
      <c r="E956" s="350"/>
      <c r="F956" s="215"/>
    </row>
    <row r="957" spans="1:6" ht="21.75" customHeight="1">
      <c r="A957" s="221"/>
      <c r="B957" s="223"/>
      <c r="C957" s="343"/>
      <c r="D957" s="213"/>
      <c r="E957" s="350"/>
      <c r="F957" s="215"/>
    </row>
    <row r="958" spans="1:6" ht="21.75" customHeight="1">
      <c r="A958" s="221"/>
      <c r="B958" s="223"/>
      <c r="C958" s="343"/>
      <c r="D958" s="213"/>
      <c r="E958" s="350"/>
      <c r="F958" s="215"/>
    </row>
    <row r="959" spans="1:6" ht="21.75" customHeight="1">
      <c r="A959" s="221"/>
      <c r="B959" s="223"/>
      <c r="C959" s="343"/>
      <c r="D959" s="213"/>
      <c r="E959" s="350"/>
      <c r="F959" s="215"/>
    </row>
    <row r="960" spans="1:6" ht="21.75" customHeight="1">
      <c r="A960" s="221"/>
      <c r="B960" s="223"/>
      <c r="C960" s="343"/>
      <c r="D960" s="228"/>
      <c r="E960" s="350"/>
      <c r="F960" s="215"/>
    </row>
    <row r="961" spans="1:6" ht="21.75" customHeight="1">
      <c r="A961" s="221"/>
      <c r="B961" s="223"/>
      <c r="C961" s="343"/>
      <c r="D961" s="228"/>
      <c r="E961" s="350"/>
      <c r="F961" s="215"/>
    </row>
    <row r="962" spans="1:6" ht="21.75" customHeight="1">
      <c r="A962" s="221"/>
      <c r="B962" s="223"/>
      <c r="C962" s="343"/>
      <c r="D962" s="213"/>
      <c r="E962" s="350"/>
      <c r="F962" s="215"/>
    </row>
    <row r="963" spans="1:6" ht="21.75" customHeight="1">
      <c r="A963" s="221"/>
      <c r="B963" s="223"/>
      <c r="C963" s="343"/>
      <c r="D963" s="213"/>
      <c r="E963" s="350"/>
      <c r="F963" s="215"/>
    </row>
    <row r="964" spans="1:6" ht="21.75" customHeight="1">
      <c r="A964" s="221"/>
      <c r="B964" s="223"/>
      <c r="C964" s="343"/>
      <c r="D964" s="213"/>
      <c r="E964" s="350"/>
      <c r="F964" s="215"/>
    </row>
    <row r="965" spans="1:6" ht="21.75" customHeight="1">
      <c r="A965" s="221"/>
      <c r="B965" s="223"/>
      <c r="C965" s="343"/>
      <c r="D965" s="213"/>
      <c r="E965" s="350"/>
      <c r="F965" s="215"/>
    </row>
    <row r="966" spans="1:6" ht="21.75" customHeight="1">
      <c r="A966" s="221"/>
      <c r="B966" s="223"/>
      <c r="C966" s="343"/>
      <c r="D966" s="213"/>
      <c r="E966" s="350"/>
      <c r="F966" s="215"/>
    </row>
    <row r="967" spans="1:6" ht="21.75" customHeight="1">
      <c r="A967" s="221"/>
      <c r="B967" s="223"/>
      <c r="C967" s="343"/>
      <c r="D967" s="213"/>
      <c r="E967" s="350"/>
      <c r="F967" s="215"/>
    </row>
    <row r="968" spans="1:6" ht="21.75" customHeight="1">
      <c r="A968" s="221"/>
      <c r="B968" s="223"/>
      <c r="C968" s="343"/>
      <c r="D968" s="213"/>
      <c r="E968" s="350"/>
      <c r="F968" s="215"/>
    </row>
    <row r="969" spans="1:6" ht="21.75" customHeight="1">
      <c r="A969" s="221"/>
      <c r="B969" s="223"/>
      <c r="C969" s="343"/>
      <c r="D969" s="213"/>
      <c r="E969" s="350"/>
      <c r="F969" s="215"/>
    </row>
    <row r="970" spans="1:6" ht="21.75" customHeight="1">
      <c r="A970" s="221"/>
      <c r="B970" s="223"/>
      <c r="C970" s="343"/>
      <c r="D970" s="213"/>
      <c r="E970" s="350"/>
      <c r="F970" s="215"/>
    </row>
    <row r="971" spans="1:6" ht="21.75" customHeight="1">
      <c r="A971" s="221"/>
      <c r="B971" s="223"/>
      <c r="C971" s="343"/>
      <c r="D971" s="213"/>
      <c r="E971" s="350"/>
      <c r="F971" s="215"/>
    </row>
    <row r="972" spans="1:6" ht="21.75" customHeight="1">
      <c r="A972" s="221"/>
      <c r="B972" s="223"/>
      <c r="C972" s="343"/>
      <c r="D972" s="213"/>
      <c r="E972" s="350"/>
      <c r="F972" s="215"/>
    </row>
    <row r="973" spans="1:6" ht="21.75" customHeight="1">
      <c r="A973" s="221"/>
      <c r="B973" s="223"/>
      <c r="C973" s="343"/>
      <c r="D973" s="213"/>
      <c r="E973" s="350"/>
      <c r="F973" s="215"/>
    </row>
    <row r="974" spans="1:6" ht="21.75" customHeight="1">
      <c r="A974" s="221"/>
      <c r="B974" s="223"/>
      <c r="C974" s="343"/>
      <c r="D974" s="213"/>
      <c r="E974" s="350"/>
      <c r="F974" s="215"/>
    </row>
    <row r="975" spans="1:6" ht="21.75" customHeight="1">
      <c r="A975" s="221"/>
      <c r="B975" s="223"/>
      <c r="C975" s="343"/>
      <c r="D975" s="213"/>
      <c r="E975" s="350"/>
      <c r="F975" s="215"/>
    </row>
    <row r="976" spans="1:6" ht="21.75" customHeight="1">
      <c r="A976" s="221"/>
      <c r="B976" s="223"/>
      <c r="C976" s="343"/>
      <c r="D976" s="213"/>
      <c r="E976" s="350"/>
      <c r="F976" s="215"/>
    </row>
    <row r="977" spans="1:6" ht="21.75" customHeight="1">
      <c r="A977" s="221"/>
      <c r="B977" s="223"/>
      <c r="C977" s="343"/>
      <c r="D977" s="213"/>
      <c r="E977" s="350"/>
      <c r="F977" s="215"/>
    </row>
    <row r="978" spans="1:6" ht="21.75" customHeight="1">
      <c r="A978" s="221"/>
      <c r="B978" s="223"/>
      <c r="C978" s="343"/>
      <c r="D978" s="213"/>
      <c r="E978" s="352"/>
      <c r="F978" s="215"/>
    </row>
    <row r="979" spans="1:6" ht="21.75" customHeight="1">
      <c r="A979" s="221"/>
      <c r="B979" s="223"/>
      <c r="C979" s="343"/>
      <c r="D979" s="213"/>
      <c r="E979" s="352"/>
      <c r="F979" s="215"/>
    </row>
    <row r="980" spans="1:6" ht="21.75" customHeight="1">
      <c r="A980" s="221"/>
      <c r="B980" s="223"/>
      <c r="C980" s="343"/>
      <c r="D980" s="213"/>
      <c r="E980" s="352"/>
      <c r="F980" s="215"/>
    </row>
    <row r="981" spans="1:6" ht="21.75" customHeight="1">
      <c r="A981" s="221"/>
      <c r="B981" s="223"/>
      <c r="C981" s="343"/>
      <c r="D981" s="213"/>
      <c r="E981" s="352"/>
      <c r="F981" s="215"/>
    </row>
    <row r="982" spans="1:6" ht="21.75" customHeight="1">
      <c r="A982" s="221"/>
      <c r="B982" s="223"/>
      <c r="C982" s="343"/>
      <c r="D982" s="213"/>
      <c r="E982" s="352"/>
      <c r="F982" s="215"/>
    </row>
    <row r="983" spans="1:6" ht="21.75" customHeight="1">
      <c r="A983" s="221"/>
      <c r="B983" s="223"/>
      <c r="C983" s="343"/>
      <c r="D983" s="213"/>
      <c r="E983" s="352"/>
      <c r="F983" s="215"/>
    </row>
    <row r="984" spans="1:6" ht="21.75" customHeight="1">
      <c r="A984" s="221"/>
      <c r="B984" s="223"/>
      <c r="C984" s="343"/>
      <c r="D984" s="213"/>
      <c r="E984" s="352"/>
      <c r="F984" s="215"/>
    </row>
    <row r="985" spans="1:6" ht="21.75" customHeight="1">
      <c r="A985" s="221"/>
      <c r="B985" s="223"/>
      <c r="C985" s="343"/>
      <c r="D985" s="213"/>
      <c r="E985" s="352"/>
      <c r="F985" s="215"/>
    </row>
    <row r="986" spans="1:6" ht="21.75" customHeight="1">
      <c r="A986" s="221"/>
      <c r="B986" s="223"/>
      <c r="C986" s="343"/>
      <c r="D986" s="213"/>
      <c r="E986" s="352"/>
      <c r="F986" s="215"/>
    </row>
    <row r="987" spans="1:6" ht="21.75" customHeight="1">
      <c r="A987" s="221"/>
      <c r="B987" s="223"/>
      <c r="C987" s="343"/>
      <c r="D987" s="213"/>
      <c r="E987" s="352"/>
      <c r="F987" s="215"/>
    </row>
    <row r="988" spans="1:6" ht="21.75" customHeight="1">
      <c r="A988" s="221"/>
      <c r="B988" s="223"/>
      <c r="C988" s="343"/>
      <c r="D988" s="213"/>
      <c r="E988" s="352"/>
      <c r="F988" s="215"/>
    </row>
    <row r="989" spans="1:6" ht="21.75" customHeight="1">
      <c r="A989" s="221"/>
      <c r="B989" s="223"/>
      <c r="C989" s="343"/>
      <c r="D989" s="213"/>
      <c r="E989" s="352"/>
      <c r="F989" s="215"/>
    </row>
    <row r="990" spans="1:6" ht="21.75" customHeight="1">
      <c r="A990" s="221"/>
      <c r="B990" s="223"/>
      <c r="C990" s="343"/>
      <c r="D990" s="213"/>
      <c r="E990" s="352"/>
      <c r="F990" s="215"/>
    </row>
    <row r="991" spans="1:6" ht="21.75" customHeight="1">
      <c r="A991" s="221"/>
      <c r="B991" s="223"/>
      <c r="C991" s="343"/>
      <c r="D991" s="213"/>
      <c r="E991" s="352"/>
      <c r="F991" s="215"/>
    </row>
    <row r="992" spans="1:6" ht="21.75" customHeight="1">
      <c r="A992" s="221"/>
      <c r="B992" s="223"/>
      <c r="C992" s="343"/>
      <c r="D992" s="213"/>
      <c r="E992" s="352"/>
      <c r="F992" s="215"/>
    </row>
    <row r="993" spans="1:6" ht="21.75" customHeight="1">
      <c r="A993" s="221"/>
      <c r="B993" s="223"/>
      <c r="C993" s="343"/>
      <c r="D993" s="213"/>
      <c r="E993" s="352"/>
      <c r="F993" s="215"/>
    </row>
    <row r="994" spans="1:6" ht="21.75" customHeight="1">
      <c r="A994" s="221"/>
      <c r="B994" s="223"/>
      <c r="C994" s="343"/>
      <c r="D994" s="213"/>
      <c r="E994" s="352"/>
      <c r="F994" s="215"/>
    </row>
    <row r="995" spans="1:6" ht="21.75" customHeight="1">
      <c r="A995" s="221"/>
      <c r="B995" s="223"/>
      <c r="C995" s="343"/>
      <c r="D995" s="213"/>
      <c r="E995" s="350"/>
      <c r="F995" s="215"/>
    </row>
    <row r="996" spans="1:6" ht="21.75" customHeight="1">
      <c r="A996" s="221"/>
      <c r="B996" s="223"/>
      <c r="C996" s="343"/>
      <c r="D996" s="213"/>
      <c r="E996" s="350"/>
      <c r="F996" s="215"/>
    </row>
    <row r="997" spans="1:6" ht="21.75" customHeight="1">
      <c r="A997" s="221"/>
      <c r="B997" s="223"/>
      <c r="C997" s="343"/>
      <c r="D997" s="213"/>
      <c r="E997" s="350"/>
      <c r="F997" s="215"/>
    </row>
    <row r="998" spans="1:6" ht="21.75" customHeight="1">
      <c r="A998" s="221"/>
      <c r="B998" s="223"/>
      <c r="C998" s="343"/>
      <c r="D998" s="213"/>
      <c r="E998" s="350"/>
      <c r="F998" s="215"/>
    </row>
    <row r="999" spans="1:6" ht="21.75" customHeight="1">
      <c r="A999" s="221"/>
      <c r="B999" s="223"/>
      <c r="C999" s="343"/>
      <c r="D999" s="213"/>
      <c r="E999" s="350"/>
      <c r="F999" s="215"/>
    </row>
    <row r="1000" spans="1:6" ht="21.75" customHeight="1">
      <c r="A1000" s="221"/>
      <c r="B1000" s="223"/>
      <c r="C1000" s="343"/>
      <c r="D1000" s="213"/>
      <c r="E1000" s="350"/>
      <c r="F1000" s="215"/>
    </row>
    <row r="1001" spans="1:6" ht="21.75" customHeight="1">
      <c r="A1001" s="221"/>
      <c r="B1001" s="223"/>
      <c r="C1001" s="343"/>
      <c r="D1001" s="213"/>
      <c r="E1001" s="350"/>
      <c r="F1001" s="215"/>
    </row>
    <row r="1002" spans="1:6" ht="21.75" customHeight="1">
      <c r="A1002" s="221"/>
      <c r="B1002" s="223"/>
      <c r="C1002" s="343"/>
      <c r="D1002" s="213"/>
      <c r="E1002" s="350"/>
      <c r="F1002" s="215"/>
    </row>
    <row r="1003" spans="1:6" s="200" customFormat="1" ht="21.75" customHeight="1">
      <c r="A1003" s="221"/>
      <c r="B1003" s="223"/>
      <c r="C1003" s="343"/>
      <c r="D1003" s="213"/>
      <c r="E1003" s="350"/>
      <c r="F1003" s="215"/>
    </row>
    <row r="1004" spans="1:6" s="200" customFormat="1" ht="21.75" customHeight="1">
      <c r="A1004" s="221"/>
      <c r="B1004" s="223"/>
      <c r="C1004" s="343"/>
      <c r="D1004" s="213"/>
      <c r="E1004" s="350"/>
      <c r="F1004" s="215"/>
    </row>
    <row r="1005" spans="1:6" s="200" customFormat="1" ht="21.75" customHeight="1">
      <c r="A1005" s="221"/>
      <c r="B1005" s="223"/>
      <c r="C1005" s="343"/>
      <c r="D1005" s="213"/>
      <c r="E1005" s="350"/>
      <c r="F1005" s="215"/>
    </row>
    <row r="1006" spans="1:6" ht="21.75" customHeight="1">
      <c r="A1006" s="221"/>
      <c r="B1006" s="223"/>
      <c r="C1006" s="343"/>
      <c r="D1006" s="213"/>
      <c r="E1006" s="350"/>
      <c r="F1006" s="215"/>
    </row>
    <row r="1007" spans="1:6" ht="21.75" customHeight="1">
      <c r="A1007" s="221"/>
      <c r="B1007" s="223"/>
      <c r="C1007" s="343"/>
      <c r="D1007" s="213"/>
      <c r="E1007" s="350"/>
      <c r="F1007" s="215"/>
    </row>
    <row r="1008" spans="1:6" ht="21.75" customHeight="1">
      <c r="A1008" s="221"/>
      <c r="B1008" s="223"/>
      <c r="C1008" s="343"/>
      <c r="D1008" s="213"/>
      <c r="E1008" s="350"/>
      <c r="F1008" s="215"/>
    </row>
    <row r="1009" spans="1:6" ht="21.75" customHeight="1">
      <c r="A1009" s="221"/>
      <c r="B1009" s="223"/>
      <c r="C1009" s="343"/>
      <c r="D1009" s="213"/>
      <c r="E1009" s="350"/>
      <c r="F1009" s="215"/>
    </row>
    <row r="1010" spans="1:6" ht="21.75" customHeight="1">
      <c r="A1010" s="221"/>
      <c r="B1010" s="223"/>
      <c r="C1010" s="343"/>
      <c r="D1010" s="213"/>
      <c r="E1010" s="350"/>
      <c r="F1010" s="215"/>
    </row>
    <row r="1011" spans="1:6" ht="21.75" customHeight="1">
      <c r="A1011" s="221"/>
      <c r="B1011" s="223"/>
      <c r="C1011" s="343"/>
      <c r="D1011" s="213"/>
      <c r="E1011" s="350"/>
      <c r="F1011" s="215"/>
    </row>
    <row r="1012" spans="1:6" ht="21.75" customHeight="1">
      <c r="A1012" s="221"/>
      <c r="B1012" s="223"/>
      <c r="C1012" s="343"/>
      <c r="D1012" s="213"/>
      <c r="E1012" s="350"/>
      <c r="F1012" s="215"/>
    </row>
    <row r="1013" spans="1:6" ht="21.75" customHeight="1">
      <c r="A1013" s="221"/>
      <c r="B1013" s="223"/>
      <c r="C1013" s="343"/>
      <c r="D1013" s="213"/>
      <c r="E1013" s="350"/>
      <c r="F1013" s="215"/>
    </row>
    <row r="1014" spans="1:6" ht="21.75" customHeight="1">
      <c r="A1014" s="221"/>
      <c r="B1014" s="223"/>
      <c r="C1014" s="343"/>
      <c r="D1014" s="213"/>
      <c r="E1014" s="350"/>
      <c r="F1014" s="215"/>
    </row>
    <row r="1015" spans="1:6" ht="21.75" customHeight="1">
      <c r="A1015" s="221"/>
      <c r="B1015" s="223"/>
      <c r="C1015" s="343"/>
      <c r="D1015" s="213"/>
      <c r="E1015" s="350"/>
      <c r="F1015" s="215"/>
    </row>
    <row r="1016" spans="1:6" ht="21.75" customHeight="1">
      <c r="A1016" s="221"/>
      <c r="B1016" s="223"/>
      <c r="C1016" s="343"/>
      <c r="D1016" s="213"/>
      <c r="E1016" s="350"/>
      <c r="F1016" s="215"/>
    </row>
    <row r="1017" spans="1:6" ht="21.75" customHeight="1">
      <c r="A1017" s="221"/>
      <c r="B1017" s="223"/>
      <c r="C1017" s="343"/>
      <c r="D1017" s="213"/>
      <c r="E1017" s="350"/>
      <c r="F1017" s="215"/>
    </row>
    <row r="1018" spans="1:6" ht="21.75" customHeight="1">
      <c r="A1018" s="221"/>
      <c r="B1018" s="223"/>
      <c r="C1018" s="343"/>
      <c r="D1018" s="213"/>
      <c r="E1018" s="350"/>
      <c r="F1018" s="215"/>
    </row>
    <row r="1019" spans="1:6" ht="21.75" customHeight="1">
      <c r="A1019" s="221"/>
      <c r="B1019" s="223"/>
      <c r="C1019" s="343"/>
      <c r="D1019" s="213"/>
      <c r="E1019" s="350"/>
      <c r="F1019" s="215"/>
    </row>
    <row r="1020" spans="1:6" ht="21.75" customHeight="1">
      <c r="A1020" s="221"/>
      <c r="B1020" s="223"/>
      <c r="C1020" s="343"/>
      <c r="D1020" s="213"/>
      <c r="E1020" s="350"/>
      <c r="F1020" s="215"/>
    </row>
    <row r="1021" spans="1:6" ht="21.75" customHeight="1">
      <c r="A1021" s="221"/>
      <c r="B1021" s="223"/>
      <c r="C1021" s="343"/>
      <c r="D1021" s="213"/>
      <c r="E1021" s="350"/>
      <c r="F1021" s="215"/>
    </row>
    <row r="1022" spans="1:6" ht="21.75" customHeight="1">
      <c r="A1022" s="221"/>
      <c r="B1022" s="223"/>
      <c r="C1022" s="343"/>
      <c r="D1022" s="213"/>
      <c r="E1022" s="350"/>
      <c r="F1022" s="215"/>
    </row>
    <row r="1023" spans="1:6" ht="21.75" customHeight="1">
      <c r="A1023" s="221"/>
      <c r="B1023" s="223"/>
      <c r="C1023" s="343"/>
      <c r="D1023" s="213"/>
      <c r="E1023" s="350"/>
      <c r="F1023" s="215"/>
    </row>
    <row r="1024" spans="1:6" ht="21.75" customHeight="1">
      <c r="A1024" s="221"/>
      <c r="B1024" s="223"/>
      <c r="C1024" s="343"/>
      <c r="D1024" s="213"/>
      <c r="E1024" s="350"/>
      <c r="F1024" s="215"/>
    </row>
    <row r="1025" spans="1:6" ht="21.75" customHeight="1">
      <c r="A1025" s="221"/>
      <c r="B1025" s="223"/>
      <c r="C1025" s="343"/>
      <c r="D1025" s="213"/>
      <c r="E1025" s="350"/>
      <c r="F1025" s="215"/>
    </row>
    <row r="1026" spans="1:6" ht="21.75" customHeight="1">
      <c r="A1026" s="221"/>
      <c r="B1026" s="223"/>
      <c r="C1026" s="343"/>
      <c r="D1026" s="213"/>
      <c r="E1026" s="350"/>
      <c r="F1026" s="215"/>
    </row>
    <row r="1027" spans="1:6" ht="21.75" customHeight="1">
      <c r="A1027" s="221"/>
      <c r="B1027" s="223"/>
      <c r="C1027" s="343"/>
      <c r="D1027" s="213"/>
      <c r="E1027" s="350"/>
      <c r="F1027" s="215"/>
    </row>
    <row r="1028" spans="1:6" ht="21.75" customHeight="1">
      <c r="A1028" s="221"/>
      <c r="B1028" s="223"/>
      <c r="C1028" s="343"/>
      <c r="D1028" s="213"/>
      <c r="E1028" s="350"/>
      <c r="F1028" s="215"/>
    </row>
    <row r="1029" spans="1:6" ht="21.75" customHeight="1">
      <c r="A1029" s="221"/>
      <c r="B1029" s="223"/>
      <c r="C1029" s="343"/>
      <c r="D1029" s="213"/>
      <c r="E1029" s="350"/>
      <c r="F1029" s="215"/>
    </row>
    <row r="1030" spans="1:6" ht="21.75" customHeight="1">
      <c r="A1030" s="221"/>
      <c r="B1030" s="223"/>
      <c r="C1030" s="343"/>
      <c r="D1030" s="213"/>
      <c r="E1030" s="350"/>
      <c r="F1030" s="215"/>
    </row>
    <row r="1031" spans="1:6" ht="21.75" customHeight="1">
      <c r="A1031" s="221"/>
      <c r="B1031" s="223"/>
      <c r="C1031" s="343"/>
      <c r="D1031" s="213"/>
      <c r="E1031" s="350"/>
      <c r="F1031" s="215"/>
    </row>
    <row r="1032" spans="1:6" ht="21.75" customHeight="1">
      <c r="A1032" s="221"/>
      <c r="B1032" s="223"/>
      <c r="C1032" s="343"/>
      <c r="D1032" s="213"/>
      <c r="E1032" s="350"/>
      <c r="F1032" s="215"/>
    </row>
    <row r="1033" spans="1:6" ht="21.75" customHeight="1">
      <c r="A1033" s="221"/>
      <c r="B1033" s="223"/>
      <c r="C1033" s="343"/>
      <c r="D1033" s="213"/>
      <c r="E1033" s="350"/>
      <c r="F1033" s="215"/>
    </row>
    <row r="1034" spans="1:6" ht="21.75" customHeight="1">
      <c r="A1034" s="221"/>
      <c r="B1034" s="223"/>
      <c r="C1034" s="343"/>
      <c r="D1034" s="213"/>
      <c r="E1034" s="350"/>
      <c r="F1034" s="215"/>
    </row>
    <row r="1035" spans="1:6" ht="21.75" customHeight="1">
      <c r="A1035" s="221"/>
      <c r="B1035" s="223"/>
      <c r="C1035" s="343"/>
      <c r="D1035" s="213"/>
      <c r="E1035" s="350"/>
      <c r="F1035" s="215"/>
    </row>
    <row r="1036" spans="1:6" ht="21.75" customHeight="1">
      <c r="A1036" s="221"/>
      <c r="B1036" s="223"/>
      <c r="C1036" s="343"/>
      <c r="D1036" s="213"/>
      <c r="E1036" s="350"/>
      <c r="F1036" s="215"/>
    </row>
    <row r="1037" spans="1:6" ht="21.75" customHeight="1">
      <c r="A1037" s="221"/>
      <c r="B1037" s="223"/>
      <c r="C1037" s="343"/>
      <c r="D1037" s="213"/>
      <c r="E1037" s="350"/>
      <c r="F1037" s="215"/>
    </row>
    <row r="1038" spans="1:6" ht="21.75" customHeight="1">
      <c r="A1038" s="221"/>
      <c r="B1038" s="223"/>
      <c r="C1038" s="343"/>
      <c r="D1038" s="213"/>
      <c r="E1038" s="350"/>
      <c r="F1038" s="215"/>
    </row>
    <row r="1039" spans="1:6" ht="21.75" customHeight="1">
      <c r="A1039" s="221"/>
      <c r="B1039" s="223"/>
      <c r="C1039" s="343"/>
      <c r="D1039" s="213"/>
      <c r="E1039" s="350"/>
      <c r="F1039" s="215"/>
    </row>
    <row r="1040" spans="1:6" ht="21.75" customHeight="1">
      <c r="A1040" s="221"/>
      <c r="B1040" s="223"/>
      <c r="C1040" s="343"/>
      <c r="D1040" s="213"/>
      <c r="E1040" s="350"/>
      <c r="F1040" s="215"/>
    </row>
    <row r="1041" spans="1:6" ht="21.75" customHeight="1">
      <c r="A1041" s="221"/>
      <c r="B1041" s="223"/>
      <c r="C1041" s="343"/>
      <c r="D1041" s="213"/>
      <c r="E1041" s="350"/>
      <c r="F1041" s="215"/>
    </row>
    <row r="1042" spans="1:6" ht="21.75" customHeight="1">
      <c r="A1042" s="221"/>
      <c r="B1042" s="223"/>
      <c r="C1042" s="343"/>
      <c r="D1042" s="213"/>
      <c r="E1042" s="350"/>
      <c r="F1042" s="215"/>
    </row>
    <row r="1043" spans="1:6" ht="21.75" customHeight="1">
      <c r="A1043" s="221"/>
      <c r="B1043" s="223"/>
      <c r="C1043" s="343"/>
      <c r="D1043" s="213"/>
      <c r="E1043" s="350"/>
      <c r="F1043" s="215"/>
    </row>
    <row r="1044" spans="1:6" ht="21.75" customHeight="1">
      <c r="A1044" s="221"/>
      <c r="B1044" s="223"/>
      <c r="C1044" s="343"/>
      <c r="D1044" s="213"/>
      <c r="E1044" s="350"/>
      <c r="F1044" s="215"/>
    </row>
    <row r="1045" spans="1:6" ht="21.75" customHeight="1">
      <c r="A1045" s="221"/>
      <c r="B1045" s="223"/>
      <c r="C1045" s="343"/>
      <c r="D1045" s="213"/>
      <c r="E1045" s="350"/>
      <c r="F1045" s="215"/>
    </row>
    <row r="1046" spans="1:6" ht="21.75" customHeight="1">
      <c r="A1046" s="221"/>
      <c r="B1046" s="223"/>
      <c r="C1046" s="343"/>
      <c r="D1046" s="213"/>
      <c r="E1046" s="350"/>
      <c r="F1046" s="215"/>
    </row>
    <row r="1047" spans="1:6" ht="21.75" customHeight="1">
      <c r="A1047" s="221"/>
      <c r="B1047" s="223"/>
      <c r="C1047" s="343"/>
      <c r="D1047" s="213"/>
      <c r="E1047" s="350"/>
      <c r="F1047" s="215"/>
    </row>
    <row r="1048" spans="1:6" ht="21.75" customHeight="1">
      <c r="A1048" s="221"/>
      <c r="B1048" s="223"/>
      <c r="C1048" s="343"/>
      <c r="D1048" s="213"/>
      <c r="E1048" s="350"/>
      <c r="F1048" s="215"/>
    </row>
    <row r="1049" spans="1:6" ht="21.75" customHeight="1">
      <c r="A1049" s="221"/>
      <c r="B1049" s="223"/>
      <c r="C1049" s="343"/>
      <c r="D1049" s="213"/>
      <c r="E1049" s="350"/>
      <c r="F1049" s="215"/>
    </row>
    <row r="1050" spans="1:6" ht="21.75" customHeight="1">
      <c r="A1050" s="221"/>
      <c r="B1050" s="223"/>
      <c r="C1050" s="343"/>
      <c r="D1050" s="213"/>
      <c r="E1050" s="350"/>
      <c r="F1050" s="215"/>
    </row>
    <row r="1051" spans="1:6" ht="21.75" customHeight="1">
      <c r="A1051" s="221"/>
      <c r="B1051" s="223"/>
      <c r="C1051" s="343"/>
      <c r="D1051" s="213"/>
      <c r="E1051" s="350"/>
      <c r="F1051" s="215"/>
    </row>
    <row r="1052" spans="1:6" ht="21.75" customHeight="1">
      <c r="A1052" s="221"/>
      <c r="B1052" s="223"/>
      <c r="C1052" s="343"/>
      <c r="D1052" s="213"/>
      <c r="E1052" s="350"/>
      <c r="F1052" s="215"/>
    </row>
    <row r="1053" spans="1:6" ht="21.75" customHeight="1">
      <c r="A1053" s="221"/>
      <c r="B1053" s="223"/>
      <c r="C1053" s="343"/>
      <c r="D1053" s="213"/>
      <c r="E1053" s="350"/>
      <c r="F1053" s="215"/>
    </row>
    <row r="1054" spans="1:6" ht="21.75" customHeight="1">
      <c r="A1054" s="221"/>
      <c r="B1054" s="223"/>
      <c r="C1054" s="343"/>
      <c r="D1054" s="213"/>
      <c r="E1054" s="350"/>
      <c r="F1054" s="215"/>
    </row>
    <row r="1055" spans="1:6" ht="21.75" customHeight="1">
      <c r="A1055" s="221"/>
      <c r="B1055" s="223"/>
      <c r="C1055" s="343"/>
      <c r="D1055" s="213"/>
      <c r="E1055" s="350"/>
      <c r="F1055" s="215"/>
    </row>
    <row r="1056" spans="1:6" ht="21.75" customHeight="1">
      <c r="A1056" s="221"/>
      <c r="B1056" s="223"/>
      <c r="C1056" s="343"/>
      <c r="D1056" s="213"/>
      <c r="E1056" s="350"/>
      <c r="F1056" s="215"/>
    </row>
    <row r="1057" spans="1:6" ht="21.75" customHeight="1">
      <c r="A1057" s="221"/>
      <c r="B1057" s="223"/>
      <c r="C1057" s="343"/>
      <c r="D1057" s="213"/>
      <c r="E1057" s="350"/>
      <c r="F1057" s="215"/>
    </row>
    <row r="1058" spans="1:6" ht="21.75" customHeight="1">
      <c r="A1058" s="221"/>
      <c r="B1058" s="223"/>
      <c r="C1058" s="343"/>
      <c r="D1058" s="213"/>
      <c r="E1058" s="350"/>
      <c r="F1058" s="215"/>
    </row>
    <row r="1059" spans="1:6" ht="21.75" customHeight="1">
      <c r="A1059" s="221"/>
      <c r="B1059" s="223"/>
      <c r="C1059" s="343"/>
      <c r="D1059" s="213"/>
      <c r="E1059" s="350"/>
      <c r="F1059" s="215"/>
    </row>
    <row r="1060" spans="1:6" ht="21.75" customHeight="1">
      <c r="A1060" s="221"/>
      <c r="B1060" s="223"/>
      <c r="C1060" s="343"/>
      <c r="D1060" s="213"/>
      <c r="E1060" s="350"/>
      <c r="F1060" s="215"/>
    </row>
    <row r="1061" spans="1:6" ht="21.75" customHeight="1">
      <c r="A1061" s="221"/>
      <c r="B1061" s="223"/>
      <c r="C1061" s="343"/>
      <c r="D1061" s="213"/>
      <c r="E1061" s="350"/>
      <c r="F1061" s="215"/>
    </row>
    <row r="1062" spans="1:6" ht="21.75" customHeight="1">
      <c r="A1062" s="221"/>
      <c r="B1062" s="223"/>
      <c r="C1062" s="343"/>
      <c r="D1062" s="213"/>
      <c r="E1062" s="350"/>
      <c r="F1062" s="215"/>
    </row>
    <row r="1063" spans="1:6" ht="21.75" customHeight="1">
      <c r="A1063" s="221"/>
      <c r="B1063" s="223"/>
      <c r="C1063" s="343"/>
      <c r="D1063" s="213"/>
      <c r="E1063" s="350"/>
      <c r="F1063" s="215"/>
    </row>
    <row r="1064" spans="1:6" ht="21.75" customHeight="1">
      <c r="A1064" s="221"/>
      <c r="B1064" s="223"/>
      <c r="C1064" s="343"/>
      <c r="D1064" s="213"/>
      <c r="E1064" s="350"/>
      <c r="F1064" s="215"/>
    </row>
    <row r="1065" spans="1:6" ht="21.75" customHeight="1">
      <c r="A1065" s="221"/>
      <c r="B1065" s="223"/>
      <c r="C1065" s="343"/>
      <c r="D1065" s="213"/>
      <c r="E1065" s="350"/>
      <c r="F1065" s="215"/>
    </row>
    <row r="1066" spans="1:6" ht="21.75" customHeight="1">
      <c r="A1066" s="221"/>
      <c r="B1066" s="223"/>
      <c r="C1066" s="343"/>
      <c r="D1066" s="213"/>
      <c r="E1066" s="350"/>
      <c r="F1066" s="215"/>
    </row>
    <row r="1067" spans="1:6" ht="21.75" customHeight="1">
      <c r="A1067" s="221"/>
      <c r="B1067" s="223"/>
      <c r="C1067" s="343"/>
      <c r="D1067" s="213"/>
      <c r="E1067" s="350"/>
      <c r="F1067" s="215"/>
    </row>
    <row r="1068" spans="1:6" ht="21.75" customHeight="1">
      <c r="A1068" s="221"/>
      <c r="B1068" s="223"/>
      <c r="C1068" s="343"/>
      <c r="D1068" s="213"/>
      <c r="E1068" s="350"/>
      <c r="F1068" s="215"/>
    </row>
    <row r="1069" spans="1:6" ht="21.75" customHeight="1">
      <c r="A1069" s="221"/>
      <c r="B1069" s="223"/>
      <c r="C1069" s="343"/>
      <c r="D1069" s="213"/>
      <c r="E1069" s="350"/>
      <c r="F1069" s="215"/>
    </row>
    <row r="1070" spans="1:6" ht="21.75" customHeight="1">
      <c r="A1070" s="221"/>
      <c r="B1070" s="223"/>
      <c r="C1070" s="343"/>
      <c r="D1070" s="213"/>
      <c r="E1070" s="350"/>
      <c r="F1070" s="215"/>
    </row>
    <row r="1071" spans="1:6" ht="21.75" customHeight="1">
      <c r="A1071" s="221"/>
      <c r="B1071" s="223"/>
      <c r="C1071" s="343"/>
      <c r="D1071" s="213"/>
      <c r="E1071" s="350"/>
      <c r="F1071" s="215"/>
    </row>
    <row r="1072" spans="1:6" ht="21.75" customHeight="1">
      <c r="A1072" s="221"/>
      <c r="B1072" s="223"/>
      <c r="C1072" s="343"/>
      <c r="D1072" s="213"/>
      <c r="E1072" s="350"/>
      <c r="F1072" s="215"/>
    </row>
    <row r="1073" spans="1:6" ht="21.75" customHeight="1">
      <c r="A1073" s="221"/>
      <c r="B1073" s="223"/>
      <c r="C1073" s="343"/>
      <c r="D1073" s="213"/>
      <c r="E1073" s="350"/>
      <c r="F1073" s="215"/>
    </row>
    <row r="1074" spans="1:6" ht="21.75" customHeight="1">
      <c r="A1074" s="221"/>
      <c r="B1074" s="223"/>
      <c r="C1074" s="343"/>
      <c r="D1074" s="213"/>
      <c r="E1074" s="350"/>
      <c r="F1074" s="215"/>
    </row>
    <row r="1075" spans="1:6" ht="21.75" customHeight="1">
      <c r="A1075" s="221"/>
      <c r="B1075" s="223"/>
      <c r="C1075" s="343"/>
      <c r="D1075" s="213"/>
      <c r="E1075" s="350"/>
      <c r="F1075" s="215"/>
    </row>
    <row r="1076" spans="1:6" ht="21.75" customHeight="1">
      <c r="A1076" s="221"/>
      <c r="B1076" s="223"/>
      <c r="C1076" s="343"/>
      <c r="D1076" s="213"/>
      <c r="E1076" s="350"/>
      <c r="F1076" s="215"/>
    </row>
    <row r="1077" spans="1:6" ht="21.75" customHeight="1">
      <c r="A1077" s="221"/>
      <c r="B1077" s="223"/>
      <c r="C1077" s="343"/>
      <c r="D1077" s="213"/>
      <c r="E1077" s="350"/>
      <c r="F1077" s="215"/>
    </row>
    <row r="1078" spans="1:6" ht="21.75" customHeight="1">
      <c r="A1078" s="221"/>
      <c r="B1078" s="223"/>
      <c r="C1078" s="343"/>
      <c r="D1078" s="213"/>
      <c r="E1078" s="350"/>
      <c r="F1078" s="215"/>
    </row>
    <row r="1079" spans="1:6" ht="21.75" customHeight="1">
      <c r="A1079" s="221"/>
      <c r="B1079" s="223"/>
      <c r="C1079" s="343"/>
      <c r="D1079" s="213"/>
      <c r="E1079" s="350"/>
      <c r="F1079" s="215"/>
    </row>
    <row r="1080" spans="1:6" ht="21.75" customHeight="1">
      <c r="A1080" s="221"/>
      <c r="B1080" s="223"/>
      <c r="C1080" s="343"/>
      <c r="D1080" s="213"/>
      <c r="E1080" s="350"/>
      <c r="F1080" s="215"/>
    </row>
    <row r="1081" spans="1:6" ht="21.75" customHeight="1">
      <c r="A1081" s="221"/>
      <c r="B1081" s="223"/>
      <c r="C1081" s="343"/>
      <c r="D1081" s="213"/>
      <c r="E1081" s="350"/>
      <c r="F1081" s="215"/>
    </row>
    <row r="1082" spans="1:6" ht="21.75" customHeight="1">
      <c r="A1082" s="221"/>
      <c r="B1082" s="223"/>
      <c r="C1082" s="343"/>
      <c r="D1082" s="213"/>
      <c r="E1082" s="350"/>
      <c r="F1082" s="215"/>
    </row>
    <row r="1083" spans="1:6" ht="21.75" customHeight="1">
      <c r="A1083" s="221"/>
      <c r="B1083" s="223"/>
      <c r="C1083" s="343"/>
      <c r="D1083" s="213"/>
      <c r="E1083" s="350"/>
      <c r="F1083" s="215"/>
    </row>
    <row r="1084" spans="1:6" ht="21.75" customHeight="1">
      <c r="A1084" s="221"/>
      <c r="B1084" s="223"/>
      <c r="C1084" s="343"/>
      <c r="D1084" s="213"/>
      <c r="E1084" s="350"/>
      <c r="F1084" s="215"/>
    </row>
    <row r="1085" spans="1:6" ht="21.75" customHeight="1">
      <c r="A1085" s="221"/>
      <c r="B1085" s="223"/>
      <c r="C1085" s="343"/>
      <c r="D1085" s="213"/>
      <c r="E1085" s="350"/>
      <c r="F1085" s="215"/>
    </row>
    <row r="1086" spans="1:6" ht="21.75" customHeight="1">
      <c r="A1086" s="221"/>
      <c r="B1086" s="223"/>
      <c r="C1086" s="343"/>
      <c r="D1086" s="213"/>
      <c r="E1086" s="350"/>
      <c r="F1086" s="215"/>
    </row>
    <row r="1087" spans="1:6" ht="21.75" customHeight="1">
      <c r="A1087" s="221"/>
      <c r="B1087" s="223"/>
      <c r="C1087" s="343"/>
      <c r="D1087" s="213"/>
      <c r="E1087" s="350"/>
      <c r="F1087" s="215"/>
    </row>
    <row r="1088" spans="1:6" ht="21.75" customHeight="1">
      <c r="A1088" s="221"/>
      <c r="B1088" s="223"/>
      <c r="C1088" s="343"/>
      <c r="D1088" s="213"/>
      <c r="E1088" s="350"/>
      <c r="F1088" s="215"/>
    </row>
    <row r="1089" spans="1:6" ht="21.75" customHeight="1">
      <c r="A1089" s="221"/>
      <c r="B1089" s="223"/>
      <c r="C1089" s="343"/>
      <c r="D1089" s="213"/>
      <c r="E1089" s="350"/>
      <c r="F1089" s="215"/>
    </row>
    <row r="1090" spans="1:6" ht="21.75" customHeight="1">
      <c r="A1090" s="221"/>
      <c r="B1090" s="223"/>
      <c r="C1090" s="343"/>
      <c r="D1090" s="213"/>
      <c r="E1090" s="350"/>
      <c r="F1090" s="215"/>
    </row>
    <row r="1091" spans="1:6" ht="21.75" customHeight="1">
      <c r="A1091" s="221"/>
      <c r="B1091" s="223"/>
      <c r="C1091" s="343"/>
      <c r="D1091" s="213"/>
      <c r="E1091" s="350"/>
      <c r="F1091" s="215"/>
    </row>
    <row r="1092" spans="1:6" ht="21.75" customHeight="1">
      <c r="A1092" s="221"/>
      <c r="B1092" s="223"/>
      <c r="C1092" s="343"/>
      <c r="D1092" s="213"/>
      <c r="E1092" s="350"/>
      <c r="F1092" s="215"/>
    </row>
    <row r="1093" spans="1:6" ht="21.75" customHeight="1">
      <c r="A1093" s="221"/>
      <c r="B1093" s="223"/>
      <c r="C1093" s="343"/>
      <c r="D1093" s="213"/>
      <c r="E1093" s="350"/>
      <c r="F1093" s="215"/>
    </row>
    <row r="1094" spans="1:6" ht="21.75" customHeight="1">
      <c r="A1094" s="221"/>
      <c r="B1094" s="223"/>
      <c r="C1094" s="343"/>
      <c r="D1094" s="213"/>
      <c r="E1094" s="350"/>
      <c r="F1094" s="215"/>
    </row>
    <row r="1095" spans="1:6" ht="21.75" customHeight="1">
      <c r="A1095" s="221"/>
      <c r="B1095" s="223"/>
      <c r="C1095" s="343"/>
      <c r="D1095" s="213"/>
      <c r="E1095" s="350"/>
      <c r="F1095" s="215"/>
    </row>
    <row r="1096" spans="1:6" ht="21.75" customHeight="1">
      <c r="A1096" s="221"/>
      <c r="B1096" s="223"/>
      <c r="C1096" s="343"/>
      <c r="D1096" s="213"/>
      <c r="E1096" s="350"/>
      <c r="F1096" s="215"/>
    </row>
    <row r="1097" spans="1:6" ht="21.75" customHeight="1">
      <c r="A1097" s="221"/>
      <c r="B1097" s="223"/>
      <c r="C1097" s="343"/>
      <c r="D1097" s="213"/>
      <c r="E1097" s="350"/>
      <c r="F1097" s="215"/>
    </row>
    <row r="1098" spans="1:6" ht="21.75" customHeight="1">
      <c r="A1098" s="221"/>
      <c r="B1098" s="223"/>
      <c r="C1098" s="343"/>
      <c r="D1098" s="213"/>
      <c r="E1098" s="350"/>
      <c r="F1098" s="215"/>
    </row>
    <row r="1099" spans="1:6" ht="21.75" customHeight="1">
      <c r="A1099" s="221"/>
      <c r="B1099" s="223"/>
      <c r="C1099" s="343"/>
      <c r="D1099" s="213"/>
      <c r="E1099" s="350"/>
      <c r="F1099" s="215"/>
    </row>
    <row r="1100" spans="1:6" ht="21.75" customHeight="1">
      <c r="A1100" s="221"/>
      <c r="B1100" s="223"/>
      <c r="C1100" s="343"/>
      <c r="D1100" s="213"/>
      <c r="E1100" s="350"/>
      <c r="F1100" s="215"/>
    </row>
    <row r="1101" spans="1:6" ht="21.75" customHeight="1">
      <c r="A1101" s="221"/>
      <c r="B1101" s="223"/>
      <c r="C1101" s="343"/>
      <c r="D1101" s="213"/>
      <c r="E1101" s="350"/>
      <c r="F1101" s="215"/>
    </row>
    <row r="1102" spans="1:6" ht="21.75" customHeight="1">
      <c r="A1102" s="221"/>
      <c r="B1102" s="223"/>
      <c r="C1102" s="343"/>
      <c r="D1102" s="213"/>
      <c r="E1102" s="350"/>
      <c r="F1102" s="215"/>
    </row>
    <row r="1103" spans="1:6" ht="21.75" customHeight="1">
      <c r="A1103" s="221"/>
      <c r="B1103" s="223"/>
      <c r="C1103" s="343"/>
      <c r="D1103" s="213"/>
      <c r="E1103" s="350"/>
      <c r="F1103" s="215"/>
    </row>
    <row r="1104" spans="1:6" ht="21.75" customHeight="1">
      <c r="A1104" s="221"/>
      <c r="B1104" s="223"/>
      <c r="C1104" s="343"/>
      <c r="D1104" s="213"/>
      <c r="E1104" s="350"/>
      <c r="F1104" s="215"/>
    </row>
    <row r="1105" spans="1:6" ht="21.75" customHeight="1">
      <c r="A1105" s="221"/>
      <c r="B1105" s="223"/>
      <c r="C1105" s="343"/>
      <c r="D1105" s="213"/>
      <c r="E1105" s="350"/>
      <c r="F1105" s="215"/>
    </row>
    <row r="1106" spans="1:6" ht="21.75" customHeight="1">
      <c r="A1106" s="221"/>
      <c r="B1106" s="223"/>
      <c r="C1106" s="343"/>
      <c r="D1106" s="213"/>
      <c r="E1106" s="350"/>
      <c r="F1106" s="215"/>
    </row>
    <row r="1107" spans="1:6" ht="21.75" customHeight="1">
      <c r="A1107" s="221"/>
      <c r="B1107" s="223"/>
      <c r="C1107" s="343"/>
      <c r="D1107" s="213"/>
      <c r="E1107" s="350"/>
      <c r="F1107" s="215"/>
    </row>
    <row r="1108" spans="1:6" ht="21.75" customHeight="1">
      <c r="A1108" s="221"/>
      <c r="B1108" s="223"/>
      <c r="C1108" s="343"/>
      <c r="D1108" s="213"/>
      <c r="E1108" s="350"/>
      <c r="F1108" s="215"/>
    </row>
    <row r="1109" spans="1:6" ht="21.75" customHeight="1">
      <c r="A1109" s="221"/>
      <c r="B1109" s="223"/>
      <c r="C1109" s="343"/>
      <c r="D1109" s="213"/>
      <c r="E1109" s="350"/>
      <c r="F1109" s="215"/>
    </row>
    <row r="1110" spans="1:6" ht="21.75" customHeight="1">
      <c r="A1110" s="221"/>
      <c r="B1110" s="223"/>
      <c r="C1110" s="343"/>
      <c r="D1110" s="213"/>
      <c r="E1110" s="350"/>
      <c r="F1110" s="215"/>
    </row>
    <row r="1111" spans="1:6" ht="21.75" customHeight="1">
      <c r="A1111" s="221"/>
      <c r="B1111" s="223"/>
      <c r="C1111" s="343"/>
      <c r="D1111" s="213"/>
      <c r="E1111" s="350"/>
      <c r="F1111" s="215"/>
    </row>
    <row r="1112" spans="1:6" ht="21.75" customHeight="1">
      <c r="A1112" s="221"/>
      <c r="B1112" s="223"/>
      <c r="C1112" s="343"/>
      <c r="D1112" s="213"/>
      <c r="E1112" s="350"/>
      <c r="F1112" s="215"/>
    </row>
    <row r="1113" spans="1:6" ht="21.75" customHeight="1">
      <c r="A1113" s="221"/>
      <c r="B1113" s="223"/>
      <c r="C1113" s="343"/>
      <c r="D1113" s="213"/>
      <c r="E1113" s="350"/>
      <c r="F1113" s="215"/>
    </row>
    <row r="1114" spans="1:6" ht="21.75" customHeight="1">
      <c r="A1114" s="221"/>
      <c r="B1114" s="223"/>
      <c r="C1114" s="343"/>
      <c r="D1114" s="213"/>
      <c r="E1114" s="350"/>
      <c r="F1114" s="215"/>
    </row>
    <row r="1115" spans="1:6" ht="21.75" customHeight="1">
      <c r="A1115" s="221"/>
      <c r="B1115" s="223"/>
      <c r="C1115" s="343"/>
      <c r="D1115" s="213"/>
      <c r="E1115" s="350"/>
      <c r="F1115" s="215"/>
    </row>
    <row r="1116" spans="1:6" ht="21.75" customHeight="1">
      <c r="A1116" s="221"/>
      <c r="B1116" s="223"/>
      <c r="C1116" s="343"/>
      <c r="D1116" s="213"/>
      <c r="E1116" s="350"/>
      <c r="F1116" s="215"/>
    </row>
    <row r="1117" spans="1:6" ht="21.75" customHeight="1">
      <c r="A1117" s="221"/>
      <c r="B1117" s="223"/>
      <c r="C1117" s="343"/>
      <c r="D1117" s="213"/>
      <c r="E1117" s="350"/>
      <c r="F1117" s="215"/>
    </row>
    <row r="1118" spans="1:6" ht="21.75" customHeight="1">
      <c r="A1118" s="221"/>
      <c r="B1118" s="223"/>
      <c r="C1118" s="343"/>
      <c r="D1118" s="213"/>
      <c r="E1118" s="350"/>
      <c r="F1118" s="215"/>
    </row>
    <row r="1119" spans="1:6" ht="21.75" customHeight="1">
      <c r="A1119" s="221"/>
      <c r="B1119" s="223"/>
      <c r="C1119" s="343"/>
      <c r="D1119" s="213"/>
      <c r="E1119" s="350"/>
      <c r="F1119" s="215"/>
    </row>
    <row r="1120" spans="1:6" ht="21.75" customHeight="1">
      <c r="A1120" s="221"/>
      <c r="B1120" s="223"/>
      <c r="C1120" s="343"/>
      <c r="D1120" s="213"/>
      <c r="E1120" s="350"/>
      <c r="F1120" s="215"/>
    </row>
    <row r="1121" spans="1:6" ht="21.75" customHeight="1">
      <c r="A1121" s="221"/>
      <c r="B1121" s="223"/>
      <c r="C1121" s="343"/>
      <c r="D1121" s="213"/>
      <c r="E1121" s="350"/>
      <c r="F1121" s="215"/>
    </row>
    <row r="1122" spans="1:6" ht="21.75" customHeight="1">
      <c r="A1122" s="221"/>
      <c r="B1122" s="223"/>
      <c r="C1122" s="343"/>
      <c r="D1122" s="213"/>
      <c r="E1122" s="350"/>
      <c r="F1122" s="215"/>
    </row>
    <row r="1123" spans="1:6" ht="21.75" customHeight="1">
      <c r="A1123" s="221"/>
      <c r="B1123" s="223"/>
      <c r="C1123" s="343"/>
      <c r="D1123" s="213"/>
      <c r="E1123" s="350"/>
      <c r="F1123" s="215"/>
    </row>
    <row r="1124" spans="1:6" ht="21.75" customHeight="1">
      <c r="A1124" s="221"/>
      <c r="B1124" s="223"/>
      <c r="C1124" s="343"/>
      <c r="D1124" s="213"/>
      <c r="E1124" s="350"/>
      <c r="F1124" s="215"/>
    </row>
    <row r="1125" spans="1:6" ht="21.75" customHeight="1">
      <c r="A1125" s="221"/>
      <c r="B1125" s="223"/>
      <c r="C1125" s="343"/>
      <c r="D1125" s="213"/>
      <c r="E1125" s="350"/>
      <c r="F1125" s="215"/>
    </row>
    <row r="1126" spans="1:6" ht="21.75" customHeight="1">
      <c r="A1126" s="221"/>
      <c r="B1126" s="223"/>
      <c r="C1126" s="343"/>
      <c r="D1126" s="213"/>
      <c r="E1126" s="350"/>
      <c r="F1126" s="215"/>
    </row>
    <row r="1127" spans="1:6" ht="21.75" customHeight="1">
      <c r="A1127" s="221"/>
      <c r="B1127" s="223"/>
      <c r="C1127" s="343"/>
      <c r="D1127" s="213"/>
      <c r="E1127" s="350"/>
      <c r="F1127" s="215"/>
    </row>
    <row r="1128" spans="1:6" ht="21.75" customHeight="1">
      <c r="A1128" s="221"/>
      <c r="B1128" s="223"/>
      <c r="C1128" s="343"/>
      <c r="D1128" s="213"/>
      <c r="E1128" s="350"/>
      <c r="F1128" s="215"/>
    </row>
    <row r="1129" spans="1:6" ht="21.75" customHeight="1">
      <c r="A1129" s="221"/>
      <c r="B1129" s="223"/>
      <c r="C1129" s="343"/>
      <c r="D1129" s="213"/>
      <c r="E1129" s="350"/>
      <c r="F1129" s="215"/>
    </row>
    <row r="1130" spans="1:6" ht="21.75" customHeight="1">
      <c r="A1130" s="221"/>
      <c r="B1130" s="223"/>
      <c r="C1130" s="343"/>
      <c r="D1130" s="213"/>
      <c r="E1130" s="350"/>
      <c r="F1130" s="215"/>
    </row>
    <row r="1131" spans="1:6" ht="21.75" customHeight="1">
      <c r="A1131" s="221"/>
      <c r="B1131" s="223"/>
      <c r="C1131" s="343"/>
      <c r="D1131" s="213"/>
      <c r="E1131" s="350"/>
      <c r="F1131" s="215"/>
    </row>
    <row r="1132" spans="1:6" ht="21.75" customHeight="1">
      <c r="A1132" s="221"/>
      <c r="B1132" s="223"/>
      <c r="C1132" s="343"/>
      <c r="D1132" s="213"/>
      <c r="E1132" s="350"/>
      <c r="F1132" s="215"/>
    </row>
    <row r="1133" spans="1:6" ht="21.75" customHeight="1">
      <c r="A1133" s="221"/>
      <c r="B1133" s="223"/>
      <c r="C1133" s="343"/>
      <c r="D1133" s="213"/>
      <c r="E1133" s="350"/>
      <c r="F1133" s="215"/>
    </row>
    <row r="1134" spans="1:6" ht="21.75" customHeight="1">
      <c r="A1134" s="221"/>
      <c r="B1134" s="223"/>
      <c r="C1134" s="343"/>
      <c r="D1134" s="213"/>
      <c r="E1134" s="350"/>
      <c r="F1134" s="215"/>
    </row>
    <row r="1135" spans="1:6" ht="21.75" customHeight="1">
      <c r="A1135" s="221"/>
      <c r="B1135" s="223"/>
      <c r="C1135" s="343"/>
      <c r="D1135" s="213"/>
      <c r="E1135" s="350"/>
      <c r="F1135" s="215"/>
    </row>
    <row r="1136" spans="1:6" ht="21.75" customHeight="1">
      <c r="A1136" s="221"/>
      <c r="B1136" s="223"/>
      <c r="C1136" s="343"/>
      <c r="D1136" s="213"/>
      <c r="E1136" s="350"/>
      <c r="F1136" s="215"/>
    </row>
    <row r="1137" spans="1:6" ht="21.75" customHeight="1">
      <c r="A1137" s="221"/>
      <c r="B1137" s="223"/>
      <c r="C1137" s="343"/>
      <c r="D1137" s="213"/>
      <c r="E1137" s="350"/>
      <c r="F1137" s="215"/>
    </row>
    <row r="1138" spans="1:6" ht="21.75" customHeight="1">
      <c r="A1138" s="221"/>
      <c r="B1138" s="223"/>
      <c r="C1138" s="343"/>
      <c r="D1138" s="213"/>
      <c r="E1138" s="350"/>
      <c r="F1138" s="215"/>
    </row>
    <row r="1139" spans="1:6" ht="21.75" customHeight="1">
      <c r="A1139" s="221"/>
      <c r="B1139" s="223"/>
      <c r="C1139" s="343"/>
      <c r="D1139" s="213"/>
      <c r="E1139" s="350"/>
      <c r="F1139" s="215"/>
    </row>
    <row r="1140" spans="1:6" ht="21.75" customHeight="1">
      <c r="A1140" s="221"/>
      <c r="B1140" s="223"/>
      <c r="C1140" s="343"/>
      <c r="D1140" s="213"/>
      <c r="E1140" s="350"/>
      <c r="F1140" s="215"/>
    </row>
    <row r="1141" spans="1:6" ht="21.75" customHeight="1">
      <c r="A1141" s="221"/>
      <c r="B1141" s="223"/>
      <c r="C1141" s="343"/>
      <c r="D1141" s="213"/>
      <c r="E1141" s="350"/>
      <c r="F1141" s="215"/>
    </row>
    <row r="1142" spans="1:6" ht="21.75" customHeight="1">
      <c r="A1142" s="221"/>
      <c r="B1142" s="223"/>
      <c r="C1142" s="343"/>
      <c r="D1142" s="213"/>
      <c r="E1142" s="350"/>
      <c r="F1142" s="215"/>
    </row>
    <row r="1143" spans="1:6" ht="21.75" customHeight="1">
      <c r="A1143" s="221"/>
      <c r="B1143" s="223"/>
      <c r="C1143" s="343"/>
      <c r="D1143" s="213"/>
      <c r="E1143" s="350"/>
      <c r="F1143" s="215"/>
    </row>
    <row r="1144" spans="1:6" ht="21.75" customHeight="1">
      <c r="A1144" s="221"/>
      <c r="B1144" s="223"/>
      <c r="C1144" s="343"/>
      <c r="D1144" s="213"/>
      <c r="E1144" s="350"/>
      <c r="F1144" s="215"/>
    </row>
    <row r="1145" spans="1:6" ht="21.75" customHeight="1">
      <c r="A1145" s="221"/>
      <c r="B1145" s="223"/>
      <c r="C1145" s="343"/>
      <c r="D1145" s="213"/>
      <c r="E1145" s="350"/>
      <c r="F1145" s="215"/>
    </row>
    <row r="1146" spans="1:6" ht="21.75" customHeight="1">
      <c r="A1146" s="221"/>
      <c r="B1146" s="223"/>
      <c r="C1146" s="343"/>
      <c r="D1146" s="213"/>
      <c r="E1146" s="350"/>
      <c r="F1146" s="215"/>
    </row>
    <row r="1147" spans="1:6" ht="21.75" customHeight="1">
      <c r="A1147" s="221"/>
      <c r="B1147" s="223"/>
      <c r="C1147" s="343"/>
      <c r="D1147" s="213"/>
      <c r="E1147" s="350"/>
      <c r="F1147" s="215"/>
    </row>
    <row r="1148" spans="1:6" ht="21.75" customHeight="1">
      <c r="A1148" s="221"/>
      <c r="B1148" s="223"/>
      <c r="C1148" s="343"/>
      <c r="D1148" s="213"/>
      <c r="E1148" s="350"/>
      <c r="F1148" s="215"/>
    </row>
    <row r="1149" spans="1:6" ht="21.75" customHeight="1">
      <c r="A1149" s="221"/>
      <c r="B1149" s="223"/>
      <c r="C1149" s="343"/>
      <c r="D1149" s="213"/>
      <c r="E1149" s="350"/>
      <c r="F1149" s="215"/>
    </row>
    <row r="1150" spans="1:6" ht="21.75" customHeight="1">
      <c r="A1150" s="221"/>
      <c r="B1150" s="223"/>
      <c r="C1150" s="343"/>
      <c r="D1150" s="213"/>
      <c r="E1150" s="350"/>
      <c r="F1150" s="215"/>
    </row>
    <row r="1151" spans="1:6" ht="21.75" customHeight="1">
      <c r="A1151" s="221"/>
      <c r="B1151" s="223"/>
      <c r="C1151" s="343"/>
      <c r="D1151" s="213"/>
      <c r="E1151" s="350"/>
      <c r="F1151" s="215"/>
    </row>
    <row r="1152" spans="1:6" ht="21.75" customHeight="1">
      <c r="A1152" s="221"/>
      <c r="B1152" s="223"/>
      <c r="C1152" s="343"/>
      <c r="D1152" s="213"/>
      <c r="E1152" s="350"/>
      <c r="F1152" s="215"/>
    </row>
    <row r="1153" spans="1:6" ht="21.75" customHeight="1">
      <c r="A1153" s="221"/>
      <c r="B1153" s="223"/>
      <c r="C1153" s="343"/>
      <c r="D1153" s="213"/>
      <c r="E1153" s="350"/>
      <c r="F1153" s="215"/>
    </row>
    <row r="1154" spans="1:6" ht="21.75" customHeight="1">
      <c r="A1154" s="221"/>
      <c r="B1154" s="223"/>
      <c r="C1154" s="343"/>
      <c r="D1154" s="213"/>
      <c r="E1154" s="350"/>
      <c r="F1154" s="215"/>
    </row>
    <row r="1155" spans="1:6" ht="21.75" customHeight="1">
      <c r="A1155" s="221"/>
      <c r="B1155" s="223"/>
      <c r="C1155" s="343"/>
      <c r="D1155" s="213"/>
      <c r="E1155" s="350"/>
      <c r="F1155" s="215"/>
    </row>
    <row r="1156" spans="1:6" ht="21.75" customHeight="1">
      <c r="A1156" s="221"/>
      <c r="B1156" s="223"/>
      <c r="C1156" s="343"/>
      <c r="D1156" s="213"/>
      <c r="E1156" s="350"/>
      <c r="F1156" s="215"/>
    </row>
    <row r="1157" spans="1:6" ht="21.75" customHeight="1">
      <c r="A1157" s="221"/>
      <c r="B1157" s="223"/>
      <c r="C1157" s="343"/>
      <c r="D1157" s="213"/>
      <c r="E1157" s="350"/>
      <c r="F1157" s="215"/>
    </row>
    <row r="1158" spans="1:6" ht="21.75" customHeight="1">
      <c r="A1158" s="221"/>
      <c r="B1158" s="223"/>
      <c r="C1158" s="343"/>
      <c r="D1158" s="213"/>
      <c r="E1158" s="350"/>
      <c r="F1158" s="215"/>
    </row>
    <row r="1159" spans="1:6" ht="21.75" customHeight="1">
      <c r="A1159" s="221"/>
      <c r="B1159" s="223"/>
      <c r="C1159" s="343"/>
      <c r="D1159" s="213"/>
      <c r="E1159" s="350"/>
      <c r="F1159" s="215"/>
    </row>
    <row r="1160" spans="1:6" ht="21.75" customHeight="1">
      <c r="A1160" s="221"/>
      <c r="B1160" s="223"/>
      <c r="C1160" s="343"/>
      <c r="D1160" s="229"/>
      <c r="E1160" s="350"/>
      <c r="F1160" s="215"/>
    </row>
    <row r="1161" spans="1:6" ht="21.75" customHeight="1">
      <c r="A1161" s="221"/>
      <c r="B1161" s="223"/>
      <c r="C1161" s="343"/>
      <c r="D1161" s="229"/>
      <c r="E1161" s="350"/>
      <c r="F1161" s="215"/>
    </row>
    <row r="1162" spans="1:6" ht="21.75" customHeight="1">
      <c r="A1162" s="221"/>
      <c r="B1162" s="223"/>
      <c r="C1162" s="343"/>
      <c r="D1162" s="213"/>
      <c r="E1162" s="350"/>
      <c r="F1162" s="215"/>
    </row>
    <row r="1163" spans="1:6" ht="21.75" customHeight="1">
      <c r="A1163" s="221"/>
      <c r="B1163" s="223"/>
      <c r="C1163" s="343"/>
      <c r="D1163" s="213"/>
      <c r="E1163" s="350"/>
      <c r="F1163" s="215"/>
    </row>
    <row r="1164" spans="1:6" ht="21.75" customHeight="1">
      <c r="A1164" s="221"/>
      <c r="B1164" s="223"/>
      <c r="C1164" s="343"/>
      <c r="D1164" s="213"/>
      <c r="E1164" s="350"/>
      <c r="F1164" s="215"/>
    </row>
    <row r="1165" spans="1:6" ht="21.75" customHeight="1">
      <c r="A1165" s="221"/>
      <c r="B1165" s="223"/>
      <c r="C1165" s="343"/>
      <c r="D1165" s="213"/>
      <c r="E1165" s="350"/>
      <c r="F1165" s="215"/>
    </row>
    <row r="1166" spans="1:6" ht="21.75" customHeight="1">
      <c r="A1166" s="221"/>
      <c r="B1166" s="223"/>
      <c r="C1166" s="343"/>
      <c r="D1166" s="213"/>
      <c r="E1166" s="350"/>
      <c r="F1166" s="215"/>
    </row>
    <row r="1167" spans="1:6" ht="21.75" customHeight="1">
      <c r="A1167" s="221"/>
      <c r="B1167" s="223"/>
      <c r="C1167" s="343"/>
      <c r="D1167" s="213"/>
      <c r="E1167" s="350"/>
      <c r="F1167" s="215"/>
    </row>
    <row r="1168" spans="1:6" ht="21.75" customHeight="1">
      <c r="A1168" s="221"/>
      <c r="B1168" s="223"/>
      <c r="C1168" s="343"/>
      <c r="D1168" s="213"/>
      <c r="E1168" s="350"/>
      <c r="F1168" s="215"/>
    </row>
    <row r="1169" spans="1:6" ht="21.75" customHeight="1">
      <c r="A1169" s="221"/>
      <c r="B1169" s="223"/>
      <c r="C1169" s="343"/>
      <c r="D1169" s="213"/>
      <c r="E1169" s="350"/>
      <c r="F1169" s="215"/>
    </row>
    <row r="1170" spans="1:6" ht="21.75" customHeight="1">
      <c r="A1170" s="221"/>
      <c r="B1170" s="223"/>
      <c r="C1170" s="343"/>
      <c r="D1170" s="213"/>
      <c r="E1170" s="350"/>
      <c r="F1170" s="215"/>
    </row>
    <row r="1171" spans="1:6" ht="21.75" customHeight="1">
      <c r="A1171" s="221"/>
      <c r="B1171" s="223"/>
      <c r="C1171" s="343"/>
      <c r="D1171" s="213"/>
      <c r="E1171" s="350"/>
      <c r="F1171" s="215"/>
    </row>
    <row r="1172" spans="1:6" ht="21.75" customHeight="1">
      <c r="A1172" s="221"/>
      <c r="B1172" s="223"/>
      <c r="C1172" s="343"/>
      <c r="D1172" s="213"/>
      <c r="E1172" s="350"/>
      <c r="F1172" s="215"/>
    </row>
    <row r="1173" spans="1:6" ht="21.75" customHeight="1">
      <c r="A1173" s="221"/>
      <c r="B1173" s="223"/>
      <c r="C1173" s="343"/>
      <c r="D1173" s="213"/>
      <c r="E1173" s="350"/>
      <c r="F1173" s="215"/>
    </row>
    <row r="1174" spans="1:6" ht="21.75" customHeight="1">
      <c r="A1174" s="221"/>
      <c r="B1174" s="223"/>
      <c r="C1174" s="343"/>
      <c r="D1174" s="213"/>
      <c r="E1174" s="350"/>
      <c r="F1174" s="215"/>
    </row>
    <row r="1175" spans="1:6" ht="21.75" customHeight="1">
      <c r="A1175" s="221"/>
      <c r="B1175" s="223"/>
      <c r="C1175" s="343"/>
      <c r="D1175" s="213"/>
      <c r="E1175" s="350"/>
      <c r="F1175" s="215"/>
    </row>
    <row r="1176" spans="1:6" ht="21.75" customHeight="1">
      <c r="A1176" s="221"/>
      <c r="B1176" s="223"/>
      <c r="C1176" s="343"/>
      <c r="D1176" s="213"/>
      <c r="E1176" s="350"/>
      <c r="F1176" s="215"/>
    </row>
    <row r="1177" spans="1:6" ht="21.75" customHeight="1">
      <c r="A1177" s="221"/>
      <c r="B1177" s="223"/>
      <c r="C1177" s="343"/>
      <c r="D1177" s="213"/>
      <c r="E1177" s="350"/>
      <c r="F1177" s="215"/>
    </row>
    <row r="1178" spans="1:6" ht="21.75" customHeight="1">
      <c r="A1178" s="221"/>
      <c r="B1178" s="223"/>
      <c r="C1178" s="343"/>
      <c r="D1178" s="213"/>
      <c r="E1178" s="350"/>
      <c r="F1178" s="215"/>
    </row>
    <row r="1179" spans="1:6" ht="21.75" customHeight="1">
      <c r="A1179" s="221"/>
      <c r="B1179" s="223"/>
      <c r="C1179" s="343"/>
      <c r="D1179" s="213"/>
      <c r="E1179" s="350"/>
      <c r="F1179" s="215"/>
    </row>
    <row r="1180" spans="1:6" ht="21.75" customHeight="1">
      <c r="A1180" s="221"/>
      <c r="B1180" s="223"/>
      <c r="C1180" s="343"/>
      <c r="D1180" s="213"/>
      <c r="E1180" s="350"/>
      <c r="F1180" s="215"/>
    </row>
    <row r="1181" spans="1:6" ht="21.75" customHeight="1">
      <c r="A1181" s="221"/>
      <c r="B1181" s="223"/>
      <c r="C1181" s="343"/>
      <c r="D1181" s="213"/>
      <c r="E1181" s="350"/>
      <c r="F1181" s="215"/>
    </row>
    <row r="1182" spans="1:6" ht="21.75" customHeight="1">
      <c r="A1182" s="221"/>
      <c r="B1182" s="223"/>
      <c r="C1182" s="343"/>
      <c r="D1182" s="213"/>
      <c r="E1182" s="350"/>
      <c r="F1182" s="215"/>
    </row>
    <row r="1183" spans="1:6" ht="21.75" customHeight="1">
      <c r="A1183" s="221"/>
      <c r="B1183" s="223"/>
      <c r="C1183" s="343"/>
      <c r="D1183" s="213"/>
      <c r="E1183" s="350"/>
      <c r="F1183" s="215"/>
    </row>
    <row r="1184" spans="1:6" ht="21.75" customHeight="1">
      <c r="A1184" s="221"/>
      <c r="B1184" s="223"/>
      <c r="C1184" s="343"/>
      <c r="D1184" s="213"/>
      <c r="E1184" s="350"/>
      <c r="F1184" s="215"/>
    </row>
    <row r="1185" spans="1:6" ht="21.75" customHeight="1">
      <c r="A1185" s="221"/>
      <c r="B1185" s="223"/>
      <c r="C1185" s="343"/>
      <c r="D1185" s="213"/>
      <c r="E1185" s="350"/>
      <c r="F1185" s="215"/>
    </row>
    <row r="1186" spans="1:6" ht="21.75" customHeight="1">
      <c r="A1186" s="221"/>
      <c r="B1186" s="223"/>
      <c r="C1186" s="343"/>
      <c r="D1186" s="213"/>
      <c r="E1186" s="350"/>
      <c r="F1186" s="215"/>
    </row>
    <row r="1187" spans="1:6" ht="21.75" customHeight="1">
      <c r="A1187" s="221"/>
      <c r="B1187" s="223"/>
      <c r="C1187" s="343"/>
      <c r="D1187" s="213"/>
      <c r="E1187" s="350"/>
      <c r="F1187" s="215"/>
    </row>
    <row r="1188" spans="1:6" ht="21.75" customHeight="1">
      <c r="A1188" s="221"/>
      <c r="B1188" s="223"/>
      <c r="C1188" s="343"/>
      <c r="D1188" s="213"/>
      <c r="E1188" s="350"/>
      <c r="F1188" s="215"/>
    </row>
    <row r="1189" spans="1:6" ht="21.75" customHeight="1">
      <c r="A1189" s="221"/>
      <c r="B1189" s="223"/>
      <c r="C1189" s="343"/>
      <c r="D1189" s="213"/>
      <c r="E1189" s="350"/>
      <c r="F1189" s="215"/>
    </row>
    <row r="1190" spans="1:6" ht="21.75" customHeight="1">
      <c r="A1190" s="221"/>
      <c r="B1190" s="223"/>
      <c r="C1190" s="343"/>
      <c r="D1190" s="213"/>
      <c r="E1190" s="350"/>
      <c r="F1190" s="215"/>
    </row>
    <row r="1191" spans="1:6" ht="21.75" customHeight="1">
      <c r="A1191" s="221"/>
      <c r="B1191" s="223"/>
      <c r="C1191" s="343"/>
      <c r="D1191" s="213"/>
      <c r="E1191" s="350"/>
      <c r="F1191" s="215"/>
    </row>
    <row r="1192" spans="1:6" ht="21.75" customHeight="1">
      <c r="A1192" s="221"/>
      <c r="B1192" s="223"/>
      <c r="C1192" s="343"/>
      <c r="D1192" s="213"/>
      <c r="E1192" s="350"/>
      <c r="F1192" s="215"/>
    </row>
    <row r="1193" spans="1:6" ht="21.75" customHeight="1">
      <c r="A1193" s="221"/>
      <c r="B1193" s="223"/>
      <c r="C1193" s="343"/>
      <c r="D1193" s="213"/>
      <c r="E1193" s="350"/>
      <c r="F1193" s="215"/>
    </row>
    <row r="1194" spans="1:6" ht="21.75" customHeight="1">
      <c r="A1194" s="221"/>
      <c r="B1194" s="223"/>
      <c r="C1194" s="343"/>
      <c r="D1194" s="213"/>
      <c r="E1194" s="350"/>
      <c r="F1194" s="215"/>
    </row>
    <row r="1195" spans="1:6" ht="21.75" customHeight="1">
      <c r="A1195" s="221"/>
      <c r="B1195" s="223"/>
      <c r="C1195" s="343"/>
      <c r="D1195" s="213"/>
      <c r="E1195" s="350"/>
      <c r="F1195" s="215"/>
    </row>
    <row r="1196" spans="1:6" ht="21.75" customHeight="1">
      <c r="A1196" s="221"/>
      <c r="B1196" s="223"/>
      <c r="C1196" s="343"/>
      <c r="D1196" s="213"/>
      <c r="E1196" s="350"/>
      <c r="F1196" s="215"/>
    </row>
    <row r="1197" spans="1:6" ht="21.75" customHeight="1">
      <c r="A1197" s="221"/>
      <c r="B1197" s="223"/>
      <c r="C1197" s="343"/>
      <c r="D1197" s="213"/>
      <c r="E1197" s="350"/>
      <c r="F1197" s="215"/>
    </row>
    <row r="1198" spans="1:6" ht="21.75" customHeight="1">
      <c r="A1198" s="221"/>
      <c r="B1198" s="223"/>
      <c r="C1198" s="343"/>
      <c r="D1198" s="213"/>
      <c r="E1198" s="350"/>
      <c r="F1198" s="215"/>
    </row>
    <row r="1199" spans="1:6" ht="21.75" customHeight="1">
      <c r="A1199" s="221"/>
      <c r="B1199" s="223"/>
      <c r="C1199" s="343"/>
      <c r="D1199" s="213"/>
      <c r="E1199" s="350"/>
      <c r="F1199" s="215"/>
    </row>
    <row r="1200" spans="1:6" ht="21.75" customHeight="1">
      <c r="A1200" s="221"/>
      <c r="B1200" s="223"/>
      <c r="C1200" s="343"/>
      <c r="D1200" s="213"/>
      <c r="E1200" s="350"/>
      <c r="F1200" s="215"/>
    </row>
    <row r="1201" spans="1:6" ht="21.75" customHeight="1">
      <c r="A1201" s="221"/>
      <c r="B1201" s="223"/>
      <c r="C1201" s="343"/>
      <c r="D1201" s="213"/>
      <c r="E1201" s="350"/>
      <c r="F1201" s="215"/>
    </row>
    <row r="1202" spans="1:6" ht="21.75" customHeight="1">
      <c r="A1202" s="221"/>
      <c r="B1202" s="223"/>
      <c r="C1202" s="343"/>
      <c r="D1202" s="213"/>
      <c r="E1202" s="350"/>
      <c r="F1202" s="215"/>
    </row>
    <row r="1203" spans="1:6" ht="21.75" customHeight="1">
      <c r="A1203" s="221"/>
      <c r="B1203" s="223"/>
      <c r="C1203" s="343"/>
      <c r="D1203" s="213"/>
      <c r="E1203" s="350"/>
      <c r="F1203" s="215"/>
    </row>
    <row r="1204" spans="1:6" ht="21.75" customHeight="1">
      <c r="A1204" s="221"/>
      <c r="B1204" s="223"/>
      <c r="C1204" s="343"/>
      <c r="D1204" s="213"/>
      <c r="E1204" s="350"/>
      <c r="F1204" s="215"/>
    </row>
    <row r="1205" spans="1:6" ht="21.75" customHeight="1">
      <c r="A1205" s="221"/>
      <c r="B1205" s="223"/>
      <c r="C1205" s="343"/>
      <c r="D1205" s="213"/>
      <c r="E1205" s="350"/>
      <c r="F1205" s="215"/>
    </row>
    <row r="1206" spans="1:6" ht="21.75" customHeight="1">
      <c r="A1206" s="221"/>
      <c r="B1206" s="223"/>
      <c r="C1206" s="343"/>
      <c r="D1206" s="213"/>
      <c r="E1206" s="350"/>
      <c r="F1206" s="215"/>
    </row>
    <row r="1207" spans="1:6" ht="21.75" customHeight="1">
      <c r="A1207" s="221"/>
      <c r="B1207" s="223"/>
      <c r="C1207" s="343"/>
      <c r="D1207" s="213"/>
      <c r="E1207" s="350"/>
      <c r="F1207" s="215"/>
    </row>
    <row r="1208" spans="1:6" ht="21.75" customHeight="1">
      <c r="A1208" s="221"/>
      <c r="B1208" s="223"/>
      <c r="C1208" s="343"/>
      <c r="D1208" s="213"/>
      <c r="E1208" s="350"/>
      <c r="F1208" s="215"/>
    </row>
    <row r="1209" spans="1:6" ht="21.75" customHeight="1">
      <c r="A1209" s="221"/>
      <c r="B1209" s="223"/>
      <c r="C1209" s="343"/>
      <c r="D1209" s="213"/>
      <c r="E1209" s="350"/>
      <c r="F1209" s="215"/>
    </row>
    <row r="1210" spans="1:6" ht="21.75" customHeight="1">
      <c r="A1210" s="221"/>
      <c r="B1210" s="223"/>
      <c r="C1210" s="343"/>
      <c r="D1210" s="213"/>
      <c r="E1210" s="350"/>
      <c r="F1210" s="215"/>
    </row>
    <row r="1211" spans="1:6" ht="21.75" customHeight="1">
      <c r="A1211" s="221"/>
      <c r="B1211" s="223"/>
      <c r="C1211" s="343"/>
      <c r="D1211" s="213"/>
      <c r="E1211" s="350"/>
      <c r="F1211" s="215"/>
    </row>
    <row r="1212" spans="1:6" ht="21.75" customHeight="1">
      <c r="A1212" s="221"/>
      <c r="B1212" s="223"/>
      <c r="C1212" s="343"/>
      <c r="D1212" s="213"/>
      <c r="E1212" s="350"/>
      <c r="F1212" s="215"/>
    </row>
    <row r="1213" spans="1:6" ht="21.75" customHeight="1">
      <c r="A1213" s="221"/>
      <c r="B1213" s="223"/>
      <c r="C1213" s="343"/>
      <c r="D1213" s="213"/>
      <c r="E1213" s="350"/>
      <c r="F1213" s="215"/>
    </row>
    <row r="1214" spans="1:6" ht="21.75" customHeight="1">
      <c r="A1214" s="221"/>
      <c r="B1214" s="223"/>
      <c r="C1214" s="343"/>
      <c r="D1214" s="213"/>
      <c r="E1214" s="350"/>
      <c r="F1214" s="215"/>
    </row>
    <row r="1215" spans="1:6" ht="21.75" customHeight="1">
      <c r="A1215" s="221"/>
      <c r="B1215" s="223"/>
      <c r="C1215" s="343"/>
      <c r="D1215" s="213"/>
      <c r="E1215" s="350"/>
      <c r="F1215" s="215"/>
    </row>
    <row r="1216" spans="1:6" ht="21.75" customHeight="1">
      <c r="A1216" s="221"/>
      <c r="B1216" s="223"/>
      <c r="C1216" s="343"/>
      <c r="D1216" s="213"/>
      <c r="E1216" s="350"/>
      <c r="F1216" s="215"/>
    </row>
    <row r="1217" spans="1:6" ht="21.75" customHeight="1">
      <c r="A1217" s="221"/>
      <c r="B1217" s="223"/>
      <c r="C1217" s="343"/>
      <c r="D1217" s="213"/>
      <c r="E1217" s="350"/>
      <c r="F1217" s="215"/>
    </row>
    <row r="1218" spans="1:6" ht="21.75" customHeight="1">
      <c r="A1218" s="221"/>
      <c r="B1218" s="223"/>
      <c r="C1218" s="343"/>
      <c r="D1218" s="213"/>
      <c r="E1218" s="350"/>
      <c r="F1218" s="215"/>
    </row>
    <row r="1219" spans="1:6" ht="21.75" customHeight="1">
      <c r="A1219" s="221"/>
      <c r="B1219" s="223"/>
      <c r="C1219" s="343"/>
      <c r="D1219" s="213"/>
      <c r="E1219" s="350"/>
      <c r="F1219" s="215"/>
    </row>
    <row r="1220" spans="1:6" ht="21.75" customHeight="1">
      <c r="A1220" s="221"/>
      <c r="B1220" s="223"/>
      <c r="C1220" s="343"/>
      <c r="D1220" s="213"/>
      <c r="E1220" s="350"/>
      <c r="F1220" s="215"/>
    </row>
    <row r="1221" spans="1:6" ht="21.75" customHeight="1">
      <c r="A1221" s="221"/>
      <c r="B1221" s="223"/>
      <c r="C1221" s="343"/>
      <c r="D1221" s="213"/>
      <c r="E1221" s="350"/>
      <c r="F1221" s="215"/>
    </row>
    <row r="1222" spans="1:6" ht="21.75" customHeight="1">
      <c r="A1222" s="221"/>
      <c r="B1222" s="223"/>
      <c r="C1222" s="343"/>
      <c r="D1222" s="213"/>
      <c r="E1222" s="350"/>
      <c r="F1222" s="215"/>
    </row>
    <row r="1223" spans="1:6" ht="21.75" customHeight="1">
      <c r="A1223" s="221"/>
      <c r="B1223" s="223"/>
      <c r="C1223" s="343"/>
      <c r="D1223" s="213"/>
      <c r="E1223" s="350"/>
      <c r="F1223" s="215"/>
    </row>
    <row r="1224" spans="1:6" ht="21.75" customHeight="1">
      <c r="A1224" s="221"/>
      <c r="B1224" s="223"/>
      <c r="C1224" s="343"/>
      <c r="D1224" s="213"/>
      <c r="E1224" s="350"/>
      <c r="F1224" s="215"/>
    </row>
    <row r="1225" spans="1:6" ht="21.75" customHeight="1">
      <c r="A1225" s="221"/>
      <c r="B1225" s="223"/>
      <c r="C1225" s="343"/>
      <c r="D1225" s="213"/>
      <c r="E1225" s="350"/>
      <c r="F1225" s="215"/>
    </row>
    <row r="1226" spans="1:6" ht="21.75" customHeight="1">
      <c r="A1226" s="221"/>
      <c r="B1226" s="223"/>
      <c r="C1226" s="343"/>
      <c r="D1226" s="213"/>
      <c r="E1226" s="350"/>
      <c r="F1226" s="215"/>
    </row>
    <row r="1227" spans="1:6" ht="21.75" customHeight="1">
      <c r="A1227" s="221"/>
      <c r="B1227" s="223"/>
      <c r="C1227" s="343"/>
      <c r="D1227" s="213"/>
      <c r="E1227" s="350"/>
      <c r="F1227" s="215"/>
    </row>
    <row r="1228" spans="1:6" ht="21.75" customHeight="1">
      <c r="A1228" s="221"/>
      <c r="B1228" s="223"/>
      <c r="C1228" s="343"/>
      <c r="D1228" s="213"/>
      <c r="E1228" s="350"/>
      <c r="F1228" s="215"/>
    </row>
    <row r="1229" spans="1:6" ht="21.75" customHeight="1">
      <c r="A1229" s="221"/>
      <c r="B1229" s="223"/>
      <c r="C1229" s="343"/>
      <c r="D1229" s="213"/>
      <c r="E1229" s="350"/>
      <c r="F1229" s="215"/>
    </row>
    <row r="1230" spans="1:6" ht="21.75" customHeight="1">
      <c r="A1230" s="221"/>
      <c r="B1230" s="223"/>
      <c r="C1230" s="343"/>
      <c r="D1230" s="213"/>
      <c r="E1230" s="350"/>
      <c r="F1230" s="215"/>
    </row>
    <row r="1231" spans="1:6" ht="21.75" customHeight="1">
      <c r="A1231" s="221"/>
      <c r="B1231" s="223"/>
      <c r="C1231" s="343"/>
      <c r="D1231" s="213"/>
      <c r="E1231" s="350"/>
      <c r="F1231" s="215"/>
    </row>
    <row r="1232" spans="1:6" ht="21.75" customHeight="1">
      <c r="A1232" s="221"/>
      <c r="B1232" s="223"/>
      <c r="C1232" s="343"/>
      <c r="D1232" s="213"/>
      <c r="E1232" s="350"/>
      <c r="F1232" s="215"/>
    </row>
    <row r="1233" spans="1:6" ht="21.75" customHeight="1">
      <c r="A1233" s="221"/>
      <c r="B1233" s="223"/>
      <c r="C1233" s="343"/>
      <c r="D1233" s="213"/>
      <c r="E1233" s="350"/>
      <c r="F1233" s="215"/>
    </row>
    <row r="1234" spans="1:6" ht="21.75" customHeight="1">
      <c r="A1234" s="221"/>
      <c r="B1234" s="223"/>
      <c r="C1234" s="343"/>
      <c r="D1234" s="213"/>
      <c r="E1234" s="350"/>
      <c r="F1234" s="215"/>
    </row>
    <row r="1235" spans="1:6" ht="21.75" customHeight="1">
      <c r="A1235" s="221"/>
      <c r="B1235" s="223"/>
      <c r="C1235" s="343"/>
      <c r="D1235" s="213"/>
      <c r="E1235" s="350"/>
      <c r="F1235" s="215"/>
    </row>
    <row r="1236" spans="1:6" ht="21.75" customHeight="1">
      <c r="A1236" s="221"/>
      <c r="B1236" s="223"/>
      <c r="C1236" s="343"/>
      <c r="D1236" s="213"/>
      <c r="E1236" s="350"/>
      <c r="F1236" s="215"/>
    </row>
    <row r="1237" spans="1:6" ht="21.75" customHeight="1">
      <c r="A1237" s="221"/>
      <c r="B1237" s="223"/>
      <c r="C1237" s="343"/>
      <c r="D1237" s="213"/>
      <c r="E1237" s="350"/>
      <c r="F1237" s="215"/>
    </row>
    <row r="1238" spans="1:6" ht="21.75" customHeight="1">
      <c r="A1238" s="221"/>
      <c r="B1238" s="223"/>
      <c r="C1238" s="343"/>
      <c r="D1238" s="213"/>
      <c r="E1238" s="350"/>
      <c r="F1238" s="215"/>
    </row>
    <row r="1239" spans="1:6" ht="21.75" customHeight="1">
      <c r="A1239" s="221"/>
      <c r="B1239" s="223"/>
      <c r="C1239" s="343"/>
      <c r="D1239" s="213"/>
      <c r="E1239" s="350"/>
      <c r="F1239" s="215"/>
    </row>
    <row r="1240" spans="1:6" ht="21.75" customHeight="1">
      <c r="A1240" s="221"/>
      <c r="B1240" s="223"/>
      <c r="C1240" s="343"/>
      <c r="D1240" s="213"/>
      <c r="E1240" s="350"/>
      <c r="F1240" s="215"/>
    </row>
    <row r="1241" spans="1:6" ht="21.75" customHeight="1">
      <c r="A1241" s="221"/>
      <c r="B1241" s="223"/>
      <c r="C1241" s="343"/>
      <c r="D1241" s="213"/>
      <c r="E1241" s="350"/>
      <c r="F1241" s="215"/>
    </row>
    <row r="1242" spans="1:6" ht="21.75" customHeight="1">
      <c r="A1242" s="221"/>
      <c r="B1242" s="223"/>
      <c r="C1242" s="343"/>
      <c r="D1242" s="213"/>
      <c r="E1242" s="350"/>
      <c r="F1242" s="215"/>
    </row>
    <row r="1243" spans="1:6" ht="21.75" customHeight="1">
      <c r="A1243" s="221"/>
      <c r="B1243" s="223"/>
      <c r="C1243" s="343"/>
      <c r="D1243" s="213"/>
      <c r="E1243" s="350"/>
      <c r="F1243" s="215"/>
    </row>
    <row r="1244" spans="1:6" ht="21.75" customHeight="1">
      <c r="A1244" s="221"/>
      <c r="B1244" s="223"/>
      <c r="C1244" s="343"/>
      <c r="D1244" s="213"/>
      <c r="E1244" s="350"/>
      <c r="F1244" s="215"/>
    </row>
    <row r="1245" spans="1:6" ht="21.75" customHeight="1">
      <c r="A1245" s="221"/>
      <c r="B1245" s="223"/>
      <c r="C1245" s="343"/>
      <c r="D1245" s="213"/>
      <c r="E1245" s="350"/>
      <c r="F1245" s="230"/>
    </row>
    <row r="1246" spans="1:6" ht="21.75" customHeight="1">
      <c r="A1246" s="221"/>
      <c r="B1246" s="223"/>
      <c r="C1246" s="343"/>
      <c r="D1246" s="213"/>
      <c r="E1246" s="350"/>
      <c r="F1246" s="230"/>
    </row>
    <row r="1247" spans="1:6" ht="21.75" customHeight="1">
      <c r="A1247" s="221"/>
      <c r="B1247" s="223"/>
      <c r="C1247" s="343"/>
      <c r="D1247" s="213"/>
      <c r="E1247" s="350"/>
      <c r="F1247" s="230"/>
    </row>
    <row r="1248" spans="1:6" ht="21.75" customHeight="1">
      <c r="A1248" s="221"/>
      <c r="B1248" s="223"/>
      <c r="C1248" s="343"/>
      <c r="D1248" s="213"/>
      <c r="E1248" s="350"/>
      <c r="F1248" s="230"/>
    </row>
    <row r="1249" spans="1:6" ht="21.75" customHeight="1">
      <c r="A1249" s="221"/>
      <c r="B1249" s="223"/>
      <c r="C1249" s="343"/>
      <c r="D1249" s="213"/>
      <c r="E1249" s="350"/>
      <c r="F1249" s="230"/>
    </row>
    <row r="1250" spans="1:6" ht="21.75" customHeight="1">
      <c r="A1250" s="221"/>
      <c r="B1250" s="223"/>
      <c r="C1250" s="343"/>
      <c r="D1250" s="213"/>
      <c r="E1250" s="350"/>
      <c r="F1250" s="230"/>
    </row>
    <row r="1251" spans="1:6" ht="21.75" customHeight="1">
      <c r="A1251" s="221"/>
      <c r="B1251" s="223"/>
      <c r="C1251" s="343"/>
      <c r="D1251" s="213"/>
      <c r="E1251" s="350"/>
      <c r="F1251" s="230"/>
    </row>
    <row r="1252" spans="1:6" ht="21.75" customHeight="1">
      <c r="A1252" s="221"/>
      <c r="B1252" s="223"/>
      <c r="C1252" s="343"/>
      <c r="D1252" s="213"/>
      <c r="E1252" s="350"/>
      <c r="F1252" s="230"/>
    </row>
    <row r="1253" spans="1:6" ht="21.75" customHeight="1">
      <c r="A1253" s="221"/>
      <c r="B1253" s="223"/>
      <c r="C1253" s="343"/>
      <c r="D1253" s="213"/>
      <c r="E1253" s="350"/>
      <c r="F1253" s="230"/>
    </row>
    <row r="1254" spans="1:6" ht="21.75" customHeight="1">
      <c r="A1254" s="221"/>
      <c r="B1254" s="223"/>
      <c r="C1254" s="343"/>
      <c r="D1254" s="213"/>
      <c r="E1254" s="350"/>
      <c r="F1254" s="230"/>
    </row>
    <row r="1255" spans="1:6" ht="21.75" customHeight="1">
      <c r="A1255" s="221"/>
      <c r="B1255" s="223"/>
      <c r="C1255" s="343"/>
      <c r="D1255" s="213"/>
      <c r="E1255" s="350"/>
      <c r="F1255" s="230"/>
    </row>
    <row r="1256" spans="1:6" ht="21.75" customHeight="1">
      <c r="A1256" s="221"/>
      <c r="B1256" s="223"/>
      <c r="C1256" s="343"/>
      <c r="D1256" s="213"/>
      <c r="E1256" s="350"/>
      <c r="F1256" s="230"/>
    </row>
    <row r="1257" spans="1:6" ht="21.75" customHeight="1">
      <c r="A1257" s="221"/>
      <c r="B1257" s="223"/>
      <c r="C1257" s="343"/>
      <c r="D1257" s="213"/>
      <c r="E1257" s="350"/>
      <c r="F1257" s="230"/>
    </row>
    <row r="1258" spans="1:6" ht="21.75" customHeight="1">
      <c r="A1258" s="221"/>
      <c r="B1258" s="223"/>
      <c r="C1258" s="343"/>
      <c r="D1258" s="213"/>
      <c r="E1258" s="350"/>
      <c r="F1258" s="230"/>
    </row>
    <row r="1259" spans="1:6" ht="21.75" customHeight="1">
      <c r="A1259" s="221"/>
      <c r="B1259" s="223"/>
      <c r="C1259" s="343"/>
      <c r="D1259" s="213"/>
      <c r="E1259" s="350"/>
      <c r="F1259" s="230"/>
    </row>
    <row r="1260" spans="1:6" ht="21.75" customHeight="1">
      <c r="A1260" s="221"/>
      <c r="B1260" s="223"/>
      <c r="C1260" s="343"/>
      <c r="D1260" s="213"/>
      <c r="E1260" s="350"/>
      <c r="F1260" s="230"/>
    </row>
    <row r="1261" spans="1:6" ht="21.75" customHeight="1">
      <c r="A1261" s="221"/>
      <c r="B1261" s="223"/>
      <c r="C1261" s="343"/>
      <c r="D1261" s="213"/>
      <c r="E1261" s="350"/>
      <c r="F1261" s="230"/>
    </row>
    <row r="1262" spans="1:6" ht="21.75" customHeight="1">
      <c r="A1262" s="221"/>
      <c r="B1262" s="223"/>
      <c r="C1262" s="343"/>
      <c r="D1262" s="213"/>
      <c r="E1262" s="350"/>
      <c r="F1262" s="230"/>
    </row>
    <row r="1263" spans="1:6" ht="21.75" customHeight="1">
      <c r="A1263" s="221"/>
      <c r="B1263" s="223"/>
      <c r="C1263" s="343"/>
      <c r="D1263" s="213"/>
      <c r="E1263" s="350"/>
      <c r="F1263" s="230"/>
    </row>
    <row r="1264" spans="1:6" ht="21.75" customHeight="1">
      <c r="A1264" s="221"/>
      <c r="B1264" s="223"/>
      <c r="C1264" s="343"/>
      <c r="D1264" s="213"/>
      <c r="E1264" s="350"/>
      <c r="F1264" s="230"/>
    </row>
    <row r="1265" spans="1:6" ht="21.75" customHeight="1">
      <c r="A1265" s="221"/>
      <c r="B1265" s="223"/>
      <c r="C1265" s="343"/>
      <c r="D1265" s="213"/>
      <c r="E1265" s="350"/>
      <c r="F1265" s="230"/>
    </row>
    <row r="1266" spans="1:6" ht="21.75" customHeight="1">
      <c r="A1266" s="221"/>
      <c r="B1266" s="223"/>
      <c r="C1266" s="343"/>
      <c r="D1266" s="213"/>
      <c r="E1266" s="350"/>
      <c r="F1266" s="230"/>
    </row>
    <row r="1267" spans="1:6" ht="21.75" customHeight="1">
      <c r="A1267" s="221"/>
      <c r="B1267" s="223"/>
      <c r="C1267" s="343"/>
      <c r="D1267" s="213"/>
      <c r="E1267" s="350"/>
      <c r="F1267" s="230"/>
    </row>
    <row r="1268" spans="1:6" ht="21.75" customHeight="1">
      <c r="A1268" s="221"/>
      <c r="B1268" s="223"/>
      <c r="C1268" s="343"/>
      <c r="D1268" s="213"/>
      <c r="E1268" s="350"/>
      <c r="F1268" s="230"/>
    </row>
    <row r="1269" spans="1:6" ht="21.75" customHeight="1">
      <c r="A1269" s="221"/>
      <c r="B1269" s="223"/>
      <c r="C1269" s="343"/>
      <c r="D1269" s="213"/>
      <c r="E1269" s="350"/>
      <c r="F1269" s="230"/>
    </row>
    <row r="1270" spans="1:6" ht="21.75" customHeight="1">
      <c r="A1270" s="221"/>
      <c r="B1270" s="223"/>
      <c r="C1270" s="343"/>
      <c r="D1270" s="213"/>
      <c r="E1270" s="350"/>
      <c r="F1270" s="231"/>
    </row>
    <row r="1271" spans="1:6" ht="21.75" customHeight="1">
      <c r="A1271" s="232"/>
      <c r="B1271" s="223"/>
      <c r="C1271" s="343"/>
      <c r="D1271" s="213"/>
      <c r="E1271" s="350"/>
      <c r="F1271" s="231"/>
    </row>
    <row r="1272" spans="1:6" ht="21.75" customHeight="1">
      <c r="A1272" s="232"/>
      <c r="B1272" s="223"/>
      <c r="C1272" s="343"/>
      <c r="D1272" s="213"/>
      <c r="E1272" s="350"/>
      <c r="F1272" s="231"/>
    </row>
    <row r="1273" spans="1:6" ht="21.75" customHeight="1">
      <c r="A1273" s="232"/>
      <c r="B1273" s="223"/>
      <c r="C1273" s="343"/>
      <c r="D1273" s="213"/>
      <c r="E1273" s="350"/>
      <c r="F1273" s="231"/>
    </row>
    <row r="1274" spans="1:6" ht="21.75" customHeight="1">
      <c r="A1274" s="232"/>
      <c r="B1274" s="223"/>
      <c r="C1274" s="343"/>
      <c r="D1274" s="213"/>
      <c r="E1274" s="350"/>
      <c r="F1274" s="231"/>
    </row>
    <row r="1275" spans="1:6" ht="21.75" customHeight="1">
      <c r="A1275" s="232"/>
      <c r="B1275" s="223"/>
      <c r="C1275" s="343"/>
      <c r="D1275" s="213"/>
      <c r="E1275" s="350"/>
      <c r="F1275" s="231"/>
    </row>
    <row r="1276" spans="1:6" ht="21.75" customHeight="1">
      <c r="A1276" s="232"/>
      <c r="B1276" s="223"/>
      <c r="C1276" s="343"/>
      <c r="D1276" s="213"/>
      <c r="E1276" s="350"/>
      <c r="F1276" s="231"/>
    </row>
    <row r="1277" spans="1:6" ht="21.75" customHeight="1">
      <c r="A1277" s="232"/>
      <c r="B1277" s="223"/>
      <c r="C1277" s="343"/>
      <c r="D1277" s="213"/>
      <c r="E1277" s="350"/>
      <c r="F1277" s="231"/>
    </row>
    <row r="1278" spans="1:6" ht="21.75" customHeight="1">
      <c r="A1278" s="232"/>
      <c r="B1278" s="223"/>
      <c r="C1278" s="343"/>
      <c r="D1278" s="213"/>
      <c r="E1278" s="350"/>
      <c r="F1278" s="231"/>
    </row>
    <row r="1279" spans="1:6" ht="21.75" customHeight="1">
      <c r="A1279" s="232"/>
      <c r="B1279" s="223"/>
      <c r="C1279" s="343"/>
      <c r="D1279" s="213"/>
      <c r="E1279" s="350"/>
      <c r="F1279" s="231"/>
    </row>
    <row r="1280" spans="1:6" ht="21.75" customHeight="1">
      <c r="A1280" s="232"/>
      <c r="B1280" s="223"/>
      <c r="C1280" s="344"/>
      <c r="D1280" s="213"/>
      <c r="E1280" s="350"/>
      <c r="F1280" s="231"/>
    </row>
    <row r="1281" spans="1:6" ht="21.75" customHeight="1">
      <c r="A1281" s="232"/>
      <c r="B1281" s="223"/>
      <c r="C1281" s="344"/>
      <c r="D1281" s="213"/>
      <c r="E1281" s="350"/>
      <c r="F1281" s="231"/>
    </row>
    <row r="1282" spans="1:6" ht="21.75" customHeight="1">
      <c r="A1282" s="232"/>
      <c r="B1282" s="223"/>
      <c r="C1282" s="344"/>
      <c r="D1282" s="213"/>
      <c r="E1282" s="350"/>
      <c r="F1282" s="231"/>
    </row>
    <row r="1283" spans="1:6" ht="21.75" customHeight="1">
      <c r="A1283" s="232"/>
      <c r="B1283" s="223"/>
      <c r="C1283" s="344"/>
      <c r="D1283" s="213"/>
      <c r="E1283" s="350"/>
      <c r="F1283" s="231"/>
    </row>
    <row r="1284" spans="1:6" ht="21.75" customHeight="1">
      <c r="A1284" s="232"/>
      <c r="B1284" s="223"/>
      <c r="C1284" s="344"/>
      <c r="D1284" s="213"/>
      <c r="E1284" s="350"/>
      <c r="F1284" s="231"/>
    </row>
    <row r="1285" spans="1:6" ht="21.75" customHeight="1">
      <c r="A1285" s="232"/>
      <c r="B1285" s="223"/>
      <c r="C1285" s="344"/>
      <c r="D1285" s="213"/>
      <c r="E1285" s="350"/>
      <c r="F1285" s="231"/>
    </row>
    <row r="1286" spans="1:6" ht="21.75" customHeight="1">
      <c r="A1286" s="232"/>
      <c r="B1286" s="212" t="e">
        <f>VLOOKUP(A1286,[1]Daily!$A$1:$C$65536,3,FALSE)</f>
        <v>#N/A</v>
      </c>
      <c r="C1286" s="343"/>
      <c r="D1286" s="233"/>
      <c r="E1286" s="353"/>
      <c r="F1286" s="235"/>
    </row>
    <row r="1287" spans="1:6" ht="21.75" customHeight="1">
      <c r="A1287" s="232"/>
      <c r="B1287" s="212" t="e">
        <f>VLOOKUP(A1287,[1]Daily!$A$1:$C$65536,3,FALSE)</f>
        <v>#N/A</v>
      </c>
      <c r="C1287" s="343"/>
      <c r="D1287" s="213"/>
      <c r="E1287" s="350"/>
      <c r="F1287" s="231"/>
    </row>
    <row r="1288" spans="1:6" ht="21.75" customHeight="1">
      <c r="A1288" s="232"/>
      <c r="B1288" s="212" t="e">
        <f>VLOOKUP(A1288,[1]Daily!$A$1:$C$65536,3,FALSE)</f>
        <v>#N/A</v>
      </c>
      <c r="C1288" s="343"/>
      <c r="D1288" s="213"/>
      <c r="E1288" s="350"/>
      <c r="F1288" s="231"/>
    </row>
    <row r="1289" spans="1:6" ht="21.75" customHeight="1">
      <c r="A1289" s="232"/>
      <c r="B1289" s="212" t="e">
        <f>VLOOKUP(A1289,[1]Daily!$A$1:$C$65536,3,FALSE)</f>
        <v>#N/A</v>
      </c>
      <c r="C1289" s="343"/>
      <c r="D1289" s="213"/>
      <c r="E1289" s="350"/>
      <c r="F1289" s="231"/>
    </row>
    <row r="1290" spans="1:6" ht="21.75" customHeight="1">
      <c r="A1290" s="232"/>
      <c r="B1290" s="212" t="e">
        <f>VLOOKUP(A1290,[1]Daily!$A$1:$C$65536,3,FALSE)</f>
        <v>#N/A</v>
      </c>
      <c r="C1290" s="343"/>
      <c r="D1290" s="213"/>
      <c r="E1290" s="350"/>
      <c r="F1290" s="231"/>
    </row>
    <row r="1291" spans="1:6" ht="21.75" customHeight="1">
      <c r="A1291" s="232"/>
      <c r="B1291" s="212" t="e">
        <f>VLOOKUP(A1291,[1]Daily!$A$1:$C$65536,3,FALSE)</f>
        <v>#N/A</v>
      </c>
      <c r="C1291" s="343"/>
      <c r="D1291" s="213"/>
      <c r="E1291" s="350"/>
      <c r="F1291" s="231"/>
    </row>
    <row r="1292" spans="1:6" ht="21.75" customHeight="1">
      <c r="A1292" s="232"/>
      <c r="B1292" s="212" t="e">
        <f>VLOOKUP(A1292,[1]Daily!$A$1:$C$65536,3,FALSE)</f>
        <v>#N/A</v>
      </c>
      <c r="C1292" s="343"/>
      <c r="D1292" s="213"/>
      <c r="E1292" s="350"/>
      <c r="F1292" s="231"/>
    </row>
    <row r="1293" spans="1:6" ht="21.75" customHeight="1">
      <c r="A1293" s="232"/>
      <c r="B1293" s="212" t="e">
        <f>VLOOKUP(A1293,[1]Daily!$A$1:$C$65536,3,FALSE)</f>
        <v>#N/A</v>
      </c>
      <c r="C1293" s="343"/>
      <c r="D1293" s="213"/>
      <c r="E1293" s="350"/>
      <c r="F1293" s="231"/>
    </row>
    <row r="1294" spans="1:6" ht="21.75" customHeight="1">
      <c r="A1294" s="232"/>
      <c r="B1294" s="212" t="e">
        <f>VLOOKUP(A1294,[1]Daily!$A$1:$C$65536,3,FALSE)</f>
        <v>#N/A</v>
      </c>
      <c r="C1294" s="343"/>
      <c r="D1294" s="213"/>
      <c r="E1294" s="350"/>
      <c r="F1294" s="231"/>
    </row>
    <row r="1295" spans="1:6" ht="21.75" customHeight="1">
      <c r="A1295" s="232"/>
      <c r="B1295" s="212" t="e">
        <f>VLOOKUP(A1295,[1]Daily!$A$1:$C$65536,3,FALSE)</f>
        <v>#N/A</v>
      </c>
      <c r="C1295" s="343"/>
      <c r="D1295" s="213"/>
      <c r="E1295" s="350"/>
      <c r="F1295" s="231"/>
    </row>
    <row r="1296" spans="1:6" ht="21.75" customHeight="1">
      <c r="A1296" s="232"/>
      <c r="B1296" s="212" t="e">
        <f>VLOOKUP(A1296,[1]Daily!$A$1:$C$65536,3,FALSE)</f>
        <v>#N/A</v>
      </c>
      <c r="C1296" s="343"/>
      <c r="D1296" s="213"/>
      <c r="E1296" s="350"/>
      <c r="F1296" s="231"/>
    </row>
    <row r="1297" spans="1:6" ht="21.75" customHeight="1">
      <c r="A1297" s="232"/>
      <c r="B1297" s="212" t="e">
        <f>VLOOKUP(A1297,[1]Daily!$A$1:$C$65536,3,FALSE)</f>
        <v>#N/A</v>
      </c>
      <c r="C1297" s="343"/>
      <c r="D1297" s="213"/>
      <c r="E1297" s="350"/>
      <c r="F1297" s="231"/>
    </row>
    <row r="1298" spans="1:6" ht="21.75" customHeight="1">
      <c r="A1298" s="232"/>
      <c r="B1298" s="212" t="e">
        <f>VLOOKUP(A1298,[1]Daily!$A$1:$C$65536,3,FALSE)</f>
        <v>#N/A</v>
      </c>
      <c r="C1298" s="343"/>
      <c r="D1298" s="213"/>
      <c r="E1298" s="350"/>
      <c r="F1298" s="231"/>
    </row>
    <row r="1299" spans="1:6" ht="21.75" customHeight="1">
      <c r="A1299" s="232"/>
      <c r="B1299" s="212" t="e">
        <f>VLOOKUP(A1299,[1]Daily!$A$1:$C$65536,3,FALSE)</f>
        <v>#N/A</v>
      </c>
      <c r="C1299" s="343"/>
      <c r="D1299" s="213"/>
      <c r="E1299" s="350"/>
      <c r="F1299" s="231"/>
    </row>
    <row r="1300" spans="1:6" ht="21.75" customHeight="1">
      <c r="A1300" s="232"/>
      <c r="B1300" s="212" t="e">
        <f>VLOOKUP(A1300,[1]Daily!$A$1:$C$65536,3,FALSE)</f>
        <v>#N/A</v>
      </c>
      <c r="C1300" s="343"/>
      <c r="D1300" s="213"/>
      <c r="E1300" s="350"/>
      <c r="F1300" s="236"/>
    </row>
  </sheetData>
  <autoFilter ref="A5:U359"/>
  <mergeCells count="5">
    <mergeCell ref="A4:A5"/>
    <mergeCell ref="B4:B5"/>
    <mergeCell ref="C4:C5"/>
    <mergeCell ref="D4:D5"/>
    <mergeCell ref="F4:F5"/>
  </mergeCells>
  <phoneticPr fontId="73" type="noConversion"/>
  <printOptions horizontalCentered="1"/>
  <pageMargins left="0.15748031496063" right="0.39370078740157499" top="0.78740157480314998" bottom="0.39370078740157499" header="0.31496062992126" footer="0"/>
  <pageSetup paperSize="9" scale="10" orientation="landscape"/>
  <headerFooter alignWithMargins="0">
    <oddFooter>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WVM1282"/>
  <sheetViews>
    <sheetView showGridLines="0" zoomScale="85" zoomScaleNormal="85" workbookViewId="0">
      <pane ySplit="5" topLeftCell="A124" activePane="bottomLeft" state="frozen"/>
      <selection pane="bottomLeft" activeCell="F143" sqref="F143"/>
    </sheetView>
  </sheetViews>
  <sheetFormatPr defaultColWidth="10" defaultRowHeight="21.75" customHeight="1"/>
  <cols>
    <col min="1" max="1" width="21.125" style="201" customWidth="1"/>
    <col min="2" max="2" width="26.125" style="202" customWidth="1"/>
    <col min="3" max="3" width="16.625" style="345" customWidth="1"/>
    <col min="4" max="4" width="24.375" style="201" hidden="1" customWidth="1"/>
    <col min="5" max="5" width="16.875" style="202" customWidth="1"/>
    <col min="6" max="6" width="37.25" style="203" customWidth="1"/>
    <col min="7" max="7" width="10" style="204"/>
    <col min="8" max="8" width="22.25" style="204" customWidth="1"/>
    <col min="9" max="244" width="10" style="204"/>
    <col min="245" max="245" width="12.375" style="204" customWidth="1"/>
    <col min="246" max="246" width="10" style="204" hidden="1" customWidth="1"/>
    <col min="247" max="247" width="23.75" style="204" customWidth="1"/>
    <col min="248" max="249" width="10" style="204" hidden="1" customWidth="1"/>
    <col min="250" max="250" width="16.375" style="204" customWidth="1"/>
    <col min="251" max="251" width="10.375" style="204" customWidth="1"/>
    <col min="252" max="252" width="12.875" style="204" customWidth="1"/>
    <col min="253" max="253" width="13.25" style="204" customWidth="1"/>
    <col min="254" max="254" width="14" style="204" customWidth="1"/>
    <col min="255" max="255" width="13.625" style="204" customWidth="1"/>
    <col min="256" max="257" width="10" style="204" hidden="1" customWidth="1"/>
    <col min="258" max="258" width="37.25" style="204" customWidth="1"/>
    <col min="259" max="261" width="10" style="204" hidden="1" customWidth="1"/>
    <col min="262" max="262" width="8.625" style="204" customWidth="1"/>
    <col min="263" max="263" width="10" style="204"/>
    <col min="264" max="264" width="22.25" style="204" customWidth="1"/>
    <col min="265" max="500" width="10" style="204"/>
    <col min="501" max="501" width="12.375" style="204" customWidth="1"/>
    <col min="502" max="502" width="10" style="204" hidden="1" customWidth="1"/>
    <col min="503" max="503" width="23.75" style="204" customWidth="1"/>
    <col min="504" max="505" width="10" style="204" hidden="1" customWidth="1"/>
    <col min="506" max="506" width="16.375" style="204" customWidth="1"/>
    <col min="507" max="507" width="10.375" style="204" customWidth="1"/>
    <col min="508" max="508" width="12.875" style="204" customWidth="1"/>
    <col min="509" max="509" width="13.25" style="204" customWidth="1"/>
    <col min="510" max="510" width="14" style="204" customWidth="1"/>
    <col min="511" max="511" width="13.625" style="204" customWidth="1"/>
    <col min="512" max="513" width="10" style="204" hidden="1" customWidth="1"/>
    <col min="514" max="514" width="37.25" style="204" customWidth="1"/>
    <col min="515" max="517" width="10" style="204" hidden="1" customWidth="1"/>
    <col min="518" max="518" width="8.625" style="204" customWidth="1"/>
    <col min="519" max="519" width="10" style="204"/>
    <col min="520" max="520" width="22.25" style="204" customWidth="1"/>
    <col min="521" max="756" width="10" style="204"/>
    <col min="757" max="757" width="12.375" style="204" customWidth="1"/>
    <col min="758" max="758" width="10" style="204" hidden="1" customWidth="1"/>
    <col min="759" max="759" width="23.75" style="204" customWidth="1"/>
    <col min="760" max="761" width="10" style="204" hidden="1" customWidth="1"/>
    <col min="762" max="762" width="16.375" style="204" customWidth="1"/>
    <col min="763" max="763" width="10.375" style="204" customWidth="1"/>
    <col min="764" max="764" width="12.875" style="204" customWidth="1"/>
    <col min="765" max="765" width="13.25" style="204" customWidth="1"/>
    <col min="766" max="766" width="14" style="204" customWidth="1"/>
    <col min="767" max="767" width="13.625" style="204" customWidth="1"/>
    <col min="768" max="769" width="10" style="204" hidden="1" customWidth="1"/>
    <col min="770" max="770" width="37.25" style="204" customWidth="1"/>
    <col min="771" max="773" width="10" style="204" hidden="1" customWidth="1"/>
    <col min="774" max="774" width="8.625" style="204" customWidth="1"/>
    <col min="775" max="775" width="10" style="204"/>
    <col min="776" max="776" width="22.25" style="204" customWidth="1"/>
    <col min="777" max="1012" width="10" style="204"/>
    <col min="1013" max="1013" width="12.375" style="204" customWidth="1"/>
    <col min="1014" max="1014" width="10" style="204" hidden="1" customWidth="1"/>
    <col min="1015" max="1015" width="23.75" style="204" customWidth="1"/>
    <col min="1016" max="1017" width="10" style="204" hidden="1" customWidth="1"/>
    <col min="1018" max="1018" width="16.375" style="204" customWidth="1"/>
    <col min="1019" max="1019" width="10.375" style="204" customWidth="1"/>
    <col min="1020" max="1020" width="12.875" style="204" customWidth="1"/>
    <col min="1021" max="1021" width="13.25" style="204" customWidth="1"/>
    <col min="1022" max="1022" width="14" style="204" customWidth="1"/>
    <col min="1023" max="1023" width="13.625" style="204" customWidth="1"/>
    <col min="1024" max="1025" width="10" style="204" hidden="1" customWidth="1"/>
    <col min="1026" max="1026" width="37.25" style="204" customWidth="1"/>
    <col min="1027" max="1029" width="10" style="204" hidden="1" customWidth="1"/>
    <col min="1030" max="1030" width="8.625" style="204" customWidth="1"/>
    <col min="1031" max="1031" width="10" style="204"/>
    <col min="1032" max="1032" width="22.25" style="204" customWidth="1"/>
    <col min="1033" max="1268" width="10" style="204"/>
    <col min="1269" max="1269" width="12.375" style="204" customWidth="1"/>
    <col min="1270" max="1270" width="10" style="204" hidden="1" customWidth="1"/>
    <col min="1271" max="1271" width="23.75" style="204" customWidth="1"/>
    <col min="1272" max="1273" width="10" style="204" hidden="1" customWidth="1"/>
    <col min="1274" max="1274" width="16.375" style="204" customWidth="1"/>
    <col min="1275" max="1275" width="10.375" style="204" customWidth="1"/>
    <col min="1276" max="1276" width="12.875" style="204" customWidth="1"/>
    <col min="1277" max="1277" width="13.25" style="204" customWidth="1"/>
    <col min="1278" max="1278" width="14" style="204" customWidth="1"/>
    <col min="1279" max="1279" width="13.625" style="204" customWidth="1"/>
    <col min="1280" max="1281" width="10" style="204" hidden="1" customWidth="1"/>
    <col min="1282" max="1282" width="37.25" style="204" customWidth="1"/>
    <col min="1283" max="1285" width="10" style="204" hidden="1" customWidth="1"/>
    <col min="1286" max="1286" width="8.625" style="204" customWidth="1"/>
    <col min="1287" max="1287" width="10" style="204"/>
    <col min="1288" max="1288" width="22.25" style="204" customWidth="1"/>
    <col min="1289" max="1524" width="10" style="204"/>
    <col min="1525" max="1525" width="12.375" style="204" customWidth="1"/>
    <col min="1526" max="1526" width="10" style="204" hidden="1" customWidth="1"/>
    <col min="1527" max="1527" width="23.75" style="204" customWidth="1"/>
    <col min="1528" max="1529" width="10" style="204" hidden="1" customWidth="1"/>
    <col min="1530" max="1530" width="16.375" style="204" customWidth="1"/>
    <col min="1531" max="1531" width="10.375" style="204" customWidth="1"/>
    <col min="1532" max="1532" width="12.875" style="204" customWidth="1"/>
    <col min="1533" max="1533" width="13.25" style="204" customWidth="1"/>
    <col min="1534" max="1534" width="14" style="204" customWidth="1"/>
    <col min="1535" max="1535" width="13.625" style="204" customWidth="1"/>
    <col min="1536" max="1537" width="10" style="204" hidden="1" customWidth="1"/>
    <col min="1538" max="1538" width="37.25" style="204" customWidth="1"/>
    <col min="1539" max="1541" width="10" style="204" hidden="1" customWidth="1"/>
    <col min="1542" max="1542" width="8.625" style="204" customWidth="1"/>
    <col min="1543" max="1543" width="10" style="204"/>
    <col min="1544" max="1544" width="22.25" style="204" customWidth="1"/>
    <col min="1545" max="1780" width="10" style="204"/>
    <col min="1781" max="1781" width="12.375" style="204" customWidth="1"/>
    <col min="1782" max="1782" width="10" style="204" hidden="1" customWidth="1"/>
    <col min="1783" max="1783" width="23.75" style="204" customWidth="1"/>
    <col min="1784" max="1785" width="10" style="204" hidden="1" customWidth="1"/>
    <col min="1786" max="1786" width="16.375" style="204" customWidth="1"/>
    <col min="1787" max="1787" width="10.375" style="204" customWidth="1"/>
    <col min="1788" max="1788" width="12.875" style="204" customWidth="1"/>
    <col min="1789" max="1789" width="13.25" style="204" customWidth="1"/>
    <col min="1790" max="1790" width="14" style="204" customWidth="1"/>
    <col min="1791" max="1791" width="13.625" style="204" customWidth="1"/>
    <col min="1792" max="1793" width="10" style="204" hidden="1" customWidth="1"/>
    <col min="1794" max="1794" width="37.25" style="204" customWidth="1"/>
    <col min="1795" max="1797" width="10" style="204" hidden="1" customWidth="1"/>
    <col min="1798" max="1798" width="8.625" style="204" customWidth="1"/>
    <col min="1799" max="1799" width="10" style="204"/>
    <col min="1800" max="1800" width="22.25" style="204" customWidth="1"/>
    <col min="1801" max="2036" width="10" style="204"/>
    <col min="2037" max="2037" width="12.375" style="204" customWidth="1"/>
    <col min="2038" max="2038" width="10" style="204" hidden="1" customWidth="1"/>
    <col min="2039" max="2039" width="23.75" style="204" customWidth="1"/>
    <col min="2040" max="2041" width="10" style="204" hidden="1" customWidth="1"/>
    <col min="2042" max="2042" width="16.375" style="204" customWidth="1"/>
    <col min="2043" max="2043" width="10.375" style="204" customWidth="1"/>
    <col min="2044" max="2044" width="12.875" style="204" customWidth="1"/>
    <col min="2045" max="2045" width="13.25" style="204" customWidth="1"/>
    <col min="2046" max="2046" width="14" style="204" customWidth="1"/>
    <col min="2047" max="2047" width="13.625" style="204" customWidth="1"/>
    <col min="2048" max="2049" width="10" style="204" hidden="1" customWidth="1"/>
    <col min="2050" max="2050" width="37.25" style="204" customWidth="1"/>
    <col min="2051" max="2053" width="10" style="204" hidden="1" customWidth="1"/>
    <col min="2054" max="2054" width="8.625" style="204" customWidth="1"/>
    <col min="2055" max="2055" width="10" style="204"/>
    <col min="2056" max="2056" width="22.25" style="204" customWidth="1"/>
    <col min="2057" max="2292" width="10" style="204"/>
    <col min="2293" max="2293" width="12.375" style="204" customWidth="1"/>
    <col min="2294" max="2294" width="10" style="204" hidden="1" customWidth="1"/>
    <col min="2295" max="2295" width="23.75" style="204" customWidth="1"/>
    <col min="2296" max="2297" width="10" style="204" hidden="1" customWidth="1"/>
    <col min="2298" max="2298" width="16.375" style="204" customWidth="1"/>
    <col min="2299" max="2299" width="10.375" style="204" customWidth="1"/>
    <col min="2300" max="2300" width="12.875" style="204" customWidth="1"/>
    <col min="2301" max="2301" width="13.25" style="204" customWidth="1"/>
    <col min="2302" max="2302" width="14" style="204" customWidth="1"/>
    <col min="2303" max="2303" width="13.625" style="204" customWidth="1"/>
    <col min="2304" max="2305" width="10" style="204" hidden="1" customWidth="1"/>
    <col min="2306" max="2306" width="37.25" style="204" customWidth="1"/>
    <col min="2307" max="2309" width="10" style="204" hidden="1" customWidth="1"/>
    <col min="2310" max="2310" width="8.625" style="204" customWidth="1"/>
    <col min="2311" max="2311" width="10" style="204"/>
    <col min="2312" max="2312" width="22.25" style="204" customWidth="1"/>
    <col min="2313" max="2548" width="10" style="204"/>
    <col min="2549" max="2549" width="12.375" style="204" customWidth="1"/>
    <col min="2550" max="2550" width="10" style="204" hidden="1" customWidth="1"/>
    <col min="2551" max="2551" width="23.75" style="204" customWidth="1"/>
    <col min="2552" max="2553" width="10" style="204" hidden="1" customWidth="1"/>
    <col min="2554" max="2554" width="16.375" style="204" customWidth="1"/>
    <col min="2555" max="2555" width="10.375" style="204" customWidth="1"/>
    <col min="2556" max="2556" width="12.875" style="204" customWidth="1"/>
    <col min="2557" max="2557" width="13.25" style="204" customWidth="1"/>
    <col min="2558" max="2558" width="14" style="204" customWidth="1"/>
    <col min="2559" max="2559" width="13.625" style="204" customWidth="1"/>
    <col min="2560" max="2561" width="10" style="204" hidden="1" customWidth="1"/>
    <col min="2562" max="2562" width="37.25" style="204" customWidth="1"/>
    <col min="2563" max="2565" width="10" style="204" hidden="1" customWidth="1"/>
    <col min="2566" max="2566" width="8.625" style="204" customWidth="1"/>
    <col min="2567" max="2567" width="10" style="204"/>
    <col min="2568" max="2568" width="22.25" style="204" customWidth="1"/>
    <col min="2569" max="2804" width="10" style="204"/>
    <col min="2805" max="2805" width="12.375" style="204" customWidth="1"/>
    <col min="2806" max="2806" width="10" style="204" hidden="1" customWidth="1"/>
    <col min="2807" max="2807" width="23.75" style="204" customWidth="1"/>
    <col min="2808" max="2809" width="10" style="204" hidden="1" customWidth="1"/>
    <col min="2810" max="2810" width="16.375" style="204" customWidth="1"/>
    <col min="2811" max="2811" width="10.375" style="204" customWidth="1"/>
    <col min="2812" max="2812" width="12.875" style="204" customWidth="1"/>
    <col min="2813" max="2813" width="13.25" style="204" customWidth="1"/>
    <col min="2814" max="2814" width="14" style="204" customWidth="1"/>
    <col min="2815" max="2815" width="13.625" style="204" customWidth="1"/>
    <col min="2816" max="2817" width="10" style="204" hidden="1" customWidth="1"/>
    <col min="2818" max="2818" width="37.25" style="204" customWidth="1"/>
    <col min="2819" max="2821" width="10" style="204" hidden="1" customWidth="1"/>
    <col min="2822" max="2822" width="8.625" style="204" customWidth="1"/>
    <col min="2823" max="2823" width="10" style="204"/>
    <col min="2824" max="2824" width="22.25" style="204" customWidth="1"/>
    <col min="2825" max="3060" width="10" style="204"/>
    <col min="3061" max="3061" width="12.375" style="204" customWidth="1"/>
    <col min="3062" max="3062" width="10" style="204" hidden="1" customWidth="1"/>
    <col min="3063" max="3063" width="23.75" style="204" customWidth="1"/>
    <col min="3064" max="3065" width="10" style="204" hidden="1" customWidth="1"/>
    <col min="3066" max="3066" width="16.375" style="204" customWidth="1"/>
    <col min="3067" max="3067" width="10.375" style="204" customWidth="1"/>
    <col min="3068" max="3068" width="12.875" style="204" customWidth="1"/>
    <col min="3069" max="3069" width="13.25" style="204" customWidth="1"/>
    <col min="3070" max="3070" width="14" style="204" customWidth="1"/>
    <col min="3071" max="3071" width="13.625" style="204" customWidth="1"/>
    <col min="3072" max="3073" width="10" style="204" hidden="1" customWidth="1"/>
    <col min="3074" max="3074" width="37.25" style="204" customWidth="1"/>
    <col min="3075" max="3077" width="10" style="204" hidden="1" customWidth="1"/>
    <col min="3078" max="3078" width="8.625" style="204" customWidth="1"/>
    <col min="3079" max="3079" width="10" style="204"/>
    <col min="3080" max="3080" width="22.25" style="204" customWidth="1"/>
    <col min="3081" max="3316" width="10" style="204"/>
    <col min="3317" max="3317" width="12.375" style="204" customWidth="1"/>
    <col min="3318" max="3318" width="10" style="204" hidden="1" customWidth="1"/>
    <col min="3319" max="3319" width="23.75" style="204" customWidth="1"/>
    <col min="3320" max="3321" width="10" style="204" hidden="1" customWidth="1"/>
    <col min="3322" max="3322" width="16.375" style="204" customWidth="1"/>
    <col min="3323" max="3323" width="10.375" style="204" customWidth="1"/>
    <col min="3324" max="3324" width="12.875" style="204" customWidth="1"/>
    <col min="3325" max="3325" width="13.25" style="204" customWidth="1"/>
    <col min="3326" max="3326" width="14" style="204" customWidth="1"/>
    <col min="3327" max="3327" width="13.625" style="204" customWidth="1"/>
    <col min="3328" max="3329" width="10" style="204" hidden="1" customWidth="1"/>
    <col min="3330" max="3330" width="37.25" style="204" customWidth="1"/>
    <col min="3331" max="3333" width="10" style="204" hidden="1" customWidth="1"/>
    <col min="3334" max="3334" width="8.625" style="204" customWidth="1"/>
    <col min="3335" max="3335" width="10" style="204"/>
    <col min="3336" max="3336" width="22.25" style="204" customWidth="1"/>
    <col min="3337" max="3572" width="10" style="204"/>
    <col min="3573" max="3573" width="12.375" style="204" customWidth="1"/>
    <col min="3574" max="3574" width="10" style="204" hidden="1" customWidth="1"/>
    <col min="3575" max="3575" width="23.75" style="204" customWidth="1"/>
    <col min="3576" max="3577" width="10" style="204" hidden="1" customWidth="1"/>
    <col min="3578" max="3578" width="16.375" style="204" customWidth="1"/>
    <col min="3579" max="3579" width="10.375" style="204" customWidth="1"/>
    <col min="3580" max="3580" width="12.875" style="204" customWidth="1"/>
    <col min="3581" max="3581" width="13.25" style="204" customWidth="1"/>
    <col min="3582" max="3582" width="14" style="204" customWidth="1"/>
    <col min="3583" max="3583" width="13.625" style="204" customWidth="1"/>
    <col min="3584" max="3585" width="10" style="204" hidden="1" customWidth="1"/>
    <col min="3586" max="3586" width="37.25" style="204" customWidth="1"/>
    <col min="3587" max="3589" width="10" style="204" hidden="1" customWidth="1"/>
    <col min="3590" max="3590" width="8.625" style="204" customWidth="1"/>
    <col min="3591" max="3591" width="10" style="204"/>
    <col min="3592" max="3592" width="22.25" style="204" customWidth="1"/>
    <col min="3593" max="3828" width="10" style="204"/>
    <col min="3829" max="3829" width="12.375" style="204" customWidth="1"/>
    <col min="3830" max="3830" width="10" style="204" hidden="1" customWidth="1"/>
    <col min="3831" max="3831" width="23.75" style="204" customWidth="1"/>
    <col min="3832" max="3833" width="10" style="204" hidden="1" customWidth="1"/>
    <col min="3834" max="3834" width="16.375" style="204" customWidth="1"/>
    <col min="3835" max="3835" width="10.375" style="204" customWidth="1"/>
    <col min="3836" max="3836" width="12.875" style="204" customWidth="1"/>
    <col min="3837" max="3837" width="13.25" style="204" customWidth="1"/>
    <col min="3838" max="3838" width="14" style="204" customWidth="1"/>
    <col min="3839" max="3839" width="13.625" style="204" customWidth="1"/>
    <col min="3840" max="3841" width="10" style="204" hidden="1" customWidth="1"/>
    <col min="3842" max="3842" width="37.25" style="204" customWidth="1"/>
    <col min="3843" max="3845" width="10" style="204" hidden="1" customWidth="1"/>
    <col min="3846" max="3846" width="8.625" style="204" customWidth="1"/>
    <col min="3847" max="3847" width="10" style="204"/>
    <col min="3848" max="3848" width="22.25" style="204" customWidth="1"/>
    <col min="3849" max="4084" width="10" style="204"/>
    <col min="4085" max="4085" width="12.375" style="204" customWidth="1"/>
    <col min="4086" max="4086" width="10" style="204" hidden="1" customWidth="1"/>
    <col min="4087" max="4087" width="23.75" style="204" customWidth="1"/>
    <col min="4088" max="4089" width="10" style="204" hidden="1" customWidth="1"/>
    <col min="4090" max="4090" width="16.375" style="204" customWidth="1"/>
    <col min="4091" max="4091" width="10.375" style="204" customWidth="1"/>
    <col min="4092" max="4092" width="12.875" style="204" customWidth="1"/>
    <col min="4093" max="4093" width="13.25" style="204" customWidth="1"/>
    <col min="4094" max="4094" width="14" style="204" customWidth="1"/>
    <col min="4095" max="4095" width="13.625" style="204" customWidth="1"/>
    <col min="4096" max="4097" width="10" style="204" hidden="1" customWidth="1"/>
    <col min="4098" max="4098" width="37.25" style="204" customWidth="1"/>
    <col min="4099" max="4101" width="10" style="204" hidden="1" customWidth="1"/>
    <col min="4102" max="4102" width="8.625" style="204" customWidth="1"/>
    <col min="4103" max="4103" width="10" style="204"/>
    <col min="4104" max="4104" width="22.25" style="204" customWidth="1"/>
    <col min="4105" max="4340" width="10" style="204"/>
    <col min="4341" max="4341" width="12.375" style="204" customWidth="1"/>
    <col min="4342" max="4342" width="10" style="204" hidden="1" customWidth="1"/>
    <col min="4343" max="4343" width="23.75" style="204" customWidth="1"/>
    <col min="4344" max="4345" width="10" style="204" hidden="1" customWidth="1"/>
    <col min="4346" max="4346" width="16.375" style="204" customWidth="1"/>
    <col min="4347" max="4347" width="10.375" style="204" customWidth="1"/>
    <col min="4348" max="4348" width="12.875" style="204" customWidth="1"/>
    <col min="4349" max="4349" width="13.25" style="204" customWidth="1"/>
    <col min="4350" max="4350" width="14" style="204" customWidth="1"/>
    <col min="4351" max="4351" width="13.625" style="204" customWidth="1"/>
    <col min="4352" max="4353" width="10" style="204" hidden="1" customWidth="1"/>
    <col min="4354" max="4354" width="37.25" style="204" customWidth="1"/>
    <col min="4355" max="4357" width="10" style="204" hidden="1" customWidth="1"/>
    <col min="4358" max="4358" width="8.625" style="204" customWidth="1"/>
    <col min="4359" max="4359" width="10" style="204"/>
    <col min="4360" max="4360" width="22.25" style="204" customWidth="1"/>
    <col min="4361" max="4596" width="10" style="204"/>
    <col min="4597" max="4597" width="12.375" style="204" customWidth="1"/>
    <col min="4598" max="4598" width="10" style="204" hidden="1" customWidth="1"/>
    <col min="4599" max="4599" width="23.75" style="204" customWidth="1"/>
    <col min="4600" max="4601" width="10" style="204" hidden="1" customWidth="1"/>
    <col min="4602" max="4602" width="16.375" style="204" customWidth="1"/>
    <col min="4603" max="4603" width="10.375" style="204" customWidth="1"/>
    <col min="4604" max="4604" width="12.875" style="204" customWidth="1"/>
    <col min="4605" max="4605" width="13.25" style="204" customWidth="1"/>
    <col min="4606" max="4606" width="14" style="204" customWidth="1"/>
    <col min="4607" max="4607" width="13.625" style="204" customWidth="1"/>
    <col min="4608" max="4609" width="10" style="204" hidden="1" customWidth="1"/>
    <col min="4610" max="4610" width="37.25" style="204" customWidth="1"/>
    <col min="4611" max="4613" width="10" style="204" hidden="1" customWidth="1"/>
    <col min="4614" max="4614" width="8.625" style="204" customWidth="1"/>
    <col min="4615" max="4615" width="10" style="204"/>
    <col min="4616" max="4616" width="22.25" style="204" customWidth="1"/>
    <col min="4617" max="4852" width="10" style="204"/>
    <col min="4853" max="4853" width="12.375" style="204" customWidth="1"/>
    <col min="4854" max="4854" width="10" style="204" hidden="1" customWidth="1"/>
    <col min="4855" max="4855" width="23.75" style="204" customWidth="1"/>
    <col min="4856" max="4857" width="10" style="204" hidden="1" customWidth="1"/>
    <col min="4858" max="4858" width="16.375" style="204" customWidth="1"/>
    <col min="4859" max="4859" width="10.375" style="204" customWidth="1"/>
    <col min="4860" max="4860" width="12.875" style="204" customWidth="1"/>
    <col min="4861" max="4861" width="13.25" style="204" customWidth="1"/>
    <col min="4862" max="4862" width="14" style="204" customWidth="1"/>
    <col min="4863" max="4863" width="13.625" style="204" customWidth="1"/>
    <col min="4864" max="4865" width="10" style="204" hidden="1" customWidth="1"/>
    <col min="4866" max="4866" width="37.25" style="204" customWidth="1"/>
    <col min="4867" max="4869" width="10" style="204" hidden="1" customWidth="1"/>
    <col min="4870" max="4870" width="8.625" style="204" customWidth="1"/>
    <col min="4871" max="4871" width="10" style="204"/>
    <col min="4872" max="4872" width="22.25" style="204" customWidth="1"/>
    <col min="4873" max="5108" width="10" style="204"/>
    <col min="5109" max="5109" width="12.375" style="204" customWidth="1"/>
    <col min="5110" max="5110" width="10" style="204" hidden="1" customWidth="1"/>
    <col min="5111" max="5111" width="23.75" style="204" customWidth="1"/>
    <col min="5112" max="5113" width="10" style="204" hidden="1" customWidth="1"/>
    <col min="5114" max="5114" width="16.375" style="204" customWidth="1"/>
    <col min="5115" max="5115" width="10.375" style="204" customWidth="1"/>
    <col min="5116" max="5116" width="12.875" style="204" customWidth="1"/>
    <col min="5117" max="5117" width="13.25" style="204" customWidth="1"/>
    <col min="5118" max="5118" width="14" style="204" customWidth="1"/>
    <col min="5119" max="5119" width="13.625" style="204" customWidth="1"/>
    <col min="5120" max="5121" width="10" style="204" hidden="1" customWidth="1"/>
    <col min="5122" max="5122" width="37.25" style="204" customWidth="1"/>
    <col min="5123" max="5125" width="10" style="204" hidden="1" customWidth="1"/>
    <col min="5126" max="5126" width="8.625" style="204" customWidth="1"/>
    <col min="5127" max="5127" width="10" style="204"/>
    <col min="5128" max="5128" width="22.25" style="204" customWidth="1"/>
    <col min="5129" max="5364" width="10" style="204"/>
    <col min="5365" max="5365" width="12.375" style="204" customWidth="1"/>
    <col min="5366" max="5366" width="10" style="204" hidden="1" customWidth="1"/>
    <col min="5367" max="5367" width="23.75" style="204" customWidth="1"/>
    <col min="5368" max="5369" width="10" style="204" hidden="1" customWidth="1"/>
    <col min="5370" max="5370" width="16.375" style="204" customWidth="1"/>
    <col min="5371" max="5371" width="10.375" style="204" customWidth="1"/>
    <col min="5372" max="5372" width="12.875" style="204" customWidth="1"/>
    <col min="5373" max="5373" width="13.25" style="204" customWidth="1"/>
    <col min="5374" max="5374" width="14" style="204" customWidth="1"/>
    <col min="5375" max="5375" width="13.625" style="204" customWidth="1"/>
    <col min="5376" max="5377" width="10" style="204" hidden="1" customWidth="1"/>
    <col min="5378" max="5378" width="37.25" style="204" customWidth="1"/>
    <col min="5379" max="5381" width="10" style="204" hidden="1" customWidth="1"/>
    <col min="5382" max="5382" width="8.625" style="204" customWidth="1"/>
    <col min="5383" max="5383" width="10" style="204"/>
    <col min="5384" max="5384" width="22.25" style="204" customWidth="1"/>
    <col min="5385" max="5620" width="10" style="204"/>
    <col min="5621" max="5621" width="12.375" style="204" customWidth="1"/>
    <col min="5622" max="5622" width="10" style="204" hidden="1" customWidth="1"/>
    <col min="5623" max="5623" width="23.75" style="204" customWidth="1"/>
    <col min="5624" max="5625" width="10" style="204" hidden="1" customWidth="1"/>
    <col min="5626" max="5626" width="16.375" style="204" customWidth="1"/>
    <col min="5627" max="5627" width="10.375" style="204" customWidth="1"/>
    <col min="5628" max="5628" width="12.875" style="204" customWidth="1"/>
    <col min="5629" max="5629" width="13.25" style="204" customWidth="1"/>
    <col min="5630" max="5630" width="14" style="204" customWidth="1"/>
    <col min="5631" max="5631" width="13.625" style="204" customWidth="1"/>
    <col min="5632" max="5633" width="10" style="204" hidden="1" customWidth="1"/>
    <col min="5634" max="5634" width="37.25" style="204" customWidth="1"/>
    <col min="5635" max="5637" width="10" style="204" hidden="1" customWidth="1"/>
    <col min="5638" max="5638" width="8.625" style="204" customWidth="1"/>
    <col min="5639" max="5639" width="10" style="204"/>
    <col min="5640" max="5640" width="22.25" style="204" customWidth="1"/>
    <col min="5641" max="5876" width="10" style="204"/>
    <col min="5877" max="5877" width="12.375" style="204" customWidth="1"/>
    <col min="5878" max="5878" width="10" style="204" hidden="1" customWidth="1"/>
    <col min="5879" max="5879" width="23.75" style="204" customWidth="1"/>
    <col min="5880" max="5881" width="10" style="204" hidden="1" customWidth="1"/>
    <col min="5882" max="5882" width="16.375" style="204" customWidth="1"/>
    <col min="5883" max="5883" width="10.375" style="204" customWidth="1"/>
    <col min="5884" max="5884" width="12.875" style="204" customWidth="1"/>
    <col min="5885" max="5885" width="13.25" style="204" customWidth="1"/>
    <col min="5886" max="5886" width="14" style="204" customWidth="1"/>
    <col min="5887" max="5887" width="13.625" style="204" customWidth="1"/>
    <col min="5888" max="5889" width="10" style="204" hidden="1" customWidth="1"/>
    <col min="5890" max="5890" width="37.25" style="204" customWidth="1"/>
    <col min="5891" max="5893" width="10" style="204" hidden="1" customWidth="1"/>
    <col min="5894" max="5894" width="8.625" style="204" customWidth="1"/>
    <col min="5895" max="5895" width="10" style="204"/>
    <col min="5896" max="5896" width="22.25" style="204" customWidth="1"/>
    <col min="5897" max="6132" width="10" style="204"/>
    <col min="6133" max="6133" width="12.375" style="204" customWidth="1"/>
    <col min="6134" max="6134" width="10" style="204" hidden="1" customWidth="1"/>
    <col min="6135" max="6135" width="23.75" style="204" customWidth="1"/>
    <col min="6136" max="6137" width="10" style="204" hidden="1" customWidth="1"/>
    <col min="6138" max="6138" width="16.375" style="204" customWidth="1"/>
    <col min="6139" max="6139" width="10.375" style="204" customWidth="1"/>
    <col min="6140" max="6140" width="12.875" style="204" customWidth="1"/>
    <col min="6141" max="6141" width="13.25" style="204" customWidth="1"/>
    <col min="6142" max="6142" width="14" style="204" customWidth="1"/>
    <col min="6143" max="6143" width="13.625" style="204" customWidth="1"/>
    <col min="6144" max="6145" width="10" style="204" hidden="1" customWidth="1"/>
    <col min="6146" max="6146" width="37.25" style="204" customWidth="1"/>
    <col min="6147" max="6149" width="10" style="204" hidden="1" customWidth="1"/>
    <col min="6150" max="6150" width="8.625" style="204" customWidth="1"/>
    <col min="6151" max="6151" width="10" style="204"/>
    <col min="6152" max="6152" width="22.25" style="204" customWidth="1"/>
    <col min="6153" max="6388" width="10" style="204"/>
    <col min="6389" max="6389" width="12.375" style="204" customWidth="1"/>
    <col min="6390" max="6390" width="10" style="204" hidden="1" customWidth="1"/>
    <col min="6391" max="6391" width="23.75" style="204" customWidth="1"/>
    <col min="6392" max="6393" width="10" style="204" hidden="1" customWidth="1"/>
    <col min="6394" max="6394" width="16.375" style="204" customWidth="1"/>
    <col min="6395" max="6395" width="10.375" style="204" customWidth="1"/>
    <col min="6396" max="6396" width="12.875" style="204" customWidth="1"/>
    <col min="6397" max="6397" width="13.25" style="204" customWidth="1"/>
    <col min="6398" max="6398" width="14" style="204" customWidth="1"/>
    <col min="6399" max="6399" width="13.625" style="204" customWidth="1"/>
    <col min="6400" max="6401" width="10" style="204" hidden="1" customWidth="1"/>
    <col min="6402" max="6402" width="37.25" style="204" customWidth="1"/>
    <col min="6403" max="6405" width="10" style="204" hidden="1" customWidth="1"/>
    <col min="6406" max="6406" width="8.625" style="204" customWidth="1"/>
    <col min="6407" max="6407" width="10" style="204"/>
    <col min="6408" max="6408" width="22.25" style="204" customWidth="1"/>
    <col min="6409" max="6644" width="10" style="204"/>
    <col min="6645" max="6645" width="12.375" style="204" customWidth="1"/>
    <col min="6646" max="6646" width="10" style="204" hidden="1" customWidth="1"/>
    <col min="6647" max="6647" width="23.75" style="204" customWidth="1"/>
    <col min="6648" max="6649" width="10" style="204" hidden="1" customWidth="1"/>
    <col min="6650" max="6650" width="16.375" style="204" customWidth="1"/>
    <col min="6651" max="6651" width="10.375" style="204" customWidth="1"/>
    <col min="6652" max="6652" width="12.875" style="204" customWidth="1"/>
    <col min="6653" max="6653" width="13.25" style="204" customWidth="1"/>
    <col min="6654" max="6654" width="14" style="204" customWidth="1"/>
    <col min="6655" max="6655" width="13.625" style="204" customWidth="1"/>
    <col min="6656" max="6657" width="10" style="204" hidden="1" customWidth="1"/>
    <col min="6658" max="6658" width="37.25" style="204" customWidth="1"/>
    <col min="6659" max="6661" width="10" style="204" hidden="1" customWidth="1"/>
    <col min="6662" max="6662" width="8.625" style="204" customWidth="1"/>
    <col min="6663" max="6663" width="10" style="204"/>
    <col min="6664" max="6664" width="22.25" style="204" customWidth="1"/>
    <col min="6665" max="6900" width="10" style="204"/>
    <col min="6901" max="6901" width="12.375" style="204" customWidth="1"/>
    <col min="6902" max="6902" width="10" style="204" hidden="1" customWidth="1"/>
    <col min="6903" max="6903" width="23.75" style="204" customWidth="1"/>
    <col min="6904" max="6905" width="10" style="204" hidden="1" customWidth="1"/>
    <col min="6906" max="6906" width="16.375" style="204" customWidth="1"/>
    <col min="6907" max="6907" width="10.375" style="204" customWidth="1"/>
    <col min="6908" max="6908" width="12.875" style="204" customWidth="1"/>
    <col min="6909" max="6909" width="13.25" style="204" customWidth="1"/>
    <col min="6910" max="6910" width="14" style="204" customWidth="1"/>
    <col min="6911" max="6911" width="13.625" style="204" customWidth="1"/>
    <col min="6912" max="6913" width="10" style="204" hidden="1" customWidth="1"/>
    <col min="6914" max="6914" width="37.25" style="204" customWidth="1"/>
    <col min="6915" max="6917" width="10" style="204" hidden="1" customWidth="1"/>
    <col min="6918" max="6918" width="8.625" style="204" customWidth="1"/>
    <col min="6919" max="6919" width="10" style="204"/>
    <col min="6920" max="6920" width="22.25" style="204" customWidth="1"/>
    <col min="6921" max="7156" width="10" style="204"/>
    <col min="7157" max="7157" width="12.375" style="204" customWidth="1"/>
    <col min="7158" max="7158" width="10" style="204" hidden="1" customWidth="1"/>
    <col min="7159" max="7159" width="23.75" style="204" customWidth="1"/>
    <col min="7160" max="7161" width="10" style="204" hidden="1" customWidth="1"/>
    <col min="7162" max="7162" width="16.375" style="204" customWidth="1"/>
    <col min="7163" max="7163" width="10.375" style="204" customWidth="1"/>
    <col min="7164" max="7164" width="12.875" style="204" customWidth="1"/>
    <col min="7165" max="7165" width="13.25" style="204" customWidth="1"/>
    <col min="7166" max="7166" width="14" style="204" customWidth="1"/>
    <col min="7167" max="7167" width="13.625" style="204" customWidth="1"/>
    <col min="7168" max="7169" width="10" style="204" hidden="1" customWidth="1"/>
    <col min="7170" max="7170" width="37.25" style="204" customWidth="1"/>
    <col min="7171" max="7173" width="10" style="204" hidden="1" customWidth="1"/>
    <col min="7174" max="7174" width="8.625" style="204" customWidth="1"/>
    <col min="7175" max="7175" width="10" style="204"/>
    <col min="7176" max="7176" width="22.25" style="204" customWidth="1"/>
    <col min="7177" max="7412" width="10" style="204"/>
    <col min="7413" max="7413" width="12.375" style="204" customWidth="1"/>
    <col min="7414" max="7414" width="10" style="204" hidden="1" customWidth="1"/>
    <col min="7415" max="7415" width="23.75" style="204" customWidth="1"/>
    <col min="7416" max="7417" width="10" style="204" hidden="1" customWidth="1"/>
    <col min="7418" max="7418" width="16.375" style="204" customWidth="1"/>
    <col min="7419" max="7419" width="10.375" style="204" customWidth="1"/>
    <col min="7420" max="7420" width="12.875" style="204" customWidth="1"/>
    <col min="7421" max="7421" width="13.25" style="204" customWidth="1"/>
    <col min="7422" max="7422" width="14" style="204" customWidth="1"/>
    <col min="7423" max="7423" width="13.625" style="204" customWidth="1"/>
    <col min="7424" max="7425" width="10" style="204" hidden="1" customWidth="1"/>
    <col min="7426" max="7426" width="37.25" style="204" customWidth="1"/>
    <col min="7427" max="7429" width="10" style="204" hidden="1" customWidth="1"/>
    <col min="7430" max="7430" width="8.625" style="204" customWidth="1"/>
    <col min="7431" max="7431" width="10" style="204"/>
    <col min="7432" max="7432" width="22.25" style="204" customWidth="1"/>
    <col min="7433" max="7668" width="10" style="204"/>
    <col min="7669" max="7669" width="12.375" style="204" customWidth="1"/>
    <col min="7670" max="7670" width="10" style="204" hidden="1" customWidth="1"/>
    <col min="7671" max="7671" width="23.75" style="204" customWidth="1"/>
    <col min="7672" max="7673" width="10" style="204" hidden="1" customWidth="1"/>
    <col min="7674" max="7674" width="16.375" style="204" customWidth="1"/>
    <col min="7675" max="7675" width="10.375" style="204" customWidth="1"/>
    <col min="7676" max="7676" width="12.875" style="204" customWidth="1"/>
    <col min="7677" max="7677" width="13.25" style="204" customWidth="1"/>
    <col min="7678" max="7678" width="14" style="204" customWidth="1"/>
    <col min="7679" max="7679" width="13.625" style="204" customWidth="1"/>
    <col min="7680" max="7681" width="10" style="204" hidden="1" customWidth="1"/>
    <col min="7682" max="7682" width="37.25" style="204" customWidth="1"/>
    <col min="7683" max="7685" width="10" style="204" hidden="1" customWidth="1"/>
    <col min="7686" max="7686" width="8.625" style="204" customWidth="1"/>
    <col min="7687" max="7687" width="10" style="204"/>
    <col min="7688" max="7688" width="22.25" style="204" customWidth="1"/>
    <col min="7689" max="7924" width="10" style="204"/>
    <col min="7925" max="7925" width="12.375" style="204" customWidth="1"/>
    <col min="7926" max="7926" width="10" style="204" hidden="1" customWidth="1"/>
    <col min="7927" max="7927" width="23.75" style="204" customWidth="1"/>
    <col min="7928" max="7929" width="10" style="204" hidden="1" customWidth="1"/>
    <col min="7930" max="7930" width="16.375" style="204" customWidth="1"/>
    <col min="7931" max="7931" width="10.375" style="204" customWidth="1"/>
    <col min="7932" max="7932" width="12.875" style="204" customWidth="1"/>
    <col min="7933" max="7933" width="13.25" style="204" customWidth="1"/>
    <col min="7934" max="7934" width="14" style="204" customWidth="1"/>
    <col min="7935" max="7935" width="13.625" style="204" customWidth="1"/>
    <col min="7936" max="7937" width="10" style="204" hidden="1" customWidth="1"/>
    <col min="7938" max="7938" width="37.25" style="204" customWidth="1"/>
    <col min="7939" max="7941" width="10" style="204" hidden="1" customWidth="1"/>
    <col min="7942" max="7942" width="8.625" style="204" customWidth="1"/>
    <col min="7943" max="7943" width="10" style="204"/>
    <col min="7944" max="7944" width="22.25" style="204" customWidth="1"/>
    <col min="7945" max="8180" width="10" style="204"/>
    <col min="8181" max="8181" width="12.375" style="204" customWidth="1"/>
    <col min="8182" max="8182" width="10" style="204" hidden="1" customWidth="1"/>
    <col min="8183" max="8183" width="23.75" style="204" customWidth="1"/>
    <col min="8184" max="8185" width="10" style="204" hidden="1" customWidth="1"/>
    <col min="8186" max="8186" width="16.375" style="204" customWidth="1"/>
    <col min="8187" max="8187" width="10.375" style="204" customWidth="1"/>
    <col min="8188" max="8188" width="12.875" style="204" customWidth="1"/>
    <col min="8189" max="8189" width="13.25" style="204" customWidth="1"/>
    <col min="8190" max="8190" width="14" style="204" customWidth="1"/>
    <col min="8191" max="8191" width="13.625" style="204" customWidth="1"/>
    <col min="8192" max="8193" width="10" style="204" hidden="1" customWidth="1"/>
    <col min="8194" max="8194" width="37.25" style="204" customWidth="1"/>
    <col min="8195" max="8197" width="10" style="204" hidden="1" customWidth="1"/>
    <col min="8198" max="8198" width="8.625" style="204" customWidth="1"/>
    <col min="8199" max="8199" width="10" style="204"/>
    <col min="8200" max="8200" width="22.25" style="204" customWidth="1"/>
    <col min="8201" max="8436" width="10" style="204"/>
    <col min="8437" max="8437" width="12.375" style="204" customWidth="1"/>
    <col min="8438" max="8438" width="10" style="204" hidden="1" customWidth="1"/>
    <col min="8439" max="8439" width="23.75" style="204" customWidth="1"/>
    <col min="8440" max="8441" width="10" style="204" hidden="1" customWidth="1"/>
    <col min="8442" max="8442" width="16.375" style="204" customWidth="1"/>
    <col min="8443" max="8443" width="10.375" style="204" customWidth="1"/>
    <col min="8444" max="8444" width="12.875" style="204" customWidth="1"/>
    <col min="8445" max="8445" width="13.25" style="204" customWidth="1"/>
    <col min="8446" max="8446" width="14" style="204" customWidth="1"/>
    <col min="8447" max="8447" width="13.625" style="204" customWidth="1"/>
    <col min="8448" max="8449" width="10" style="204" hidden="1" customWidth="1"/>
    <col min="8450" max="8450" width="37.25" style="204" customWidth="1"/>
    <col min="8451" max="8453" width="10" style="204" hidden="1" customWidth="1"/>
    <col min="8454" max="8454" width="8.625" style="204" customWidth="1"/>
    <col min="8455" max="8455" width="10" style="204"/>
    <col min="8456" max="8456" width="22.25" style="204" customWidth="1"/>
    <col min="8457" max="8692" width="10" style="204"/>
    <col min="8693" max="8693" width="12.375" style="204" customWidth="1"/>
    <col min="8694" max="8694" width="10" style="204" hidden="1" customWidth="1"/>
    <col min="8695" max="8695" width="23.75" style="204" customWidth="1"/>
    <col min="8696" max="8697" width="10" style="204" hidden="1" customWidth="1"/>
    <col min="8698" max="8698" width="16.375" style="204" customWidth="1"/>
    <col min="8699" max="8699" width="10.375" style="204" customWidth="1"/>
    <col min="8700" max="8700" width="12.875" style="204" customWidth="1"/>
    <col min="8701" max="8701" width="13.25" style="204" customWidth="1"/>
    <col min="8702" max="8702" width="14" style="204" customWidth="1"/>
    <col min="8703" max="8703" width="13.625" style="204" customWidth="1"/>
    <col min="8704" max="8705" width="10" style="204" hidden="1" customWidth="1"/>
    <col min="8706" max="8706" width="37.25" style="204" customWidth="1"/>
    <col min="8707" max="8709" width="10" style="204" hidden="1" customWidth="1"/>
    <col min="8710" max="8710" width="8.625" style="204" customWidth="1"/>
    <col min="8711" max="8711" width="10" style="204"/>
    <col min="8712" max="8712" width="22.25" style="204" customWidth="1"/>
    <col min="8713" max="8948" width="10" style="204"/>
    <col min="8949" max="8949" width="12.375" style="204" customWidth="1"/>
    <col min="8950" max="8950" width="10" style="204" hidden="1" customWidth="1"/>
    <col min="8951" max="8951" width="23.75" style="204" customWidth="1"/>
    <col min="8952" max="8953" width="10" style="204" hidden="1" customWidth="1"/>
    <col min="8954" max="8954" width="16.375" style="204" customWidth="1"/>
    <col min="8955" max="8955" width="10.375" style="204" customWidth="1"/>
    <col min="8956" max="8956" width="12.875" style="204" customWidth="1"/>
    <col min="8957" max="8957" width="13.25" style="204" customWidth="1"/>
    <col min="8958" max="8958" width="14" style="204" customWidth="1"/>
    <col min="8959" max="8959" width="13.625" style="204" customWidth="1"/>
    <col min="8960" max="8961" width="10" style="204" hidden="1" customWidth="1"/>
    <col min="8962" max="8962" width="37.25" style="204" customWidth="1"/>
    <col min="8963" max="8965" width="10" style="204" hidden="1" customWidth="1"/>
    <col min="8966" max="8966" width="8.625" style="204" customWidth="1"/>
    <col min="8967" max="8967" width="10" style="204"/>
    <col min="8968" max="8968" width="22.25" style="204" customWidth="1"/>
    <col min="8969" max="9204" width="10" style="204"/>
    <col min="9205" max="9205" width="12.375" style="204" customWidth="1"/>
    <col min="9206" max="9206" width="10" style="204" hidden="1" customWidth="1"/>
    <col min="9207" max="9207" width="23.75" style="204" customWidth="1"/>
    <col min="9208" max="9209" width="10" style="204" hidden="1" customWidth="1"/>
    <col min="9210" max="9210" width="16.375" style="204" customWidth="1"/>
    <col min="9211" max="9211" width="10.375" style="204" customWidth="1"/>
    <col min="9212" max="9212" width="12.875" style="204" customWidth="1"/>
    <col min="9213" max="9213" width="13.25" style="204" customWidth="1"/>
    <col min="9214" max="9214" width="14" style="204" customWidth="1"/>
    <col min="9215" max="9215" width="13.625" style="204" customWidth="1"/>
    <col min="9216" max="9217" width="10" style="204" hidden="1" customWidth="1"/>
    <col min="9218" max="9218" width="37.25" style="204" customWidth="1"/>
    <col min="9219" max="9221" width="10" style="204" hidden="1" customWidth="1"/>
    <col min="9222" max="9222" width="8.625" style="204" customWidth="1"/>
    <col min="9223" max="9223" width="10" style="204"/>
    <col min="9224" max="9224" width="22.25" style="204" customWidth="1"/>
    <col min="9225" max="9460" width="10" style="204"/>
    <col min="9461" max="9461" width="12.375" style="204" customWidth="1"/>
    <col min="9462" max="9462" width="10" style="204" hidden="1" customWidth="1"/>
    <col min="9463" max="9463" width="23.75" style="204" customWidth="1"/>
    <col min="9464" max="9465" width="10" style="204" hidden="1" customWidth="1"/>
    <col min="9466" max="9466" width="16.375" style="204" customWidth="1"/>
    <col min="9467" max="9467" width="10.375" style="204" customWidth="1"/>
    <col min="9468" max="9468" width="12.875" style="204" customWidth="1"/>
    <col min="9469" max="9469" width="13.25" style="204" customWidth="1"/>
    <col min="9470" max="9470" width="14" style="204" customWidth="1"/>
    <col min="9471" max="9471" width="13.625" style="204" customWidth="1"/>
    <col min="9472" max="9473" width="10" style="204" hidden="1" customWidth="1"/>
    <col min="9474" max="9474" width="37.25" style="204" customWidth="1"/>
    <col min="9475" max="9477" width="10" style="204" hidden="1" customWidth="1"/>
    <col min="9478" max="9478" width="8.625" style="204" customWidth="1"/>
    <col min="9479" max="9479" width="10" style="204"/>
    <col min="9480" max="9480" width="22.25" style="204" customWidth="1"/>
    <col min="9481" max="9716" width="10" style="204"/>
    <col min="9717" max="9717" width="12.375" style="204" customWidth="1"/>
    <col min="9718" max="9718" width="10" style="204" hidden="1" customWidth="1"/>
    <col min="9719" max="9719" width="23.75" style="204" customWidth="1"/>
    <col min="9720" max="9721" width="10" style="204" hidden="1" customWidth="1"/>
    <col min="9722" max="9722" width="16.375" style="204" customWidth="1"/>
    <col min="9723" max="9723" width="10.375" style="204" customWidth="1"/>
    <col min="9724" max="9724" width="12.875" style="204" customWidth="1"/>
    <col min="9725" max="9725" width="13.25" style="204" customWidth="1"/>
    <col min="9726" max="9726" width="14" style="204" customWidth="1"/>
    <col min="9727" max="9727" width="13.625" style="204" customWidth="1"/>
    <col min="9728" max="9729" width="10" style="204" hidden="1" customWidth="1"/>
    <col min="9730" max="9730" width="37.25" style="204" customWidth="1"/>
    <col min="9731" max="9733" width="10" style="204" hidden="1" customWidth="1"/>
    <col min="9734" max="9734" width="8.625" style="204" customWidth="1"/>
    <col min="9735" max="9735" width="10" style="204"/>
    <col min="9736" max="9736" width="22.25" style="204" customWidth="1"/>
    <col min="9737" max="9972" width="10" style="204"/>
    <col min="9973" max="9973" width="12.375" style="204" customWidth="1"/>
    <col min="9974" max="9974" width="10" style="204" hidden="1" customWidth="1"/>
    <col min="9975" max="9975" width="23.75" style="204" customWidth="1"/>
    <col min="9976" max="9977" width="10" style="204" hidden="1" customWidth="1"/>
    <col min="9978" max="9978" width="16.375" style="204" customWidth="1"/>
    <col min="9979" max="9979" width="10.375" style="204" customWidth="1"/>
    <col min="9980" max="9980" width="12.875" style="204" customWidth="1"/>
    <col min="9981" max="9981" width="13.25" style="204" customWidth="1"/>
    <col min="9982" max="9982" width="14" style="204" customWidth="1"/>
    <col min="9983" max="9983" width="13.625" style="204" customWidth="1"/>
    <col min="9984" max="9985" width="10" style="204" hidden="1" customWidth="1"/>
    <col min="9986" max="9986" width="37.25" style="204" customWidth="1"/>
    <col min="9987" max="9989" width="10" style="204" hidden="1" customWidth="1"/>
    <col min="9990" max="9990" width="8.625" style="204" customWidth="1"/>
    <col min="9991" max="9991" width="10" style="204"/>
    <col min="9992" max="9992" width="22.25" style="204" customWidth="1"/>
    <col min="9993" max="10228" width="10" style="204"/>
    <col min="10229" max="10229" width="12.375" style="204" customWidth="1"/>
    <col min="10230" max="10230" width="10" style="204" hidden="1" customWidth="1"/>
    <col min="10231" max="10231" width="23.75" style="204" customWidth="1"/>
    <col min="10232" max="10233" width="10" style="204" hidden="1" customWidth="1"/>
    <col min="10234" max="10234" width="16.375" style="204" customWidth="1"/>
    <col min="10235" max="10235" width="10.375" style="204" customWidth="1"/>
    <col min="10236" max="10236" width="12.875" style="204" customWidth="1"/>
    <col min="10237" max="10237" width="13.25" style="204" customWidth="1"/>
    <col min="10238" max="10238" width="14" style="204" customWidth="1"/>
    <col min="10239" max="10239" width="13.625" style="204" customWidth="1"/>
    <col min="10240" max="10241" width="10" style="204" hidden="1" customWidth="1"/>
    <col min="10242" max="10242" width="37.25" style="204" customWidth="1"/>
    <col min="10243" max="10245" width="10" style="204" hidden="1" customWidth="1"/>
    <col min="10246" max="10246" width="8.625" style="204" customWidth="1"/>
    <col min="10247" max="10247" width="10" style="204"/>
    <col min="10248" max="10248" width="22.25" style="204" customWidth="1"/>
    <col min="10249" max="10484" width="10" style="204"/>
    <col min="10485" max="10485" width="12.375" style="204" customWidth="1"/>
    <col min="10486" max="10486" width="10" style="204" hidden="1" customWidth="1"/>
    <col min="10487" max="10487" width="23.75" style="204" customWidth="1"/>
    <col min="10488" max="10489" width="10" style="204" hidden="1" customWidth="1"/>
    <col min="10490" max="10490" width="16.375" style="204" customWidth="1"/>
    <col min="10491" max="10491" width="10.375" style="204" customWidth="1"/>
    <col min="10492" max="10492" width="12.875" style="204" customWidth="1"/>
    <col min="10493" max="10493" width="13.25" style="204" customWidth="1"/>
    <col min="10494" max="10494" width="14" style="204" customWidth="1"/>
    <col min="10495" max="10495" width="13.625" style="204" customWidth="1"/>
    <col min="10496" max="10497" width="10" style="204" hidden="1" customWidth="1"/>
    <col min="10498" max="10498" width="37.25" style="204" customWidth="1"/>
    <col min="10499" max="10501" width="10" style="204" hidden="1" customWidth="1"/>
    <col min="10502" max="10502" width="8.625" style="204" customWidth="1"/>
    <col min="10503" max="10503" width="10" style="204"/>
    <col min="10504" max="10504" width="22.25" style="204" customWidth="1"/>
    <col min="10505" max="10740" width="10" style="204"/>
    <col min="10741" max="10741" width="12.375" style="204" customWidth="1"/>
    <col min="10742" max="10742" width="10" style="204" hidden="1" customWidth="1"/>
    <col min="10743" max="10743" width="23.75" style="204" customWidth="1"/>
    <col min="10744" max="10745" width="10" style="204" hidden="1" customWidth="1"/>
    <col min="10746" max="10746" width="16.375" style="204" customWidth="1"/>
    <col min="10747" max="10747" width="10.375" style="204" customWidth="1"/>
    <col min="10748" max="10748" width="12.875" style="204" customWidth="1"/>
    <col min="10749" max="10749" width="13.25" style="204" customWidth="1"/>
    <col min="10750" max="10750" width="14" style="204" customWidth="1"/>
    <col min="10751" max="10751" width="13.625" style="204" customWidth="1"/>
    <col min="10752" max="10753" width="10" style="204" hidden="1" customWidth="1"/>
    <col min="10754" max="10754" width="37.25" style="204" customWidth="1"/>
    <col min="10755" max="10757" width="10" style="204" hidden="1" customWidth="1"/>
    <col min="10758" max="10758" width="8.625" style="204" customWidth="1"/>
    <col min="10759" max="10759" width="10" style="204"/>
    <col min="10760" max="10760" width="22.25" style="204" customWidth="1"/>
    <col min="10761" max="10996" width="10" style="204"/>
    <col min="10997" max="10997" width="12.375" style="204" customWidth="1"/>
    <col min="10998" max="10998" width="10" style="204" hidden="1" customWidth="1"/>
    <col min="10999" max="10999" width="23.75" style="204" customWidth="1"/>
    <col min="11000" max="11001" width="10" style="204" hidden="1" customWidth="1"/>
    <col min="11002" max="11002" width="16.375" style="204" customWidth="1"/>
    <col min="11003" max="11003" width="10.375" style="204" customWidth="1"/>
    <col min="11004" max="11004" width="12.875" style="204" customWidth="1"/>
    <col min="11005" max="11005" width="13.25" style="204" customWidth="1"/>
    <col min="11006" max="11006" width="14" style="204" customWidth="1"/>
    <col min="11007" max="11007" width="13.625" style="204" customWidth="1"/>
    <col min="11008" max="11009" width="10" style="204" hidden="1" customWidth="1"/>
    <col min="11010" max="11010" width="37.25" style="204" customWidth="1"/>
    <col min="11011" max="11013" width="10" style="204" hidden="1" customWidth="1"/>
    <col min="11014" max="11014" width="8.625" style="204" customWidth="1"/>
    <col min="11015" max="11015" width="10" style="204"/>
    <col min="11016" max="11016" width="22.25" style="204" customWidth="1"/>
    <col min="11017" max="11252" width="10" style="204"/>
    <col min="11253" max="11253" width="12.375" style="204" customWidth="1"/>
    <col min="11254" max="11254" width="10" style="204" hidden="1" customWidth="1"/>
    <col min="11255" max="11255" width="23.75" style="204" customWidth="1"/>
    <col min="11256" max="11257" width="10" style="204" hidden="1" customWidth="1"/>
    <col min="11258" max="11258" width="16.375" style="204" customWidth="1"/>
    <col min="11259" max="11259" width="10.375" style="204" customWidth="1"/>
    <col min="11260" max="11260" width="12.875" style="204" customWidth="1"/>
    <col min="11261" max="11261" width="13.25" style="204" customWidth="1"/>
    <col min="11262" max="11262" width="14" style="204" customWidth="1"/>
    <col min="11263" max="11263" width="13.625" style="204" customWidth="1"/>
    <col min="11264" max="11265" width="10" style="204" hidden="1" customWidth="1"/>
    <col min="11266" max="11266" width="37.25" style="204" customWidth="1"/>
    <col min="11267" max="11269" width="10" style="204" hidden="1" customWidth="1"/>
    <col min="11270" max="11270" width="8.625" style="204" customWidth="1"/>
    <col min="11271" max="11271" width="10" style="204"/>
    <col min="11272" max="11272" width="22.25" style="204" customWidth="1"/>
    <col min="11273" max="11508" width="10" style="204"/>
    <col min="11509" max="11509" width="12.375" style="204" customWidth="1"/>
    <col min="11510" max="11510" width="10" style="204" hidden="1" customWidth="1"/>
    <col min="11511" max="11511" width="23.75" style="204" customWidth="1"/>
    <col min="11512" max="11513" width="10" style="204" hidden="1" customWidth="1"/>
    <col min="11514" max="11514" width="16.375" style="204" customWidth="1"/>
    <col min="11515" max="11515" width="10.375" style="204" customWidth="1"/>
    <col min="11516" max="11516" width="12.875" style="204" customWidth="1"/>
    <col min="11517" max="11517" width="13.25" style="204" customWidth="1"/>
    <col min="11518" max="11518" width="14" style="204" customWidth="1"/>
    <col min="11519" max="11519" width="13.625" style="204" customWidth="1"/>
    <col min="11520" max="11521" width="10" style="204" hidden="1" customWidth="1"/>
    <col min="11522" max="11522" width="37.25" style="204" customWidth="1"/>
    <col min="11523" max="11525" width="10" style="204" hidden="1" customWidth="1"/>
    <col min="11526" max="11526" width="8.625" style="204" customWidth="1"/>
    <col min="11527" max="11527" width="10" style="204"/>
    <col min="11528" max="11528" width="22.25" style="204" customWidth="1"/>
    <col min="11529" max="11764" width="10" style="204"/>
    <col min="11765" max="11765" width="12.375" style="204" customWidth="1"/>
    <col min="11766" max="11766" width="10" style="204" hidden="1" customWidth="1"/>
    <col min="11767" max="11767" width="23.75" style="204" customWidth="1"/>
    <col min="11768" max="11769" width="10" style="204" hidden="1" customWidth="1"/>
    <col min="11770" max="11770" width="16.375" style="204" customWidth="1"/>
    <col min="11771" max="11771" width="10.375" style="204" customWidth="1"/>
    <col min="11772" max="11772" width="12.875" style="204" customWidth="1"/>
    <col min="11773" max="11773" width="13.25" style="204" customWidth="1"/>
    <col min="11774" max="11774" width="14" style="204" customWidth="1"/>
    <col min="11775" max="11775" width="13.625" style="204" customWidth="1"/>
    <col min="11776" max="11777" width="10" style="204" hidden="1" customWidth="1"/>
    <col min="11778" max="11778" width="37.25" style="204" customWidth="1"/>
    <col min="11779" max="11781" width="10" style="204" hidden="1" customWidth="1"/>
    <col min="11782" max="11782" width="8.625" style="204" customWidth="1"/>
    <col min="11783" max="11783" width="10" style="204"/>
    <col min="11784" max="11784" width="22.25" style="204" customWidth="1"/>
    <col min="11785" max="12020" width="10" style="204"/>
    <col min="12021" max="12021" width="12.375" style="204" customWidth="1"/>
    <col min="12022" max="12022" width="10" style="204" hidden="1" customWidth="1"/>
    <col min="12023" max="12023" width="23.75" style="204" customWidth="1"/>
    <col min="12024" max="12025" width="10" style="204" hidden="1" customWidth="1"/>
    <col min="12026" max="12026" width="16.375" style="204" customWidth="1"/>
    <col min="12027" max="12027" width="10.375" style="204" customWidth="1"/>
    <col min="12028" max="12028" width="12.875" style="204" customWidth="1"/>
    <col min="12029" max="12029" width="13.25" style="204" customWidth="1"/>
    <col min="12030" max="12030" width="14" style="204" customWidth="1"/>
    <col min="12031" max="12031" width="13.625" style="204" customWidth="1"/>
    <col min="12032" max="12033" width="10" style="204" hidden="1" customWidth="1"/>
    <col min="12034" max="12034" width="37.25" style="204" customWidth="1"/>
    <col min="12035" max="12037" width="10" style="204" hidden="1" customWidth="1"/>
    <col min="12038" max="12038" width="8.625" style="204" customWidth="1"/>
    <col min="12039" max="12039" width="10" style="204"/>
    <col min="12040" max="12040" width="22.25" style="204" customWidth="1"/>
    <col min="12041" max="12276" width="10" style="204"/>
    <col min="12277" max="12277" width="12.375" style="204" customWidth="1"/>
    <col min="12278" max="12278" width="10" style="204" hidden="1" customWidth="1"/>
    <col min="12279" max="12279" width="23.75" style="204" customWidth="1"/>
    <col min="12280" max="12281" width="10" style="204" hidden="1" customWidth="1"/>
    <col min="12282" max="12282" width="16.375" style="204" customWidth="1"/>
    <col min="12283" max="12283" width="10.375" style="204" customWidth="1"/>
    <col min="12284" max="12284" width="12.875" style="204" customWidth="1"/>
    <col min="12285" max="12285" width="13.25" style="204" customWidth="1"/>
    <col min="12286" max="12286" width="14" style="204" customWidth="1"/>
    <col min="12287" max="12287" width="13.625" style="204" customWidth="1"/>
    <col min="12288" max="12289" width="10" style="204" hidden="1" customWidth="1"/>
    <col min="12290" max="12290" width="37.25" style="204" customWidth="1"/>
    <col min="12291" max="12293" width="10" style="204" hidden="1" customWidth="1"/>
    <col min="12294" max="12294" width="8.625" style="204" customWidth="1"/>
    <col min="12295" max="12295" width="10" style="204"/>
    <col min="12296" max="12296" width="22.25" style="204" customWidth="1"/>
    <col min="12297" max="12532" width="10" style="204"/>
    <col min="12533" max="12533" width="12.375" style="204" customWidth="1"/>
    <col min="12534" max="12534" width="10" style="204" hidden="1" customWidth="1"/>
    <col min="12535" max="12535" width="23.75" style="204" customWidth="1"/>
    <col min="12536" max="12537" width="10" style="204" hidden="1" customWidth="1"/>
    <col min="12538" max="12538" width="16.375" style="204" customWidth="1"/>
    <col min="12539" max="12539" width="10.375" style="204" customWidth="1"/>
    <col min="12540" max="12540" width="12.875" style="204" customWidth="1"/>
    <col min="12541" max="12541" width="13.25" style="204" customWidth="1"/>
    <col min="12542" max="12542" width="14" style="204" customWidth="1"/>
    <col min="12543" max="12543" width="13.625" style="204" customWidth="1"/>
    <col min="12544" max="12545" width="10" style="204" hidden="1" customWidth="1"/>
    <col min="12546" max="12546" width="37.25" style="204" customWidth="1"/>
    <col min="12547" max="12549" width="10" style="204" hidden="1" customWidth="1"/>
    <col min="12550" max="12550" width="8.625" style="204" customWidth="1"/>
    <col min="12551" max="12551" width="10" style="204"/>
    <col min="12552" max="12552" width="22.25" style="204" customWidth="1"/>
    <col min="12553" max="12788" width="10" style="204"/>
    <col min="12789" max="12789" width="12.375" style="204" customWidth="1"/>
    <col min="12790" max="12790" width="10" style="204" hidden="1" customWidth="1"/>
    <col min="12791" max="12791" width="23.75" style="204" customWidth="1"/>
    <col min="12792" max="12793" width="10" style="204" hidden="1" customWidth="1"/>
    <col min="12794" max="12794" width="16.375" style="204" customWidth="1"/>
    <col min="12795" max="12795" width="10.375" style="204" customWidth="1"/>
    <col min="12796" max="12796" width="12.875" style="204" customWidth="1"/>
    <col min="12797" max="12797" width="13.25" style="204" customWidth="1"/>
    <col min="12798" max="12798" width="14" style="204" customWidth="1"/>
    <col min="12799" max="12799" width="13.625" style="204" customWidth="1"/>
    <col min="12800" max="12801" width="10" style="204" hidden="1" customWidth="1"/>
    <col min="12802" max="12802" width="37.25" style="204" customWidth="1"/>
    <col min="12803" max="12805" width="10" style="204" hidden="1" customWidth="1"/>
    <col min="12806" max="12806" width="8.625" style="204" customWidth="1"/>
    <col min="12807" max="12807" width="10" style="204"/>
    <col min="12808" max="12808" width="22.25" style="204" customWidth="1"/>
    <col min="12809" max="13044" width="10" style="204"/>
    <col min="13045" max="13045" width="12.375" style="204" customWidth="1"/>
    <col min="13046" max="13046" width="10" style="204" hidden="1" customWidth="1"/>
    <col min="13047" max="13047" width="23.75" style="204" customWidth="1"/>
    <col min="13048" max="13049" width="10" style="204" hidden="1" customWidth="1"/>
    <col min="13050" max="13050" width="16.375" style="204" customWidth="1"/>
    <col min="13051" max="13051" width="10.375" style="204" customWidth="1"/>
    <col min="13052" max="13052" width="12.875" style="204" customWidth="1"/>
    <col min="13053" max="13053" width="13.25" style="204" customWidth="1"/>
    <col min="13054" max="13054" width="14" style="204" customWidth="1"/>
    <col min="13055" max="13055" width="13.625" style="204" customWidth="1"/>
    <col min="13056" max="13057" width="10" style="204" hidden="1" customWidth="1"/>
    <col min="13058" max="13058" width="37.25" style="204" customWidth="1"/>
    <col min="13059" max="13061" width="10" style="204" hidden="1" customWidth="1"/>
    <col min="13062" max="13062" width="8.625" style="204" customWidth="1"/>
    <col min="13063" max="13063" width="10" style="204"/>
    <col min="13064" max="13064" width="22.25" style="204" customWidth="1"/>
    <col min="13065" max="13300" width="10" style="204"/>
    <col min="13301" max="13301" width="12.375" style="204" customWidth="1"/>
    <col min="13302" max="13302" width="10" style="204" hidden="1" customWidth="1"/>
    <col min="13303" max="13303" width="23.75" style="204" customWidth="1"/>
    <col min="13304" max="13305" width="10" style="204" hidden="1" customWidth="1"/>
    <col min="13306" max="13306" width="16.375" style="204" customWidth="1"/>
    <col min="13307" max="13307" width="10.375" style="204" customWidth="1"/>
    <col min="13308" max="13308" width="12.875" style="204" customWidth="1"/>
    <col min="13309" max="13309" width="13.25" style="204" customWidth="1"/>
    <col min="13310" max="13310" width="14" style="204" customWidth="1"/>
    <col min="13311" max="13311" width="13.625" style="204" customWidth="1"/>
    <col min="13312" max="13313" width="10" style="204" hidden="1" customWidth="1"/>
    <col min="13314" max="13314" width="37.25" style="204" customWidth="1"/>
    <col min="13315" max="13317" width="10" style="204" hidden="1" customWidth="1"/>
    <col min="13318" max="13318" width="8.625" style="204" customWidth="1"/>
    <col min="13319" max="13319" width="10" style="204"/>
    <col min="13320" max="13320" width="22.25" style="204" customWidth="1"/>
    <col min="13321" max="13556" width="10" style="204"/>
    <col min="13557" max="13557" width="12.375" style="204" customWidth="1"/>
    <col min="13558" max="13558" width="10" style="204" hidden="1" customWidth="1"/>
    <col min="13559" max="13559" width="23.75" style="204" customWidth="1"/>
    <col min="13560" max="13561" width="10" style="204" hidden="1" customWidth="1"/>
    <col min="13562" max="13562" width="16.375" style="204" customWidth="1"/>
    <col min="13563" max="13563" width="10.375" style="204" customWidth="1"/>
    <col min="13564" max="13564" width="12.875" style="204" customWidth="1"/>
    <col min="13565" max="13565" width="13.25" style="204" customWidth="1"/>
    <col min="13566" max="13566" width="14" style="204" customWidth="1"/>
    <col min="13567" max="13567" width="13.625" style="204" customWidth="1"/>
    <col min="13568" max="13569" width="10" style="204" hidden="1" customWidth="1"/>
    <col min="13570" max="13570" width="37.25" style="204" customWidth="1"/>
    <col min="13571" max="13573" width="10" style="204" hidden="1" customWidth="1"/>
    <col min="13574" max="13574" width="8.625" style="204" customWidth="1"/>
    <col min="13575" max="13575" width="10" style="204"/>
    <col min="13576" max="13576" width="22.25" style="204" customWidth="1"/>
    <col min="13577" max="13812" width="10" style="204"/>
    <col min="13813" max="13813" width="12.375" style="204" customWidth="1"/>
    <col min="13814" max="13814" width="10" style="204" hidden="1" customWidth="1"/>
    <col min="13815" max="13815" width="23.75" style="204" customWidth="1"/>
    <col min="13816" max="13817" width="10" style="204" hidden="1" customWidth="1"/>
    <col min="13818" max="13818" width="16.375" style="204" customWidth="1"/>
    <col min="13819" max="13819" width="10.375" style="204" customWidth="1"/>
    <col min="13820" max="13820" width="12.875" style="204" customWidth="1"/>
    <col min="13821" max="13821" width="13.25" style="204" customWidth="1"/>
    <col min="13822" max="13822" width="14" style="204" customWidth="1"/>
    <col min="13823" max="13823" width="13.625" style="204" customWidth="1"/>
    <col min="13824" max="13825" width="10" style="204" hidden="1" customWidth="1"/>
    <col min="13826" max="13826" width="37.25" style="204" customWidth="1"/>
    <col min="13827" max="13829" width="10" style="204" hidden="1" customWidth="1"/>
    <col min="13830" max="13830" width="8.625" style="204" customWidth="1"/>
    <col min="13831" max="13831" width="10" style="204"/>
    <col min="13832" max="13832" width="22.25" style="204" customWidth="1"/>
    <col min="13833" max="14068" width="10" style="204"/>
    <col min="14069" max="14069" width="12.375" style="204" customWidth="1"/>
    <col min="14070" max="14070" width="10" style="204" hidden="1" customWidth="1"/>
    <col min="14071" max="14071" width="23.75" style="204" customWidth="1"/>
    <col min="14072" max="14073" width="10" style="204" hidden="1" customWidth="1"/>
    <col min="14074" max="14074" width="16.375" style="204" customWidth="1"/>
    <col min="14075" max="14075" width="10.375" style="204" customWidth="1"/>
    <col min="14076" max="14076" width="12.875" style="204" customWidth="1"/>
    <col min="14077" max="14077" width="13.25" style="204" customWidth="1"/>
    <col min="14078" max="14078" width="14" style="204" customWidth="1"/>
    <col min="14079" max="14079" width="13.625" style="204" customWidth="1"/>
    <col min="14080" max="14081" width="10" style="204" hidden="1" customWidth="1"/>
    <col min="14082" max="14082" width="37.25" style="204" customWidth="1"/>
    <col min="14083" max="14085" width="10" style="204" hidden="1" customWidth="1"/>
    <col min="14086" max="14086" width="8.625" style="204" customWidth="1"/>
    <col min="14087" max="14087" width="10" style="204"/>
    <col min="14088" max="14088" width="22.25" style="204" customWidth="1"/>
    <col min="14089" max="14324" width="10" style="204"/>
    <col min="14325" max="14325" width="12.375" style="204" customWidth="1"/>
    <col min="14326" max="14326" width="10" style="204" hidden="1" customWidth="1"/>
    <col min="14327" max="14327" width="23.75" style="204" customWidth="1"/>
    <col min="14328" max="14329" width="10" style="204" hidden="1" customWidth="1"/>
    <col min="14330" max="14330" width="16.375" style="204" customWidth="1"/>
    <col min="14331" max="14331" width="10.375" style="204" customWidth="1"/>
    <col min="14332" max="14332" width="12.875" style="204" customWidth="1"/>
    <col min="14333" max="14333" width="13.25" style="204" customWidth="1"/>
    <col min="14334" max="14334" width="14" style="204" customWidth="1"/>
    <col min="14335" max="14335" width="13.625" style="204" customWidth="1"/>
    <col min="14336" max="14337" width="10" style="204" hidden="1" customWidth="1"/>
    <col min="14338" max="14338" width="37.25" style="204" customWidth="1"/>
    <col min="14339" max="14341" width="10" style="204" hidden="1" customWidth="1"/>
    <col min="14342" max="14342" width="8.625" style="204" customWidth="1"/>
    <col min="14343" max="14343" width="10" style="204"/>
    <col min="14344" max="14344" width="22.25" style="204" customWidth="1"/>
    <col min="14345" max="14580" width="10" style="204"/>
    <col min="14581" max="14581" width="12.375" style="204" customWidth="1"/>
    <col min="14582" max="14582" width="10" style="204" hidden="1" customWidth="1"/>
    <col min="14583" max="14583" width="23.75" style="204" customWidth="1"/>
    <col min="14584" max="14585" width="10" style="204" hidden="1" customWidth="1"/>
    <col min="14586" max="14586" width="16.375" style="204" customWidth="1"/>
    <col min="14587" max="14587" width="10.375" style="204" customWidth="1"/>
    <col min="14588" max="14588" width="12.875" style="204" customWidth="1"/>
    <col min="14589" max="14589" width="13.25" style="204" customWidth="1"/>
    <col min="14590" max="14590" width="14" style="204" customWidth="1"/>
    <col min="14591" max="14591" width="13.625" style="204" customWidth="1"/>
    <col min="14592" max="14593" width="10" style="204" hidden="1" customWidth="1"/>
    <col min="14594" max="14594" width="37.25" style="204" customWidth="1"/>
    <col min="14595" max="14597" width="10" style="204" hidden="1" customWidth="1"/>
    <col min="14598" max="14598" width="8.625" style="204" customWidth="1"/>
    <col min="14599" max="14599" width="10" style="204"/>
    <col min="14600" max="14600" width="22.25" style="204" customWidth="1"/>
    <col min="14601" max="14836" width="10" style="204"/>
    <col min="14837" max="14837" width="12.375" style="204" customWidth="1"/>
    <col min="14838" max="14838" width="10" style="204" hidden="1" customWidth="1"/>
    <col min="14839" max="14839" width="23.75" style="204" customWidth="1"/>
    <col min="14840" max="14841" width="10" style="204" hidden="1" customWidth="1"/>
    <col min="14842" max="14842" width="16.375" style="204" customWidth="1"/>
    <col min="14843" max="14843" width="10.375" style="204" customWidth="1"/>
    <col min="14844" max="14844" width="12.875" style="204" customWidth="1"/>
    <col min="14845" max="14845" width="13.25" style="204" customWidth="1"/>
    <col min="14846" max="14846" width="14" style="204" customWidth="1"/>
    <col min="14847" max="14847" width="13.625" style="204" customWidth="1"/>
    <col min="14848" max="14849" width="10" style="204" hidden="1" customWidth="1"/>
    <col min="14850" max="14850" width="37.25" style="204" customWidth="1"/>
    <col min="14851" max="14853" width="10" style="204" hidden="1" customWidth="1"/>
    <col min="14854" max="14854" width="8.625" style="204" customWidth="1"/>
    <col min="14855" max="14855" width="10" style="204"/>
    <col min="14856" max="14856" width="22.25" style="204" customWidth="1"/>
    <col min="14857" max="15092" width="10" style="204"/>
    <col min="15093" max="15093" width="12.375" style="204" customWidth="1"/>
    <col min="15094" max="15094" width="10" style="204" hidden="1" customWidth="1"/>
    <col min="15095" max="15095" width="23.75" style="204" customWidth="1"/>
    <col min="15096" max="15097" width="10" style="204" hidden="1" customWidth="1"/>
    <col min="15098" max="15098" width="16.375" style="204" customWidth="1"/>
    <col min="15099" max="15099" width="10.375" style="204" customWidth="1"/>
    <col min="15100" max="15100" width="12.875" style="204" customWidth="1"/>
    <col min="15101" max="15101" width="13.25" style="204" customWidth="1"/>
    <col min="15102" max="15102" width="14" style="204" customWidth="1"/>
    <col min="15103" max="15103" width="13.625" style="204" customWidth="1"/>
    <col min="15104" max="15105" width="10" style="204" hidden="1" customWidth="1"/>
    <col min="15106" max="15106" width="37.25" style="204" customWidth="1"/>
    <col min="15107" max="15109" width="10" style="204" hidden="1" customWidth="1"/>
    <col min="15110" max="15110" width="8.625" style="204" customWidth="1"/>
    <col min="15111" max="15111" width="10" style="204"/>
    <col min="15112" max="15112" width="22.25" style="204" customWidth="1"/>
    <col min="15113" max="15348" width="10" style="204"/>
    <col min="15349" max="15349" width="12.375" style="204" customWidth="1"/>
    <col min="15350" max="15350" width="10" style="204" hidden="1" customWidth="1"/>
    <col min="15351" max="15351" width="23.75" style="204" customWidth="1"/>
    <col min="15352" max="15353" width="10" style="204" hidden="1" customWidth="1"/>
    <col min="15354" max="15354" width="16.375" style="204" customWidth="1"/>
    <col min="15355" max="15355" width="10.375" style="204" customWidth="1"/>
    <col min="15356" max="15356" width="12.875" style="204" customWidth="1"/>
    <col min="15357" max="15357" width="13.25" style="204" customWidth="1"/>
    <col min="15358" max="15358" width="14" style="204" customWidth="1"/>
    <col min="15359" max="15359" width="13.625" style="204" customWidth="1"/>
    <col min="15360" max="15361" width="10" style="204" hidden="1" customWidth="1"/>
    <col min="15362" max="15362" width="37.25" style="204" customWidth="1"/>
    <col min="15363" max="15365" width="10" style="204" hidden="1" customWidth="1"/>
    <col min="15366" max="15366" width="8.625" style="204" customWidth="1"/>
    <col min="15367" max="15367" width="10" style="204"/>
    <col min="15368" max="15368" width="22.25" style="204" customWidth="1"/>
    <col min="15369" max="15604" width="10" style="204"/>
    <col min="15605" max="15605" width="12.375" style="204" customWidth="1"/>
    <col min="15606" max="15606" width="10" style="204" hidden="1" customWidth="1"/>
    <col min="15607" max="15607" width="23.75" style="204" customWidth="1"/>
    <col min="15608" max="15609" width="10" style="204" hidden="1" customWidth="1"/>
    <col min="15610" max="15610" width="16.375" style="204" customWidth="1"/>
    <col min="15611" max="15611" width="10.375" style="204" customWidth="1"/>
    <col min="15612" max="15612" width="12.875" style="204" customWidth="1"/>
    <col min="15613" max="15613" width="13.25" style="204" customWidth="1"/>
    <col min="15614" max="15614" width="14" style="204" customWidth="1"/>
    <col min="15615" max="15615" width="13.625" style="204" customWidth="1"/>
    <col min="15616" max="15617" width="10" style="204" hidden="1" customWidth="1"/>
    <col min="15618" max="15618" width="37.25" style="204" customWidth="1"/>
    <col min="15619" max="15621" width="10" style="204" hidden="1" customWidth="1"/>
    <col min="15622" max="15622" width="8.625" style="204" customWidth="1"/>
    <col min="15623" max="15623" width="10" style="204"/>
    <col min="15624" max="15624" width="22.25" style="204" customWidth="1"/>
    <col min="15625" max="15860" width="10" style="204"/>
    <col min="15861" max="15861" width="12.375" style="204" customWidth="1"/>
    <col min="15862" max="15862" width="10" style="204" hidden="1" customWidth="1"/>
    <col min="15863" max="15863" width="23.75" style="204" customWidth="1"/>
    <col min="15864" max="15865" width="10" style="204" hidden="1" customWidth="1"/>
    <col min="15866" max="15866" width="16.375" style="204" customWidth="1"/>
    <col min="15867" max="15867" width="10.375" style="204" customWidth="1"/>
    <col min="15868" max="15868" width="12.875" style="204" customWidth="1"/>
    <col min="15869" max="15869" width="13.25" style="204" customWidth="1"/>
    <col min="15870" max="15870" width="14" style="204" customWidth="1"/>
    <col min="15871" max="15871" width="13.625" style="204" customWidth="1"/>
    <col min="15872" max="15873" width="10" style="204" hidden="1" customWidth="1"/>
    <col min="15874" max="15874" width="37.25" style="204" customWidth="1"/>
    <col min="15875" max="15877" width="10" style="204" hidden="1" customWidth="1"/>
    <col min="15878" max="15878" width="8.625" style="204" customWidth="1"/>
    <col min="15879" max="15879" width="10" style="204"/>
    <col min="15880" max="15880" width="22.25" style="204" customWidth="1"/>
    <col min="15881" max="16116" width="10" style="204"/>
    <col min="16117" max="16117" width="12.375" style="204" customWidth="1"/>
    <col min="16118" max="16118" width="10" style="204" hidden="1" customWidth="1"/>
    <col min="16119" max="16119" width="23.75" style="204" customWidth="1"/>
    <col min="16120" max="16121" width="10" style="204" hidden="1" customWidth="1"/>
    <col min="16122" max="16122" width="16.375" style="204" customWidth="1"/>
    <col min="16123" max="16123" width="10.375" style="204" customWidth="1"/>
    <col min="16124" max="16124" width="12.875" style="204" customWidth="1"/>
    <col min="16125" max="16125" width="13.25" style="204" customWidth="1"/>
    <col min="16126" max="16126" width="14" style="204" customWidth="1"/>
    <col min="16127" max="16127" width="13.625" style="204" customWidth="1"/>
    <col min="16128" max="16129" width="10" style="204" hidden="1" customWidth="1"/>
    <col min="16130" max="16130" width="37.25" style="204" customWidth="1"/>
    <col min="16131" max="16133" width="10" style="204" hidden="1" customWidth="1"/>
    <col min="16134" max="16134" width="8.625" style="204" customWidth="1"/>
    <col min="16135" max="16135" width="10" style="204"/>
    <col min="16136" max="16136" width="22.25" style="204" customWidth="1"/>
    <col min="16137" max="16384" width="10" style="204"/>
  </cols>
  <sheetData>
    <row r="1" spans="1:9" ht="15.75">
      <c r="A1" s="205"/>
      <c r="C1" s="341"/>
      <c r="D1" s="205"/>
      <c r="E1" s="206"/>
    </row>
    <row r="2" spans="1:9" ht="27" customHeight="1">
      <c r="A2" s="207" t="s">
        <v>515</v>
      </c>
      <c r="C2" s="341"/>
      <c r="D2" s="205"/>
      <c r="E2" s="206"/>
      <c r="H2" s="208"/>
    </row>
    <row r="3" spans="1:9" ht="9" customHeight="1">
      <c r="A3" s="205"/>
      <c r="C3" s="341"/>
      <c r="D3" s="205"/>
      <c r="H3" s="208"/>
    </row>
    <row r="4" spans="1:9" ht="21.75" customHeight="1">
      <c r="A4" s="396" t="s">
        <v>509</v>
      </c>
      <c r="B4" s="397" t="s">
        <v>510</v>
      </c>
      <c r="C4" s="398" t="s">
        <v>511</v>
      </c>
      <c r="D4" s="399" t="s">
        <v>512</v>
      </c>
      <c r="E4" s="209" t="s">
        <v>513</v>
      </c>
      <c r="F4" s="400" t="s">
        <v>514</v>
      </c>
      <c r="H4" s="208"/>
    </row>
    <row r="5" spans="1:9" ht="21.75" customHeight="1">
      <c r="A5" s="396"/>
      <c r="B5" s="397"/>
      <c r="C5" s="398"/>
      <c r="D5" s="399"/>
      <c r="E5" s="210">
        <f>+SUBTOTAL(9,E6:E893)</f>
        <v>492610</v>
      </c>
      <c r="F5" s="400"/>
      <c r="H5" s="208"/>
    </row>
    <row r="6" spans="1:9" ht="21.75" customHeight="1">
      <c r="A6" s="211" t="s">
        <v>1068</v>
      </c>
      <c r="B6" s="212" t="str">
        <f>IFERROR(VLOOKUP(A6,'Tổng,SUMMARY'!C:D,2,0),)</f>
        <v xml:space="preserve">KS-870270 </v>
      </c>
      <c r="C6" s="342">
        <v>46296</v>
      </c>
      <c r="D6" s="213"/>
      <c r="E6" s="214">
        <v>1200</v>
      </c>
      <c r="F6" s="215"/>
      <c r="G6" s="216"/>
      <c r="H6" s="208"/>
      <c r="I6" s="216"/>
    </row>
    <row r="7" spans="1:9" ht="21.75" customHeight="1">
      <c r="A7" s="217" t="s">
        <v>1069</v>
      </c>
      <c r="B7" s="212" t="str">
        <f>IFERROR(VLOOKUP(A7,'Tổng,SUMMARY'!C:D,2,0),)</f>
        <v>KS-870317</v>
      </c>
      <c r="C7" s="342">
        <v>46296</v>
      </c>
      <c r="D7" s="213"/>
      <c r="E7" s="214">
        <v>500</v>
      </c>
      <c r="F7" s="218"/>
      <c r="H7" s="208"/>
      <c r="I7" s="208"/>
    </row>
    <row r="8" spans="1:9" ht="21.75" customHeight="1">
      <c r="A8" s="217" t="s">
        <v>1071</v>
      </c>
      <c r="B8" s="212" t="str">
        <f>IFERROR(VLOOKUP(A8,'Tổng,SUMMARY'!C:D,2,0),)</f>
        <v>KS-870253</v>
      </c>
      <c r="C8" s="342">
        <v>46296</v>
      </c>
      <c r="D8" s="213"/>
      <c r="E8" s="214">
        <v>500</v>
      </c>
      <c r="F8" s="218"/>
      <c r="H8" s="208"/>
      <c r="I8" s="208"/>
    </row>
    <row r="9" spans="1:9" ht="21.75" customHeight="1">
      <c r="A9" s="211" t="s">
        <v>1072</v>
      </c>
      <c r="B9" s="212" t="str">
        <f>IFERROR(VLOOKUP(A9,'Tổng,SUMMARY'!C:D,2,0),)</f>
        <v>KS-880975</v>
      </c>
      <c r="C9" s="342">
        <v>46296</v>
      </c>
      <c r="D9" s="213"/>
      <c r="E9" s="214">
        <v>900</v>
      </c>
      <c r="F9" s="218"/>
      <c r="H9" s="208"/>
      <c r="I9" s="208"/>
    </row>
    <row r="10" spans="1:9" ht="21.75" customHeight="1">
      <c r="A10" s="211" t="s">
        <v>1073</v>
      </c>
      <c r="B10" s="212" t="str">
        <f>IFERROR(VLOOKUP(A10,'Tổng,SUMMARY'!C:D,2,0),)</f>
        <v>KS-880373</v>
      </c>
      <c r="C10" s="342">
        <v>46297</v>
      </c>
      <c r="D10" s="213"/>
      <c r="E10" s="214">
        <v>400</v>
      </c>
      <c r="F10" s="218"/>
      <c r="H10" s="208"/>
      <c r="I10" s="208"/>
    </row>
    <row r="11" spans="1:9" ht="21.75" customHeight="1">
      <c r="A11" s="211" t="s">
        <v>1031</v>
      </c>
      <c r="B11" s="212" t="str">
        <f>IFERROR(VLOOKUP(A11,'Tổng,SUMMARY'!C:D,2,0),)</f>
        <v>KS-881300</v>
      </c>
      <c r="C11" s="342">
        <v>46297</v>
      </c>
      <c r="D11" s="213"/>
      <c r="E11" s="214">
        <f>2000+2000</f>
        <v>4000</v>
      </c>
      <c r="F11" s="218"/>
      <c r="H11" s="208"/>
      <c r="I11" s="208"/>
    </row>
    <row r="12" spans="1:9" ht="21.75" customHeight="1">
      <c r="A12" s="217" t="s">
        <v>1074</v>
      </c>
      <c r="B12" s="212" t="str">
        <f>IFERROR(VLOOKUP(A12,'Tổng,SUMMARY'!C:D,2,0),)</f>
        <v>KS-880575</v>
      </c>
      <c r="C12" s="342">
        <v>46297</v>
      </c>
      <c r="D12" s="213"/>
      <c r="E12" s="214">
        <v>1000</v>
      </c>
      <c r="F12" s="218"/>
      <c r="H12" s="208"/>
    </row>
    <row r="13" spans="1:9" ht="21.75" customHeight="1">
      <c r="A13" s="217" t="s">
        <v>1025</v>
      </c>
      <c r="B13" s="212" t="str">
        <f>IFERROR(VLOOKUP(A13,'Tổng,SUMMARY'!C:D,2,0),)</f>
        <v>KS-880104</v>
      </c>
      <c r="C13" s="342">
        <v>46297</v>
      </c>
      <c r="D13" s="213"/>
      <c r="E13" s="214">
        <v>2000</v>
      </c>
      <c r="F13" s="218"/>
      <c r="H13" s="208"/>
    </row>
    <row r="14" spans="1:9" ht="21.75" customHeight="1">
      <c r="A14" s="211" t="s">
        <v>1062</v>
      </c>
      <c r="B14" s="212" t="str">
        <f>IFERROR(VLOOKUP(A14,'Tổng,SUMMARY'!C:D,2,0),)</f>
        <v>KS-871270</v>
      </c>
      <c r="C14" s="342">
        <v>46297</v>
      </c>
      <c r="D14" s="213"/>
      <c r="E14" s="214">
        <v>1000</v>
      </c>
      <c r="F14" s="218"/>
      <c r="H14" s="208"/>
    </row>
    <row r="15" spans="1:9" ht="21.75" customHeight="1">
      <c r="A15" s="211" t="s">
        <v>1047</v>
      </c>
      <c r="B15" s="212" t="str">
        <f>IFERROR(VLOOKUP(A15,'Tổng,SUMMARY'!C:D,2,0),)</f>
        <v>KS-880959</v>
      </c>
      <c r="C15" s="342">
        <v>46297</v>
      </c>
      <c r="D15" s="213"/>
      <c r="E15" s="214">
        <v>10000</v>
      </c>
      <c r="F15" s="218"/>
      <c r="H15" s="208"/>
    </row>
    <row r="16" spans="1:9" ht="21.75" customHeight="1">
      <c r="A16" s="211" t="s">
        <v>1075</v>
      </c>
      <c r="B16" s="212" t="str">
        <f>IFERROR(VLOOKUP(A16,'Tổng,SUMMARY'!C:D,2,0),)</f>
        <v>KS-880372</v>
      </c>
      <c r="C16" s="342">
        <v>46297</v>
      </c>
      <c r="D16" s="213"/>
      <c r="E16" s="214">
        <v>10000</v>
      </c>
      <c r="F16" s="218"/>
    </row>
    <row r="17" spans="1:6" ht="21.75" customHeight="1">
      <c r="A17" s="217" t="s">
        <v>1076</v>
      </c>
      <c r="B17" s="212" t="str">
        <f>IFERROR(VLOOKUP(A17,'Tổng,SUMMARY'!C:D,2,0),)</f>
        <v>KS-881300</v>
      </c>
      <c r="C17" s="342">
        <v>46297</v>
      </c>
      <c r="D17" s="213"/>
      <c r="E17" s="214">
        <v>2000</v>
      </c>
      <c r="F17" s="218"/>
    </row>
    <row r="18" spans="1:6" ht="21.75" customHeight="1">
      <c r="A18" s="211" t="s">
        <v>1077</v>
      </c>
      <c r="B18" s="212" t="str">
        <f>IFERROR(VLOOKUP(A18,'Tổng,SUMMARY'!C:D,2,0),)</f>
        <v>KS-880351</v>
      </c>
      <c r="C18" s="342">
        <v>46297</v>
      </c>
      <c r="D18" s="213"/>
      <c r="E18" s="214">
        <v>800</v>
      </c>
      <c r="F18" s="218"/>
    </row>
    <row r="19" spans="1:6" ht="21.75" customHeight="1">
      <c r="A19" s="211" t="s">
        <v>1065</v>
      </c>
      <c r="B19" s="212" t="str">
        <f>IFERROR(VLOOKUP(A19,'Tổng,SUMMARY'!C:D,2,0),)</f>
        <v>KS-881057</v>
      </c>
      <c r="C19" s="342">
        <v>46297</v>
      </c>
      <c r="D19" s="213"/>
      <c r="E19" s="214">
        <v>2400</v>
      </c>
      <c r="F19" s="218"/>
    </row>
    <row r="20" spans="1:6" ht="21.75" customHeight="1">
      <c r="A20" s="211" t="s">
        <v>1026</v>
      </c>
      <c r="B20" s="212" t="str">
        <f>IFERROR(VLOOKUP(A20,'Tổng,SUMMARY'!C:D,2,0),)</f>
        <v>KS-881047</v>
      </c>
      <c r="C20" s="342">
        <v>46297</v>
      </c>
      <c r="D20" s="213"/>
      <c r="E20" s="214">
        <v>1400</v>
      </c>
      <c r="F20" s="218"/>
    </row>
    <row r="21" spans="1:6" ht="21.75" customHeight="1">
      <c r="A21" s="211" t="s">
        <v>1062</v>
      </c>
      <c r="B21" s="212" t="str">
        <f>IFERROR(VLOOKUP(A21,'Tổng,SUMMARY'!C:D,2,0),)</f>
        <v>KS-871270</v>
      </c>
      <c r="C21" s="342">
        <v>46297</v>
      </c>
      <c r="D21" s="213"/>
      <c r="E21" s="214">
        <v>1200</v>
      </c>
      <c r="F21" s="218"/>
    </row>
    <row r="22" spans="1:6" ht="21.75" customHeight="1">
      <c r="A22" s="217" t="s">
        <v>1147</v>
      </c>
      <c r="B22" s="212" t="str">
        <f>IFERROR(VLOOKUP(A22,'Tổng,SUMMARY'!C:D,2,0),)</f>
        <v>KS-880748</v>
      </c>
      <c r="C22" s="342">
        <v>46300</v>
      </c>
      <c r="D22" s="213"/>
      <c r="E22" s="214">
        <v>2000</v>
      </c>
      <c r="F22" s="218"/>
    </row>
    <row r="23" spans="1:6" ht="21.75" customHeight="1">
      <c r="A23" s="211" t="s">
        <v>1149</v>
      </c>
      <c r="B23" s="212" t="str">
        <f>IFERROR(VLOOKUP(A23,'Tổng,SUMMARY'!C:D,2,0),)</f>
        <v>KS-89046</v>
      </c>
      <c r="C23" s="342">
        <v>46300</v>
      </c>
      <c r="D23" s="213"/>
      <c r="E23" s="214">
        <v>3960</v>
      </c>
      <c r="F23" s="218"/>
    </row>
    <row r="24" spans="1:6" ht="21.75" customHeight="1">
      <c r="A24" s="211" t="s">
        <v>1150</v>
      </c>
      <c r="B24" s="212" t="str">
        <f>IFERROR(VLOOKUP(A24,'Tổng,SUMMARY'!C:D,2,0),)</f>
        <v>KS-89069</v>
      </c>
      <c r="C24" s="342">
        <v>46300</v>
      </c>
      <c r="D24" s="213"/>
      <c r="E24" s="214">
        <v>720</v>
      </c>
      <c r="F24" s="218"/>
    </row>
    <row r="25" spans="1:6" ht="21.75" customHeight="1">
      <c r="A25" s="211" t="s">
        <v>1151</v>
      </c>
      <c r="B25" s="212" t="str">
        <f>IFERROR(VLOOKUP(A25,'Tổng,SUMMARY'!C:D,2,0),)</f>
        <v>KS-89073</v>
      </c>
      <c r="C25" s="342">
        <v>46300</v>
      </c>
      <c r="D25" s="213"/>
      <c r="E25" s="214">
        <v>300</v>
      </c>
      <c r="F25" s="218"/>
    </row>
    <row r="26" spans="1:6" ht="21.75" customHeight="1">
      <c r="A26" s="217" t="s">
        <v>1054</v>
      </c>
      <c r="B26" s="212" t="str">
        <f>IFERROR(VLOOKUP(A26,'Tổng,SUMMARY'!C:D,2,0),)</f>
        <v>KS-880944</v>
      </c>
      <c r="C26" s="342">
        <v>46300</v>
      </c>
      <c r="D26" s="213"/>
      <c r="E26" s="214">
        <v>10800</v>
      </c>
      <c r="F26" s="218"/>
    </row>
    <row r="27" spans="1:6" ht="21.75" customHeight="1">
      <c r="A27" s="211" t="s">
        <v>1118</v>
      </c>
      <c r="B27" s="212" t="str">
        <f>IFERROR(VLOOKUP(A27,'Tổng,SUMMARY'!C:D,2,0),)</f>
        <v>KS-880104</v>
      </c>
      <c r="C27" s="342">
        <v>46300</v>
      </c>
      <c r="D27" s="213"/>
      <c r="E27" s="214">
        <v>2700</v>
      </c>
      <c r="F27" s="218"/>
    </row>
    <row r="28" spans="1:6" ht="21.75" customHeight="1">
      <c r="A28" s="211" t="s">
        <v>75</v>
      </c>
      <c r="B28" s="212" t="str">
        <f>IFERROR(VLOOKUP(A28,'Tổng,SUMMARY'!C:D,2,0),)</f>
        <v>KS-881512</v>
      </c>
      <c r="C28" s="342">
        <v>46300</v>
      </c>
      <c r="D28" s="213"/>
      <c r="E28" s="214">
        <v>3600</v>
      </c>
      <c r="F28" s="218"/>
    </row>
    <row r="29" spans="1:6" ht="21.75" customHeight="1">
      <c r="A29" s="211" t="s">
        <v>1048</v>
      </c>
      <c r="B29" s="212" t="str">
        <f>IFERROR(VLOOKUP(A29,'Tổng,SUMMARY'!C:D,2,0),)</f>
        <v>KS-880753</v>
      </c>
      <c r="C29" s="342">
        <v>46300</v>
      </c>
      <c r="D29" s="213"/>
      <c r="E29" s="214">
        <v>7200</v>
      </c>
      <c r="F29" s="218"/>
    </row>
    <row r="30" spans="1:6" ht="21.75" customHeight="1">
      <c r="A30" s="217" t="s">
        <v>800</v>
      </c>
      <c r="B30" s="212" t="str">
        <f>IFERROR(VLOOKUP(A30,'Tổng,SUMMARY'!C:D,2,0),)</f>
        <v>KS-881041</v>
      </c>
      <c r="C30" s="342">
        <v>46300</v>
      </c>
      <c r="D30" s="213"/>
      <c r="E30" s="214">
        <v>3600</v>
      </c>
      <c r="F30" s="218"/>
    </row>
    <row r="31" spans="1:6" ht="21.75" customHeight="1">
      <c r="A31" s="211" t="s">
        <v>1033</v>
      </c>
      <c r="B31" s="212" t="str">
        <f>IFERROR(VLOOKUP(A31,'Tổng,SUMMARY'!C:D,2,0),)</f>
        <v>KS-881362</v>
      </c>
      <c r="C31" s="342">
        <v>46300</v>
      </c>
      <c r="D31" s="213"/>
      <c r="E31" s="214">
        <v>3600</v>
      </c>
      <c r="F31" s="218"/>
    </row>
    <row r="32" spans="1:6" ht="21.75" customHeight="1">
      <c r="A32" s="211" t="s">
        <v>981</v>
      </c>
      <c r="B32" s="212" t="str">
        <f>IFERROR(VLOOKUP(A32,'Tổng,SUMMARY'!C:D,2,0),)</f>
        <v>KS-881527</v>
      </c>
      <c r="C32" s="342">
        <v>46300</v>
      </c>
      <c r="D32" s="213"/>
      <c r="E32" s="214">
        <v>3600</v>
      </c>
      <c r="F32" s="218"/>
    </row>
    <row r="33" spans="1:6" ht="21.75" customHeight="1">
      <c r="A33" s="211" t="s">
        <v>1032</v>
      </c>
      <c r="B33" s="212" t="str">
        <f>IFERROR(VLOOKUP(A33,'Tổng,SUMMARY'!C:D,2,0),)</f>
        <v>KS-881462</v>
      </c>
      <c r="C33" s="342">
        <v>46300</v>
      </c>
      <c r="D33" s="213"/>
      <c r="E33" s="214">
        <v>14400</v>
      </c>
      <c r="F33" s="218"/>
    </row>
    <row r="34" spans="1:6" ht="21.75" customHeight="1">
      <c r="A34" s="211" t="s">
        <v>1142</v>
      </c>
      <c r="B34" s="212" t="str">
        <f>IFERROR(VLOOKUP(A34,'Tổng,SUMMARY'!C:D,2,0),)</f>
        <v>KS-881047</v>
      </c>
      <c r="C34" s="342">
        <v>46301</v>
      </c>
      <c r="D34" s="213"/>
      <c r="E34" s="214">
        <v>2000</v>
      </c>
      <c r="F34" s="218"/>
    </row>
    <row r="35" spans="1:6" ht="21.75" customHeight="1">
      <c r="A35" s="217" t="s">
        <v>921</v>
      </c>
      <c r="B35" s="212" t="str">
        <f>IFERROR(VLOOKUP(A35,'Tổng,SUMMARY'!C:D,2,0),)</f>
        <v>KS-8809</v>
      </c>
      <c r="C35" s="342">
        <v>46301</v>
      </c>
      <c r="D35" s="213"/>
      <c r="E35" s="214">
        <v>3000</v>
      </c>
      <c r="F35" s="218"/>
    </row>
    <row r="36" spans="1:6" ht="21.75" customHeight="1">
      <c r="A36" s="217" t="s">
        <v>1176</v>
      </c>
      <c r="B36" s="212" t="str">
        <f>IFERROR(VLOOKUP(A36,'Tổng,SUMMARY'!C:D,2,0),)</f>
        <v>KS-880624</v>
      </c>
      <c r="C36" s="342">
        <v>46301</v>
      </c>
      <c r="D36" s="213"/>
      <c r="E36" s="214">
        <v>300</v>
      </c>
      <c r="F36" s="218"/>
    </row>
    <row r="37" spans="1:6" ht="21.75" customHeight="1">
      <c r="A37" s="211" t="s">
        <v>1178</v>
      </c>
      <c r="B37" s="212" t="str">
        <f>IFERROR(VLOOKUP(A37,'Tổng,SUMMARY'!C:D,2,0),)</f>
        <v>KS-870996</v>
      </c>
      <c r="C37" s="342">
        <v>46301</v>
      </c>
      <c r="D37" s="213"/>
      <c r="E37" s="214">
        <v>7000</v>
      </c>
      <c r="F37" s="218"/>
    </row>
    <row r="38" spans="1:6" ht="21.75" customHeight="1">
      <c r="A38" s="217" t="s">
        <v>1054</v>
      </c>
      <c r="B38" s="212" t="str">
        <f>IFERROR(VLOOKUP(A38,'Tổng,SUMMARY'!C:D,2,0),)</f>
        <v>KS-880944</v>
      </c>
      <c r="C38" s="342">
        <v>46302</v>
      </c>
      <c r="D38" s="213"/>
      <c r="E38" s="214">
        <v>7200</v>
      </c>
      <c r="F38" s="218"/>
    </row>
    <row r="39" spans="1:6" ht="21.75" customHeight="1">
      <c r="A39" s="211" t="s">
        <v>1048</v>
      </c>
      <c r="B39" s="212" t="str">
        <f>IFERROR(VLOOKUP(A39,'Tổng,SUMMARY'!C:D,2,0),)</f>
        <v>KS-880753</v>
      </c>
      <c r="C39" s="342">
        <v>46302</v>
      </c>
      <c r="D39" s="213"/>
      <c r="E39" s="214">
        <v>10800</v>
      </c>
      <c r="F39" s="218"/>
    </row>
    <row r="40" spans="1:6" ht="21.75" customHeight="1">
      <c r="A40" s="211" t="s">
        <v>1033</v>
      </c>
      <c r="B40" s="212" t="str">
        <f>IFERROR(VLOOKUP(A40,'Tổng,SUMMARY'!C:D,2,0),)</f>
        <v>KS-881362</v>
      </c>
      <c r="C40" s="342">
        <v>46302</v>
      </c>
      <c r="D40" s="213"/>
      <c r="E40" s="214">
        <v>3600</v>
      </c>
      <c r="F40" s="218"/>
    </row>
    <row r="41" spans="1:6" ht="21.75" customHeight="1">
      <c r="A41" s="211" t="s">
        <v>894</v>
      </c>
      <c r="B41" s="212" t="str">
        <f>IFERROR(VLOOKUP(A41,'Tổng,SUMMARY'!C:D,2,0),)</f>
        <v>KS-871382</v>
      </c>
      <c r="C41" s="342">
        <v>46302</v>
      </c>
      <c r="D41" s="213"/>
      <c r="E41" s="214">
        <v>3600</v>
      </c>
      <c r="F41" s="218"/>
    </row>
    <row r="42" spans="1:6" ht="21.75" customHeight="1">
      <c r="A42" s="211" t="s">
        <v>1032</v>
      </c>
      <c r="B42" s="212" t="str">
        <f>IFERROR(VLOOKUP(A42,'Tổng,SUMMARY'!C:D,2,0),)</f>
        <v>KS-881462</v>
      </c>
      <c r="C42" s="342">
        <v>46302</v>
      </c>
      <c r="D42" s="213"/>
      <c r="E42" s="214">
        <v>3600</v>
      </c>
      <c r="F42" s="218"/>
    </row>
    <row r="43" spans="1:6" ht="21.75" customHeight="1">
      <c r="A43" s="217" t="s">
        <v>1035</v>
      </c>
      <c r="B43" s="212" t="str">
        <f>IFERROR(VLOOKUP(A43,'Tổng,SUMMARY'!C:D,2,0),)</f>
        <v>KS-880374</v>
      </c>
      <c r="C43" s="342">
        <v>46302</v>
      </c>
      <c r="D43" s="213"/>
      <c r="E43" s="214">
        <v>7200</v>
      </c>
      <c r="F43" s="218"/>
    </row>
    <row r="44" spans="1:6" ht="21.75" customHeight="1">
      <c r="A44" s="211" t="s">
        <v>1181</v>
      </c>
      <c r="B44" s="212" t="str">
        <f>IFERROR(VLOOKUP(A44,'Tổng,SUMMARY'!C:D,2,0),)</f>
        <v>KS-871056</v>
      </c>
      <c r="C44" s="342">
        <v>46302</v>
      </c>
      <c r="D44" s="213"/>
      <c r="E44" s="214">
        <v>1000</v>
      </c>
      <c r="F44" s="218"/>
    </row>
    <row r="45" spans="1:6" ht="21.75" customHeight="1">
      <c r="A45" s="211" t="s">
        <v>1235</v>
      </c>
      <c r="B45" s="212" t="str">
        <f>IFERROR(VLOOKUP(A45,'Tổng,SUMMARY'!C:D,2,0),)</f>
        <v>KS-890209</v>
      </c>
      <c r="C45" s="342">
        <v>46303</v>
      </c>
      <c r="D45" s="213"/>
      <c r="E45" s="214">
        <v>270</v>
      </c>
      <c r="F45" s="218"/>
    </row>
    <row r="46" spans="1:6" ht="21.75" customHeight="1">
      <c r="A46" s="211" t="s">
        <v>1237</v>
      </c>
      <c r="B46" s="212" t="str">
        <f>IFERROR(VLOOKUP(A46,'Tổng,SUMMARY'!C:D,2,0),)</f>
        <v>KS-881483</v>
      </c>
      <c r="C46" s="342">
        <v>46303</v>
      </c>
      <c r="D46" s="213"/>
      <c r="E46" s="214">
        <v>3000</v>
      </c>
      <c r="F46" s="218"/>
    </row>
    <row r="47" spans="1:6" ht="21.75" customHeight="1">
      <c r="A47" s="211" t="s">
        <v>1238</v>
      </c>
      <c r="B47" s="212" t="str">
        <f>IFERROR(VLOOKUP(A47,'Tổng,SUMMARY'!C:D,2,0),)</f>
        <v>KS-890209</v>
      </c>
      <c r="C47" s="342">
        <v>46303</v>
      </c>
      <c r="D47" s="213"/>
      <c r="E47" s="214">
        <v>1320</v>
      </c>
      <c r="F47" s="218"/>
    </row>
    <row r="48" spans="1:6" ht="21.75" customHeight="1">
      <c r="A48" s="211" t="s">
        <v>1239</v>
      </c>
      <c r="B48" s="212" t="str">
        <f>IFERROR(VLOOKUP(A48,'Tổng,SUMMARY'!C:D,2,0),)</f>
        <v>KS-870582</v>
      </c>
      <c r="C48" s="342">
        <v>46303</v>
      </c>
      <c r="D48" s="213"/>
      <c r="E48" s="214">
        <v>100</v>
      </c>
      <c r="F48" s="218"/>
    </row>
    <row r="49" spans="1:6" ht="21.75" customHeight="1">
      <c r="A49" s="211" t="s">
        <v>1181</v>
      </c>
      <c r="B49" s="212" t="str">
        <f>IFERROR(VLOOKUP(A49,'Tổng,SUMMARY'!C:D,2,0),)</f>
        <v>KS-871056</v>
      </c>
      <c r="C49" s="342">
        <v>46303</v>
      </c>
      <c r="D49" s="213"/>
      <c r="E49" s="214">
        <v>1000</v>
      </c>
      <c r="F49" s="218"/>
    </row>
    <row r="50" spans="1:6" ht="21.75" customHeight="1">
      <c r="A50" s="217" t="s">
        <v>1240</v>
      </c>
      <c r="B50" s="212" t="str">
        <f>IFERROR(VLOOKUP(A50,'Tổng,SUMMARY'!C:D,2,0),)</f>
        <v>KS-89069</v>
      </c>
      <c r="C50" s="342">
        <v>46303</v>
      </c>
      <c r="D50" s="213"/>
      <c r="E50" s="214">
        <v>600</v>
      </c>
      <c r="F50" s="218"/>
    </row>
    <row r="51" spans="1:6" ht="21.75" customHeight="1">
      <c r="A51" s="211" t="s">
        <v>1242</v>
      </c>
      <c r="B51" s="212" t="str">
        <f>IFERROR(VLOOKUP(A51,'Tổng,SUMMARY'!C:D,2,0),)</f>
        <v>KS-881608</v>
      </c>
      <c r="C51" s="342">
        <v>46303</v>
      </c>
      <c r="D51" s="213"/>
      <c r="E51" s="214">
        <v>200</v>
      </c>
      <c r="F51" s="218"/>
    </row>
    <row r="52" spans="1:6" ht="21.75" customHeight="1">
      <c r="A52" s="217" t="s">
        <v>1243</v>
      </c>
      <c r="B52" s="212" t="str">
        <f>IFERROR(VLOOKUP(A52,'Tổng,SUMMARY'!C:D,2,0),)</f>
        <v>KS-881300</v>
      </c>
      <c r="C52" s="342">
        <v>46303</v>
      </c>
      <c r="D52" s="213"/>
      <c r="E52" s="214">
        <v>4000</v>
      </c>
      <c r="F52" s="218"/>
    </row>
    <row r="53" spans="1:6" ht="21.75" customHeight="1">
      <c r="A53" s="211" t="s">
        <v>1245</v>
      </c>
      <c r="B53" s="212" t="str">
        <f>IFERROR(VLOOKUP(A53,'Tổng,SUMMARY'!C:D,2,0),)</f>
        <v>KS-881487</v>
      </c>
      <c r="C53" s="342">
        <v>46303</v>
      </c>
      <c r="D53" s="213"/>
      <c r="E53" s="214">
        <v>1000</v>
      </c>
      <c r="F53" s="218"/>
    </row>
    <row r="54" spans="1:6" ht="21.75" customHeight="1">
      <c r="A54" s="211" t="s">
        <v>1247</v>
      </c>
      <c r="B54" s="212" t="str">
        <f>IFERROR(VLOOKUP(A54,'Tổng,SUMMARY'!C:D,2,0),)</f>
        <v>KS-881047</v>
      </c>
      <c r="C54" s="342">
        <v>46303</v>
      </c>
      <c r="D54" s="213"/>
      <c r="E54" s="214">
        <v>2000</v>
      </c>
      <c r="F54" s="218"/>
    </row>
    <row r="55" spans="1:6" ht="21.75" customHeight="1">
      <c r="A55" s="217" t="s">
        <v>1249</v>
      </c>
      <c r="B55" s="212" t="str">
        <f>IFERROR(VLOOKUP(A55,'Tổng,SUMMARY'!C:D,2,0),)</f>
        <v>KS-880959</v>
      </c>
      <c r="C55" s="342">
        <v>46303</v>
      </c>
      <c r="D55" s="213"/>
      <c r="E55" s="214">
        <v>10000</v>
      </c>
      <c r="F55" s="218"/>
    </row>
    <row r="56" spans="1:6" ht="21.75" customHeight="1">
      <c r="A56" s="217" t="s">
        <v>1106</v>
      </c>
      <c r="B56" s="212" t="str">
        <f>IFERROR(VLOOKUP(A56,'Tổng,SUMMARY'!C:D,2,0),)</f>
        <v>KS-880372</v>
      </c>
      <c r="C56" s="342">
        <v>46303</v>
      </c>
      <c r="D56" s="213"/>
      <c r="E56" s="214">
        <v>10000</v>
      </c>
      <c r="F56" s="218"/>
    </row>
    <row r="57" spans="1:6" ht="21.75" customHeight="1">
      <c r="A57" s="217" t="s">
        <v>1168</v>
      </c>
      <c r="B57" s="212" t="str">
        <f>IFERROR(VLOOKUP(A57,'Tổng,SUMMARY'!C:D,2,0),)</f>
        <v>KS-880754</v>
      </c>
      <c r="C57" s="342">
        <v>46303</v>
      </c>
      <c r="D57" s="213"/>
      <c r="E57" s="214">
        <v>900</v>
      </c>
      <c r="F57" s="218"/>
    </row>
    <row r="58" spans="1:6" ht="21.75" customHeight="1">
      <c r="A58" s="217" t="s">
        <v>1251</v>
      </c>
      <c r="B58" s="212" t="str">
        <f>IFERROR(VLOOKUP(A58,'Tổng,SUMMARY'!C:D,2,0),)</f>
        <v>KS-880400</v>
      </c>
      <c r="C58" s="342">
        <v>46303</v>
      </c>
      <c r="D58" s="213"/>
      <c r="E58" s="214">
        <v>400</v>
      </c>
      <c r="F58" s="218"/>
    </row>
    <row r="59" spans="1:6" ht="21.75" customHeight="1">
      <c r="A59" s="211" t="s">
        <v>1184</v>
      </c>
      <c r="B59" s="212" t="str">
        <f>IFERROR(VLOOKUP(A59,'Tổng,SUMMARY'!C:D,2,0),)</f>
        <v>KS-871056</v>
      </c>
      <c r="C59" s="342">
        <v>46303</v>
      </c>
      <c r="D59" s="213"/>
      <c r="E59" s="214">
        <v>1000</v>
      </c>
      <c r="F59" s="218"/>
    </row>
    <row r="60" spans="1:6" ht="21.75" customHeight="1">
      <c r="A60" s="211" t="s">
        <v>1252</v>
      </c>
      <c r="B60" s="212" t="str">
        <f>IFERROR(VLOOKUP(A60,'Tổng,SUMMARY'!C:D,2,0),)</f>
        <v>KS-870247</v>
      </c>
      <c r="C60" s="342">
        <v>46303</v>
      </c>
      <c r="D60" s="213"/>
      <c r="E60" s="214">
        <v>1400</v>
      </c>
      <c r="F60" s="218"/>
    </row>
    <row r="61" spans="1:6" ht="21.75" customHeight="1">
      <c r="A61" s="211" t="s">
        <v>1254</v>
      </c>
      <c r="B61" s="212" t="str">
        <f>IFERROR(VLOOKUP(A61,'Tổng,SUMMARY'!C:D,2,0),)</f>
        <v>KS-881057</v>
      </c>
      <c r="C61" s="342">
        <v>46303</v>
      </c>
      <c r="D61" s="213"/>
      <c r="E61" s="214">
        <v>2400</v>
      </c>
      <c r="F61" s="218"/>
    </row>
    <row r="62" spans="1:6" ht="21.75" customHeight="1">
      <c r="A62" s="211" t="s">
        <v>1255</v>
      </c>
      <c r="B62" s="212" t="str">
        <f>IFERROR(VLOOKUP(A62,'Tổng,SUMMARY'!C:D,2,0),)</f>
        <v>KS-870197</v>
      </c>
      <c r="C62" s="342">
        <v>46303</v>
      </c>
      <c r="D62" s="213"/>
      <c r="E62" s="211">
        <v>1500</v>
      </c>
      <c r="F62" s="218"/>
    </row>
    <row r="63" spans="1:6" ht="21.75" customHeight="1">
      <c r="A63" s="211" t="s">
        <v>1256</v>
      </c>
      <c r="B63" s="212" t="str">
        <f>IFERROR(VLOOKUP(A63,'Tổng,SUMMARY'!C:D,2,0),)</f>
        <v>KS-871270</v>
      </c>
      <c r="C63" s="342">
        <v>46303</v>
      </c>
      <c r="D63" s="213"/>
      <c r="E63" s="214">
        <v>500</v>
      </c>
      <c r="F63" s="218"/>
    </row>
    <row r="64" spans="1:6" ht="21.75" customHeight="1">
      <c r="A64" s="217" t="s">
        <v>1286</v>
      </c>
      <c r="B64" s="212" t="str">
        <f>IFERROR(VLOOKUP(A64,'Tổng,SUMMARY'!C:D,2,0),)</f>
        <v>KS-870317</v>
      </c>
      <c r="C64" s="342">
        <v>46304</v>
      </c>
      <c r="D64" s="213"/>
      <c r="E64" s="214">
        <v>400</v>
      </c>
      <c r="F64" s="218"/>
    </row>
    <row r="65" spans="1:6" ht="21.75" customHeight="1">
      <c r="A65" s="211" t="s">
        <v>1287</v>
      </c>
      <c r="B65" s="212" t="str">
        <f>IFERROR(VLOOKUP(A65,'Tổng,SUMMARY'!C:D,2,0),)</f>
        <v>KS-880120</v>
      </c>
      <c r="C65" s="342">
        <v>46304</v>
      </c>
      <c r="D65" s="213"/>
      <c r="E65" s="214">
        <v>300</v>
      </c>
      <c r="F65" s="218"/>
    </row>
    <row r="66" spans="1:6" ht="21.75" customHeight="1">
      <c r="A66" s="217" t="s">
        <v>1288</v>
      </c>
      <c r="B66" s="212" t="str">
        <f>IFERROR(VLOOKUP(A66,'Tổng,SUMMARY'!C:D,2,0),)</f>
        <v>KS-880355</v>
      </c>
      <c r="C66" s="342">
        <v>46304</v>
      </c>
      <c r="D66" s="213"/>
      <c r="E66" s="214">
        <v>300</v>
      </c>
      <c r="F66" s="218"/>
    </row>
    <row r="67" spans="1:6" ht="21.75" customHeight="1">
      <c r="A67" s="211" t="s">
        <v>1289</v>
      </c>
      <c r="B67" s="212" t="str">
        <f>IFERROR(VLOOKUP(A67,'Tổng,SUMMARY'!C:D,2,0),)</f>
        <v>KS-8809</v>
      </c>
      <c r="C67" s="342">
        <v>46304</v>
      </c>
      <c r="D67" s="213"/>
      <c r="E67" s="214">
        <v>1500</v>
      </c>
      <c r="F67" s="218"/>
    </row>
    <row r="68" spans="1:6" ht="21.75" customHeight="1">
      <c r="A68" s="211" t="s">
        <v>1290</v>
      </c>
      <c r="B68" s="212" t="str">
        <f>IFERROR(VLOOKUP(A68,'Tổng,SUMMARY'!C:D,2,0),)</f>
        <v>KS-88188</v>
      </c>
      <c r="C68" s="342">
        <v>46304</v>
      </c>
      <c r="D68" s="213"/>
      <c r="E68" s="214">
        <v>13600</v>
      </c>
      <c r="F68" s="218"/>
    </row>
    <row r="69" spans="1:6" ht="21.75" customHeight="1">
      <c r="A69" s="211" t="s">
        <v>1291</v>
      </c>
      <c r="B69" s="212" t="str">
        <f>IFERROR(VLOOKUP(A69,'Tổng,SUMMARY'!C:D,2,0),)</f>
        <v>KS-880104</v>
      </c>
      <c r="C69" s="342">
        <v>46304</v>
      </c>
      <c r="D69" s="213"/>
      <c r="E69" s="214">
        <v>1000</v>
      </c>
      <c r="F69" s="218"/>
    </row>
    <row r="70" spans="1:6" ht="21.75" customHeight="1">
      <c r="A70" s="217" t="s">
        <v>1292</v>
      </c>
      <c r="B70" s="212" t="str">
        <f>IFERROR(VLOOKUP(A70,'Tổng,SUMMARY'!C:D,2,0),)</f>
        <v>KS-880754</v>
      </c>
      <c r="C70" s="342">
        <v>46304</v>
      </c>
      <c r="D70" s="213"/>
      <c r="E70" s="214">
        <v>1000</v>
      </c>
      <c r="F70" s="218"/>
    </row>
    <row r="71" spans="1:6" ht="21.75" customHeight="1">
      <c r="A71" s="217" t="s">
        <v>1293</v>
      </c>
      <c r="B71" s="212" t="str">
        <f>IFERROR(VLOOKUP(A71,'Tổng,SUMMARY'!C:D,2,0),)</f>
        <v>KS-870247</v>
      </c>
      <c r="C71" s="342">
        <v>46304</v>
      </c>
      <c r="D71" s="213"/>
      <c r="E71" s="214">
        <v>400</v>
      </c>
      <c r="F71" s="218"/>
    </row>
    <row r="72" spans="1:6" ht="21.75" customHeight="1">
      <c r="A72" s="211" t="s">
        <v>1294</v>
      </c>
      <c r="B72" s="212" t="str">
        <f>IFERROR(VLOOKUP(A72,'Tổng,SUMMARY'!C:D,2,0),)</f>
        <v>KS-881232</v>
      </c>
      <c r="C72" s="342">
        <v>46304</v>
      </c>
      <c r="D72" s="342"/>
      <c r="E72" s="214">
        <v>100</v>
      </c>
      <c r="F72" s="218"/>
    </row>
    <row r="73" spans="1:6" ht="21.75" customHeight="1">
      <c r="A73" s="219" t="s">
        <v>1295</v>
      </c>
      <c r="B73" s="212" t="str">
        <f>IFERROR(VLOOKUP(A73,'Tổng,SUMMARY'!C:D,2,0),)</f>
        <v>KS-870953</v>
      </c>
      <c r="C73" s="342">
        <v>46304</v>
      </c>
      <c r="D73" s="213"/>
      <c r="E73" s="214">
        <v>200</v>
      </c>
      <c r="F73" s="218"/>
    </row>
    <row r="74" spans="1:6" ht="21.75" customHeight="1">
      <c r="A74" s="211" t="s">
        <v>1297</v>
      </c>
      <c r="B74" s="212" t="str">
        <f>IFERROR(VLOOKUP(A74,'Tổng,SUMMARY'!C:D,2,0),)</f>
        <v>KS-881163</v>
      </c>
      <c r="C74" s="342">
        <v>46304</v>
      </c>
      <c r="D74" s="213"/>
      <c r="E74" s="214">
        <v>1000</v>
      </c>
      <c r="F74" s="218"/>
    </row>
    <row r="75" spans="1:6" ht="21.75" customHeight="1">
      <c r="A75" s="211" t="s">
        <v>1290</v>
      </c>
      <c r="B75" s="212" t="str">
        <f>IFERROR(VLOOKUP(A75,'Tổng,SUMMARY'!C:D,2,0),)</f>
        <v>KS-88188</v>
      </c>
      <c r="C75" s="342">
        <v>46304</v>
      </c>
      <c r="D75" s="213"/>
      <c r="E75" s="214">
        <v>200</v>
      </c>
      <c r="F75" s="218"/>
    </row>
    <row r="76" spans="1:6" ht="21.75" customHeight="1">
      <c r="A76" s="217" t="s">
        <v>1299</v>
      </c>
      <c r="B76" s="212" t="str">
        <f>IFERROR(VLOOKUP(A76,'Tổng,SUMMARY'!C:D,2,0),)</f>
        <v>KS-880957</v>
      </c>
      <c r="C76" s="342">
        <v>46304</v>
      </c>
      <c r="D76" s="213"/>
      <c r="E76" s="214">
        <v>300</v>
      </c>
      <c r="F76" s="218"/>
    </row>
    <row r="77" spans="1:6" ht="21.75" customHeight="1">
      <c r="A77" s="217" t="s">
        <v>1054</v>
      </c>
      <c r="B77" s="212" t="str">
        <f>IFERROR(VLOOKUP(A77,'Tổng,SUMMARY'!C:D,2,0),)</f>
        <v>KS-880944</v>
      </c>
      <c r="C77" s="342">
        <v>46305</v>
      </c>
      <c r="D77" s="213"/>
      <c r="E77" s="214">
        <v>7200</v>
      </c>
      <c r="F77" s="218"/>
    </row>
    <row r="78" spans="1:6" ht="21.75" customHeight="1">
      <c r="A78" s="211" t="s">
        <v>75</v>
      </c>
      <c r="B78" s="212" t="str">
        <f>IFERROR(VLOOKUP(A78,'Tổng,SUMMARY'!C:D,2,0),)</f>
        <v>KS-881512</v>
      </c>
      <c r="C78" s="342">
        <v>46305</v>
      </c>
      <c r="D78" s="213"/>
      <c r="E78" s="214">
        <v>3600</v>
      </c>
      <c r="F78" s="218"/>
    </row>
    <row r="79" spans="1:6" ht="21.75" customHeight="1">
      <c r="A79" s="211" t="s">
        <v>1048</v>
      </c>
      <c r="B79" s="212" t="str">
        <f>IFERROR(VLOOKUP(A79,'Tổng,SUMMARY'!C:D,2,0),)</f>
        <v>KS-880753</v>
      </c>
      <c r="C79" s="342">
        <v>46305</v>
      </c>
      <c r="D79" s="213"/>
      <c r="E79" s="214">
        <v>7200</v>
      </c>
      <c r="F79" s="218"/>
    </row>
    <row r="80" spans="1:6" ht="21.75" customHeight="1">
      <c r="A80" s="217" t="s">
        <v>800</v>
      </c>
      <c r="B80" s="212" t="str">
        <f>IFERROR(VLOOKUP(A80,'Tổng,SUMMARY'!C:D,2,0),)</f>
        <v>KS-881041</v>
      </c>
      <c r="C80" s="342">
        <v>46305</v>
      </c>
      <c r="D80" s="213"/>
      <c r="E80" s="214">
        <v>3600</v>
      </c>
      <c r="F80" s="218"/>
    </row>
    <row r="81" spans="1:6" ht="21.75" customHeight="1">
      <c r="A81" s="211" t="s">
        <v>1033</v>
      </c>
      <c r="B81" s="212" t="str">
        <f>IFERROR(VLOOKUP(A81,'Tổng,SUMMARY'!C:D,2,0),)</f>
        <v>KS-881362</v>
      </c>
      <c r="C81" s="342">
        <v>46305</v>
      </c>
      <c r="D81" s="213"/>
      <c r="E81" s="214">
        <v>3600</v>
      </c>
      <c r="F81" s="218"/>
    </row>
    <row r="82" spans="1:6" ht="21.75" customHeight="1">
      <c r="A82" s="211" t="s">
        <v>1325</v>
      </c>
      <c r="B82" s="212" t="str">
        <f>IFERROR(VLOOKUP(A82,'Tổng,SUMMARY'!C:D,2,0),)</f>
        <v>KS-89069</v>
      </c>
      <c r="C82" s="342">
        <v>46305</v>
      </c>
      <c r="D82" s="213"/>
      <c r="E82" s="214">
        <v>2160</v>
      </c>
      <c r="F82" s="218"/>
    </row>
    <row r="83" spans="1:6" ht="21.75" customHeight="1">
      <c r="A83" s="211" t="s">
        <v>1326</v>
      </c>
      <c r="B83" s="212" t="str">
        <f>IFERROR(VLOOKUP(A83,'Tổng,SUMMARY'!C:D,2,0),)</f>
        <v>KS-871382</v>
      </c>
      <c r="C83" s="342">
        <v>46305</v>
      </c>
      <c r="D83" s="213"/>
      <c r="E83" s="214">
        <v>3600</v>
      </c>
      <c r="F83" s="218"/>
    </row>
    <row r="84" spans="1:6" ht="21.75" customHeight="1">
      <c r="A84" s="211" t="s">
        <v>1327</v>
      </c>
      <c r="B84" s="212" t="str">
        <f>IFERROR(VLOOKUP(A84,'Tổng,SUMMARY'!C:D,2,0),)</f>
        <v>KS-881462</v>
      </c>
      <c r="C84" s="342">
        <v>46305</v>
      </c>
      <c r="D84" s="213"/>
      <c r="E84" s="214">
        <v>7200</v>
      </c>
      <c r="F84" s="218"/>
    </row>
    <row r="85" spans="1:6" ht="21.75" customHeight="1">
      <c r="A85" s="211" t="s">
        <v>1328</v>
      </c>
      <c r="B85" s="212" t="str">
        <f>IFERROR(VLOOKUP(A85,'Tổng,SUMMARY'!C:D,2,0),)</f>
        <v>KS-880374</v>
      </c>
      <c r="C85" s="342">
        <v>46305</v>
      </c>
      <c r="D85" s="213"/>
      <c r="E85" s="214">
        <v>7200</v>
      </c>
      <c r="F85" s="218"/>
    </row>
    <row r="86" spans="1:6" ht="21.75" customHeight="1">
      <c r="A86" s="217" t="s">
        <v>1330</v>
      </c>
      <c r="B86" s="212" t="str">
        <f>IFERROR(VLOOKUP(A86,'Tổng,SUMMARY'!C:D,2,0),)</f>
        <v>KS-881080</v>
      </c>
      <c r="C86" s="342">
        <v>46307</v>
      </c>
      <c r="D86" s="213"/>
      <c r="E86" s="214">
        <v>1100</v>
      </c>
      <c r="F86" s="218"/>
    </row>
    <row r="87" spans="1:6" ht="21.75" customHeight="1">
      <c r="A87" s="211" t="s">
        <v>1342</v>
      </c>
      <c r="B87" s="212" t="str">
        <f>IFERROR(VLOOKUP(A87,'Tổng,SUMMARY'!C:D,2,0),)</f>
        <v>KS-880566</v>
      </c>
      <c r="C87" s="342">
        <v>46307</v>
      </c>
      <c r="D87" s="213"/>
      <c r="E87" s="350">
        <v>100</v>
      </c>
      <c r="F87" s="218"/>
    </row>
    <row r="88" spans="1:6" ht="21.75" customHeight="1">
      <c r="A88" s="217" t="s">
        <v>1529</v>
      </c>
      <c r="B88" s="212" t="str">
        <f>IFERROR(VLOOKUP(A88,'Tổng,SUMMARY'!C:D,2,0),)</f>
        <v>KS-871270</v>
      </c>
      <c r="C88" s="342">
        <v>46307</v>
      </c>
      <c r="D88" s="213"/>
      <c r="E88" s="350">
        <v>300</v>
      </c>
      <c r="F88" s="218"/>
    </row>
    <row r="89" spans="1:6" ht="21.75" customHeight="1">
      <c r="A89" s="211" t="s">
        <v>1193</v>
      </c>
      <c r="B89" s="212" t="str">
        <f>IFERROR(VLOOKUP(A89,'Tổng,SUMMARY'!C:D,2,0),)</f>
        <v>KS-881483</v>
      </c>
      <c r="C89" s="342">
        <v>46309</v>
      </c>
      <c r="D89" s="213"/>
      <c r="E89" s="214">
        <v>3000</v>
      </c>
      <c r="F89" s="218"/>
    </row>
    <row r="90" spans="1:6" ht="21.75" customHeight="1">
      <c r="A90" s="217" t="s">
        <v>1054</v>
      </c>
      <c r="B90" s="212" t="str">
        <f>IFERROR(VLOOKUP(A90,'Tổng,SUMMARY'!C:D,2,0),)</f>
        <v>KS-880944</v>
      </c>
      <c r="C90" s="342">
        <v>46309</v>
      </c>
      <c r="D90" s="213"/>
      <c r="E90" s="214">
        <v>10800</v>
      </c>
      <c r="F90" s="218"/>
    </row>
    <row r="91" spans="1:6" ht="21.75" customHeight="1">
      <c r="A91" s="221" t="s">
        <v>1366</v>
      </c>
      <c r="B91" s="212" t="str">
        <f>IFERROR(VLOOKUP(A91,'Tổng,SUMMARY'!C:D,2,0),)</f>
        <v>KS-881512</v>
      </c>
      <c r="C91" s="342">
        <v>46309</v>
      </c>
      <c r="D91" s="213"/>
      <c r="E91" s="214">
        <v>3600</v>
      </c>
      <c r="F91" s="218"/>
    </row>
    <row r="92" spans="1:6" ht="21.75" customHeight="1">
      <c r="A92" s="211" t="s">
        <v>1048</v>
      </c>
      <c r="B92" s="212" t="str">
        <f>IFERROR(VLOOKUP(A92,'Tổng,SUMMARY'!C:D,2,0),)</f>
        <v>KS-880753</v>
      </c>
      <c r="C92" s="342">
        <v>46309</v>
      </c>
      <c r="D92" s="213"/>
      <c r="E92" s="214">
        <v>3600</v>
      </c>
      <c r="F92" s="218"/>
    </row>
    <row r="93" spans="1:6" ht="21.75" customHeight="1">
      <c r="A93" s="211" t="s">
        <v>800</v>
      </c>
      <c r="B93" s="212" t="str">
        <f>IFERROR(VLOOKUP(A93,'Tổng,SUMMARY'!C:D,2,0),)</f>
        <v>KS-881041</v>
      </c>
      <c r="C93" s="342">
        <v>46309</v>
      </c>
      <c r="D93" s="213"/>
      <c r="E93" s="214">
        <v>3600</v>
      </c>
      <c r="F93" s="218"/>
    </row>
    <row r="94" spans="1:6" ht="21.75" customHeight="1">
      <c r="A94" s="211" t="s">
        <v>1117</v>
      </c>
      <c r="B94" s="212" t="str">
        <f>IFERROR(VLOOKUP(A94,'Tổng,SUMMARY'!C:D,2,0),)</f>
        <v>KS-881362</v>
      </c>
      <c r="C94" s="342">
        <v>46309</v>
      </c>
      <c r="D94" s="213"/>
      <c r="E94" s="214">
        <v>3600</v>
      </c>
      <c r="F94" s="218"/>
    </row>
    <row r="95" spans="1:6" ht="21.75" customHeight="1">
      <c r="A95" s="211" t="s">
        <v>1367</v>
      </c>
      <c r="B95" s="212" t="str">
        <f>IFERROR(VLOOKUP(A95,'Tổng,SUMMARY'!C:D,2,0),)</f>
        <v>KS-89069</v>
      </c>
      <c r="C95" s="342">
        <v>46309</v>
      </c>
      <c r="D95" s="213"/>
      <c r="E95" s="214">
        <v>4320</v>
      </c>
      <c r="F95" s="218"/>
    </row>
    <row r="96" spans="1:6" ht="21.75" customHeight="1">
      <c r="A96" s="211" t="s">
        <v>1368</v>
      </c>
      <c r="B96" s="212" t="str">
        <f>IFERROR(VLOOKUP(A96,'Tổng,SUMMARY'!C:D,2,0),)</f>
        <v>KS-881527</v>
      </c>
      <c r="C96" s="342">
        <v>46309</v>
      </c>
      <c r="D96" s="213"/>
      <c r="E96" s="214">
        <v>7200</v>
      </c>
      <c r="F96" s="218"/>
    </row>
    <row r="97" spans="1:6" ht="21.75" customHeight="1">
      <c r="A97" s="211" t="s">
        <v>894</v>
      </c>
      <c r="B97" s="212" t="str">
        <f>IFERROR(VLOOKUP(A97,'Tổng,SUMMARY'!C:D,2,0),)</f>
        <v>KS-871382</v>
      </c>
      <c r="C97" s="342">
        <v>46309</v>
      </c>
      <c r="D97" s="213"/>
      <c r="E97" s="214">
        <v>3600</v>
      </c>
      <c r="F97" s="218"/>
    </row>
    <row r="98" spans="1:6" ht="21.75" customHeight="1">
      <c r="A98" s="211" t="s">
        <v>1032</v>
      </c>
      <c r="B98" s="212" t="str">
        <f>IFERROR(VLOOKUP(A98,'Tổng,SUMMARY'!C:D,2,0),)</f>
        <v>KS-881462</v>
      </c>
      <c r="C98" s="342">
        <v>46309</v>
      </c>
      <c r="D98" s="213"/>
      <c r="E98" s="214">
        <v>10800</v>
      </c>
      <c r="F98" s="218"/>
    </row>
    <row r="99" spans="1:6" ht="21.75" customHeight="1">
      <c r="A99" s="217" t="s">
        <v>1035</v>
      </c>
      <c r="B99" s="212" t="str">
        <f>IFERROR(VLOOKUP(A99,'Tổng,SUMMARY'!C:D,2,0),)</f>
        <v>KS-880374</v>
      </c>
      <c r="C99" s="342">
        <v>46309</v>
      </c>
      <c r="D99" s="213"/>
      <c r="E99" s="214">
        <v>3600</v>
      </c>
      <c r="F99" s="218"/>
    </row>
    <row r="100" spans="1:6" ht="21.75" customHeight="1">
      <c r="A100" s="217" t="s">
        <v>1393</v>
      </c>
      <c r="B100" s="212" t="str">
        <f>IFERROR(VLOOKUP(A100,'Tổng,SUMMARY'!C:D,2,0),)</f>
        <v>KS-890195</v>
      </c>
      <c r="C100" s="342">
        <v>46310</v>
      </c>
      <c r="D100" s="213"/>
      <c r="E100" s="214">
        <v>1980</v>
      </c>
      <c r="F100" s="218"/>
    </row>
    <row r="101" spans="1:6" ht="21.75" customHeight="1">
      <c r="A101" s="211" t="s">
        <v>1395</v>
      </c>
      <c r="B101" s="212" t="str">
        <f>IFERROR(VLOOKUP(A101,'Tổng,SUMMARY'!C:D,2,0),)</f>
        <v>KS-890196</v>
      </c>
      <c r="C101" s="342">
        <v>46310</v>
      </c>
      <c r="D101" s="213"/>
      <c r="E101" s="214">
        <v>2010</v>
      </c>
      <c r="F101" s="218"/>
    </row>
    <row r="102" spans="1:6" ht="21.75" customHeight="1">
      <c r="A102" s="211" t="s">
        <v>1396</v>
      </c>
      <c r="B102" s="212" t="str">
        <f>IFERROR(VLOOKUP(A102,'Tổng,SUMMARY'!C:D,2,0),)</f>
        <v>KS-880104</v>
      </c>
      <c r="C102" s="342">
        <v>46310</v>
      </c>
      <c r="D102" s="213"/>
      <c r="E102" s="214">
        <v>2000</v>
      </c>
      <c r="F102" s="218"/>
    </row>
    <row r="103" spans="1:6" ht="21.75" customHeight="1">
      <c r="A103" s="219" t="s">
        <v>1399</v>
      </c>
      <c r="B103" s="212" t="str">
        <f>IFERROR(VLOOKUP(A103,'Tổng,SUMMARY'!C:D,2,0),)</f>
        <v>KS-881478</v>
      </c>
      <c r="C103" s="342">
        <v>46310</v>
      </c>
      <c r="D103" s="213"/>
      <c r="E103" s="214">
        <v>400</v>
      </c>
      <c r="F103" s="218"/>
    </row>
    <row r="104" spans="1:6" ht="21.75" customHeight="1">
      <c r="A104" s="217" t="s">
        <v>1400</v>
      </c>
      <c r="B104" s="212" t="str">
        <f>IFERROR(VLOOKUP(A104,'Tổng,SUMMARY'!C:D,2,0),)</f>
        <v>KS-871056</v>
      </c>
      <c r="C104" s="342">
        <v>46310</v>
      </c>
      <c r="D104" s="213"/>
      <c r="E104" s="214">
        <v>1000</v>
      </c>
      <c r="F104" s="218"/>
    </row>
    <row r="105" spans="1:6" ht="21.75" customHeight="1">
      <c r="A105" s="211" t="s">
        <v>1362</v>
      </c>
      <c r="B105" s="212" t="str">
        <f>IFERROR(VLOOKUP(A105,'Tổng,SUMMARY'!C:D,2,0),)</f>
        <v>KS-880822</v>
      </c>
      <c r="C105" s="342">
        <v>46311</v>
      </c>
      <c r="D105" s="213"/>
      <c r="E105" s="214">
        <v>5000</v>
      </c>
      <c r="F105" s="218"/>
    </row>
    <row r="106" spans="1:6" ht="21.75" customHeight="1">
      <c r="A106" s="211" t="s">
        <v>1442</v>
      </c>
      <c r="B106" s="212" t="str">
        <f>IFERROR(VLOOKUP(A106,'Tổng,SUMMARY'!C:D,2,0),)</f>
        <v>KS-880566</v>
      </c>
      <c r="C106" s="342">
        <v>46311</v>
      </c>
      <c r="D106" s="213"/>
      <c r="E106" s="214">
        <v>200</v>
      </c>
      <c r="F106" s="218"/>
    </row>
    <row r="107" spans="1:6" ht="21.75" customHeight="1">
      <c r="A107" s="217" t="s">
        <v>1444</v>
      </c>
      <c r="B107" s="212" t="str">
        <f>IFERROR(VLOOKUP(A107,'Tổng,SUMMARY'!C:D,2,0),)</f>
        <v>KS-870247</v>
      </c>
      <c r="C107" s="342">
        <v>46311</v>
      </c>
      <c r="D107" s="213"/>
      <c r="E107" s="214">
        <v>2000</v>
      </c>
      <c r="F107" s="218"/>
    </row>
    <row r="108" spans="1:6" ht="21.75" customHeight="1">
      <c r="A108" s="217" t="s">
        <v>1446</v>
      </c>
      <c r="B108" s="212" t="str">
        <f>IFERROR(VLOOKUP(A108,'Tổng,SUMMARY'!C:D,2,0),)</f>
        <v>KS-880104</v>
      </c>
      <c r="C108" s="342">
        <v>46311</v>
      </c>
      <c r="D108" s="213"/>
      <c r="E108" s="214">
        <v>2000</v>
      </c>
      <c r="F108" s="218"/>
    </row>
    <row r="109" spans="1:6" ht="21.75" customHeight="1">
      <c r="A109" s="217" t="s">
        <v>770</v>
      </c>
      <c r="B109" s="212" t="str">
        <f>IFERROR(VLOOKUP(A109,'Tổng,SUMMARY'!C:D,2,0),)</f>
        <v>KS-881300</v>
      </c>
      <c r="C109" s="342">
        <v>46311</v>
      </c>
      <c r="D109" s="213"/>
      <c r="E109" s="214">
        <v>1000</v>
      </c>
      <c r="F109" s="218"/>
    </row>
    <row r="110" spans="1:6" ht="21.75" customHeight="1">
      <c r="A110" s="221" t="s">
        <v>1447</v>
      </c>
      <c r="B110" s="212" t="str">
        <f>IFERROR(VLOOKUP(A110,'Tổng,SUMMARY'!C:D,2,0),)</f>
        <v>KS-881058</v>
      </c>
      <c r="C110" s="342">
        <v>46311</v>
      </c>
      <c r="D110" s="213"/>
      <c r="E110" s="214">
        <v>1000</v>
      </c>
      <c r="F110" s="218"/>
    </row>
    <row r="111" spans="1:6" ht="21.75" customHeight="1">
      <c r="A111" s="217" t="s">
        <v>1449</v>
      </c>
      <c r="B111" s="212" t="str">
        <f>IFERROR(VLOOKUP(A111,'Tổng,SUMMARY'!C:D,2,0),)</f>
        <v>KS-880887</v>
      </c>
      <c r="C111" s="342">
        <v>46311</v>
      </c>
      <c r="D111" s="213"/>
      <c r="E111" s="214">
        <v>5000</v>
      </c>
      <c r="F111" s="218"/>
    </row>
    <row r="112" spans="1:6" ht="21.75" customHeight="1">
      <c r="A112" s="217" t="s">
        <v>1450</v>
      </c>
      <c r="B112" s="212" t="str">
        <f>IFERROR(VLOOKUP(A112,'Tổng,SUMMARY'!C:D,2,0),)</f>
        <v>KS-881169</v>
      </c>
      <c r="C112" s="342">
        <v>46311</v>
      </c>
      <c r="D112" s="213"/>
      <c r="E112" s="214">
        <v>10500</v>
      </c>
      <c r="F112" s="218"/>
    </row>
    <row r="113" spans="1:6" ht="21.75" customHeight="1">
      <c r="A113" s="219" t="s">
        <v>1452</v>
      </c>
      <c r="B113" s="212" t="str">
        <f>IFERROR(VLOOKUP(A113,'Tổng,SUMMARY'!C:D,2,0),)</f>
        <v>KS-85012</v>
      </c>
      <c r="C113" s="342">
        <v>46311</v>
      </c>
      <c r="D113" s="213"/>
      <c r="E113" s="214">
        <v>4000</v>
      </c>
      <c r="F113" s="218"/>
    </row>
    <row r="114" spans="1:6" ht="21.75" customHeight="1">
      <c r="A114" s="217" t="s">
        <v>1047</v>
      </c>
      <c r="B114" s="212" t="str">
        <f>IFERROR(VLOOKUP(A114,'Tổng,SUMMARY'!C:D,2,0),)</f>
        <v>KS-880959</v>
      </c>
      <c r="C114" s="342">
        <v>46311</v>
      </c>
      <c r="D114" s="213"/>
      <c r="E114" s="214">
        <v>6000</v>
      </c>
      <c r="F114" s="218"/>
    </row>
    <row r="115" spans="1:6" ht="21.75" customHeight="1">
      <c r="A115" s="217" t="s">
        <v>1075</v>
      </c>
      <c r="B115" s="212" t="str">
        <f>IFERROR(VLOOKUP(A115,'Tổng,SUMMARY'!C:D,2,0),)</f>
        <v>KS-880372</v>
      </c>
      <c r="C115" s="342">
        <v>46311</v>
      </c>
      <c r="D115" s="213"/>
      <c r="E115" s="214">
        <v>6000</v>
      </c>
      <c r="F115" s="218"/>
    </row>
    <row r="116" spans="1:6" ht="21.75" customHeight="1">
      <c r="A116" s="217" t="s">
        <v>770</v>
      </c>
      <c r="B116" s="212" t="str">
        <f>IFERROR(VLOOKUP(A116,'Tổng,SUMMARY'!C:D,2,0),)</f>
        <v>KS-881300</v>
      </c>
      <c r="C116" s="342">
        <v>46311</v>
      </c>
      <c r="D116" s="213"/>
      <c r="E116" s="214">
        <v>2000</v>
      </c>
      <c r="F116" s="218"/>
    </row>
    <row r="117" spans="1:6" ht="21.75" customHeight="1">
      <c r="A117" s="219" t="s">
        <v>1453</v>
      </c>
      <c r="B117" s="212" t="str">
        <f>IFERROR(VLOOKUP(A117,'Tổng,SUMMARY'!C:D,2,0),)</f>
        <v>KS-871056</v>
      </c>
      <c r="C117" s="342">
        <v>46311</v>
      </c>
      <c r="D117" s="213"/>
      <c r="E117" s="214">
        <v>2000</v>
      </c>
      <c r="F117" s="218"/>
    </row>
    <row r="118" spans="1:6" ht="21.75" customHeight="1">
      <c r="A118" s="219" t="s">
        <v>1454</v>
      </c>
      <c r="B118" s="212" t="str">
        <f>IFERROR(VLOOKUP(A118,'Tổng,SUMMARY'!C:D,2,0),)</f>
        <v>KS-881057</v>
      </c>
      <c r="C118" s="342">
        <v>46311</v>
      </c>
      <c r="D118" s="213"/>
      <c r="E118" s="214">
        <v>2200</v>
      </c>
      <c r="F118" s="218"/>
    </row>
    <row r="119" spans="1:6" ht="21.75" customHeight="1">
      <c r="A119" s="136" t="s">
        <v>913</v>
      </c>
      <c r="B119" s="212" t="str">
        <f>IFERROR(VLOOKUP(A119,'Tổng,SUMMARY'!C:D,2,0),)</f>
        <v>KS-881490</v>
      </c>
      <c r="C119" s="342">
        <v>46312</v>
      </c>
      <c r="D119" s="213"/>
      <c r="E119" s="214">
        <v>500</v>
      </c>
      <c r="F119" s="218"/>
    </row>
    <row r="120" spans="1:6" ht="21.75" customHeight="1">
      <c r="A120" s="219" t="s">
        <v>1464</v>
      </c>
      <c r="B120" s="212" t="s">
        <v>1465</v>
      </c>
      <c r="C120" s="342">
        <v>46312</v>
      </c>
      <c r="D120" s="213"/>
      <c r="E120" s="214">
        <v>400</v>
      </c>
      <c r="F120" s="218"/>
    </row>
    <row r="121" spans="1:6" ht="21.75" customHeight="1">
      <c r="A121" s="136" t="s">
        <v>1440</v>
      </c>
      <c r="B121" s="212" t="str">
        <f>IFERROR(VLOOKUP(A121,'Tổng,SUMMARY'!C:D,2,0),)</f>
        <v>KS-881258(LP)</v>
      </c>
      <c r="C121" s="342">
        <v>46312</v>
      </c>
      <c r="D121" s="213"/>
      <c r="E121" s="214">
        <v>8000</v>
      </c>
      <c r="F121" s="218"/>
    </row>
    <row r="122" spans="1:6" ht="21.75" customHeight="1">
      <c r="A122" s="136" t="s">
        <v>1118</v>
      </c>
      <c r="B122" s="137" t="s">
        <v>186</v>
      </c>
      <c r="C122" s="342">
        <v>46312</v>
      </c>
      <c r="D122" s="213"/>
      <c r="E122" s="214">
        <v>2200</v>
      </c>
      <c r="F122" s="218"/>
    </row>
    <row r="123" spans="1:6" ht="21.75" customHeight="1">
      <c r="A123" s="142" t="s">
        <v>807</v>
      </c>
      <c r="B123" s="137" t="s">
        <v>45</v>
      </c>
      <c r="C123" s="342">
        <v>46312</v>
      </c>
      <c r="D123" s="213"/>
      <c r="E123" s="214">
        <v>2500</v>
      </c>
      <c r="F123" s="218"/>
    </row>
    <row r="124" spans="1:6" ht="21.75" customHeight="1">
      <c r="A124" s="142" t="s">
        <v>902</v>
      </c>
      <c r="B124" s="212" t="str">
        <f>IFERROR(VLOOKUP(A124,'Tổng,SUMMARY'!C:D,2,0),)</f>
        <v>KS-880910</v>
      </c>
      <c r="C124" s="342">
        <v>46312</v>
      </c>
      <c r="D124" s="213"/>
      <c r="E124" s="214">
        <v>15000</v>
      </c>
      <c r="F124" s="218"/>
    </row>
    <row r="125" spans="1:6" ht="21.75" customHeight="1">
      <c r="A125" s="201" t="s">
        <v>1528</v>
      </c>
      <c r="B125" s="212" t="str">
        <f>IFERROR(VLOOKUP(A125,'Tổng,SUMMARY'!C:D,2,0),)</f>
        <v>KS-880442</v>
      </c>
      <c r="C125" s="342">
        <v>46314</v>
      </c>
      <c r="E125" s="202">
        <v>1000</v>
      </c>
      <c r="F125" s="218"/>
    </row>
    <row r="126" spans="1:6" ht="21.75" customHeight="1">
      <c r="A126" s="219" t="s">
        <v>1530</v>
      </c>
      <c r="B126" s="212" t="str">
        <f>IFERROR(VLOOKUP(A126,'Tổng,SUMMARY'!C:D,2,0),)</f>
        <v xml:space="preserve">KS-870270 </v>
      </c>
      <c r="C126" s="342">
        <v>46314</v>
      </c>
      <c r="D126" s="213"/>
      <c r="E126" s="214">
        <v>900</v>
      </c>
      <c r="F126" s="218"/>
    </row>
    <row r="127" spans="1:6" ht="21.75" customHeight="1">
      <c r="A127" s="219" t="s">
        <v>1532</v>
      </c>
      <c r="B127" s="212" t="str">
        <f>IFERROR(VLOOKUP(A127,'Tổng,SUMMARY'!C:D,2,0),)</f>
        <v>KS-890209</v>
      </c>
      <c r="C127" s="342">
        <v>46314</v>
      </c>
      <c r="D127" s="213"/>
      <c r="E127" s="214">
        <v>960</v>
      </c>
      <c r="F127" s="218"/>
    </row>
    <row r="128" spans="1:6" ht="21.75" customHeight="1">
      <c r="A128" s="219" t="s">
        <v>1534</v>
      </c>
      <c r="B128" s="212" t="str">
        <f>IFERROR(VLOOKUP(A128,'Tổng,SUMMARY'!C:D,2,0),)</f>
        <v>KS-880975</v>
      </c>
      <c r="C128" s="342">
        <v>46314</v>
      </c>
      <c r="D128" s="213"/>
      <c r="E128" s="214">
        <v>400</v>
      </c>
      <c r="F128" s="218"/>
    </row>
    <row r="129" spans="1:6" ht="21.75" customHeight="1">
      <c r="A129" s="219" t="s">
        <v>1535</v>
      </c>
      <c r="B129" s="212" t="str">
        <f>IFERROR(VLOOKUP(A129,'Tổng,SUMMARY'!C:D,2,0),)</f>
        <v>KS-89082</v>
      </c>
      <c r="C129" s="342">
        <v>46314</v>
      </c>
      <c r="D129" s="213"/>
      <c r="E129" s="214">
        <v>210</v>
      </c>
      <c r="F129" s="218"/>
    </row>
    <row r="130" spans="1:6" ht="21.75" customHeight="1">
      <c r="A130" s="219" t="s">
        <v>1536</v>
      </c>
      <c r="B130" s="212" t="str">
        <f>IFERROR(VLOOKUP(A130,'Tổng,SUMMARY'!C:D,2,0),)</f>
        <v>KS-8605</v>
      </c>
      <c r="C130" s="342">
        <v>46314</v>
      </c>
      <c r="D130" s="213"/>
      <c r="E130" s="214">
        <v>5000</v>
      </c>
      <c r="F130" s="218"/>
    </row>
    <row r="131" spans="1:6" ht="21.75" customHeight="1">
      <c r="A131" s="219" t="s">
        <v>1537</v>
      </c>
      <c r="B131" s="212" t="str">
        <f>IFERROR(VLOOKUP(A131,'Tổng,SUMMARY'!C:D,2,0),)</f>
        <v>KS-86015</v>
      </c>
      <c r="C131" s="342">
        <v>46314</v>
      </c>
      <c r="D131" s="213"/>
      <c r="E131" s="214">
        <v>4000</v>
      </c>
      <c r="F131" s="218"/>
    </row>
    <row r="132" spans="1:6" ht="21.75" customHeight="1">
      <c r="A132" s="219" t="s">
        <v>1538</v>
      </c>
      <c r="B132" s="212" t="str">
        <f>IFERROR(VLOOKUP(A132,'Tổng,SUMMARY'!C:D,2,0),)</f>
        <v>KS-880731</v>
      </c>
      <c r="C132" s="342">
        <v>46314</v>
      </c>
      <c r="D132" s="213"/>
      <c r="E132" s="214">
        <v>10000</v>
      </c>
      <c r="F132" s="218"/>
    </row>
    <row r="133" spans="1:6" ht="21.75" customHeight="1">
      <c r="A133" s="219" t="s">
        <v>1539</v>
      </c>
      <c r="B133" s="212" t="str">
        <f>IFERROR(VLOOKUP(A133,'Tổng,SUMMARY'!C:D,2,0),)</f>
        <v>KS-880272</v>
      </c>
      <c r="C133" s="342">
        <v>46314</v>
      </c>
      <c r="D133" s="213"/>
      <c r="E133" s="214">
        <v>5800</v>
      </c>
      <c r="F133" s="218"/>
    </row>
    <row r="134" spans="1:6" ht="21.75" customHeight="1">
      <c r="A134" s="219" t="s">
        <v>1540</v>
      </c>
      <c r="B134" s="212" t="str">
        <f>IFERROR(VLOOKUP(A134,'Tổng,SUMMARY'!C:D,2,0),)</f>
        <v>KS-8503</v>
      </c>
      <c r="C134" s="342">
        <v>46314</v>
      </c>
      <c r="D134" s="213"/>
      <c r="E134" s="214">
        <v>3000</v>
      </c>
      <c r="F134" s="218"/>
    </row>
    <row r="135" spans="1:6" ht="21.75" customHeight="1">
      <c r="A135" s="219" t="s">
        <v>1541</v>
      </c>
      <c r="B135" s="212" t="str">
        <f>IFERROR(VLOOKUP(A135,'Tổng,SUMMARY'!C:D,2,0),)</f>
        <v>KS-870247</v>
      </c>
      <c r="C135" s="342">
        <v>46314</v>
      </c>
      <c r="D135" s="213"/>
      <c r="E135" s="214">
        <v>1000</v>
      </c>
      <c r="F135" s="218"/>
    </row>
    <row r="136" spans="1:6" ht="21.75" customHeight="1">
      <c r="A136" s="219" t="s">
        <v>1542</v>
      </c>
      <c r="B136" s="212" t="str">
        <f>IFERROR(VLOOKUP(A136,'Tổng,SUMMARY'!C:D,2,0),)</f>
        <v>KS-880944</v>
      </c>
      <c r="C136" s="342">
        <v>46314</v>
      </c>
      <c r="D136" s="213"/>
      <c r="E136" s="214">
        <v>14400</v>
      </c>
      <c r="F136" s="218"/>
    </row>
    <row r="137" spans="1:6" ht="21.75" customHeight="1">
      <c r="A137" s="219" t="s">
        <v>1543</v>
      </c>
      <c r="B137" s="212" t="str">
        <f>IFERROR(VLOOKUP(A137,'Tổng,SUMMARY'!C:D,2,0),)</f>
        <v>KS-881512</v>
      </c>
      <c r="C137" s="342">
        <v>46314</v>
      </c>
      <c r="D137" s="213"/>
      <c r="E137" s="214">
        <v>7200</v>
      </c>
      <c r="F137" s="218"/>
    </row>
    <row r="138" spans="1:6" ht="21.75" customHeight="1">
      <c r="A138" s="219" t="s">
        <v>1544</v>
      </c>
      <c r="B138" s="212" t="str">
        <f>IFERROR(VLOOKUP(A138,'Tổng,SUMMARY'!C:D,2,0),)</f>
        <v>KS-881527</v>
      </c>
      <c r="C138" s="342">
        <v>46314</v>
      </c>
      <c r="D138" s="213"/>
      <c r="E138" s="214">
        <v>7200</v>
      </c>
      <c r="F138" s="218"/>
    </row>
    <row r="139" spans="1:6" ht="21.75" customHeight="1">
      <c r="A139" s="219" t="s">
        <v>1545</v>
      </c>
      <c r="B139" s="212" t="str">
        <f>IFERROR(VLOOKUP(A139,'Tổng,SUMMARY'!C:D,2,0),)</f>
        <v>KS-871382</v>
      </c>
      <c r="C139" s="342">
        <v>46314</v>
      </c>
      <c r="D139" s="213"/>
      <c r="E139" s="214">
        <v>3600</v>
      </c>
      <c r="F139" s="218"/>
    </row>
    <row r="140" spans="1:6" ht="21.75" customHeight="1">
      <c r="A140" s="211" t="s">
        <v>1032</v>
      </c>
      <c r="B140" s="212" t="str">
        <f>IFERROR(VLOOKUP(A140,'Tổng,SUMMARY'!C:D,2,0),)</f>
        <v>KS-881462</v>
      </c>
      <c r="C140" s="342">
        <v>46314</v>
      </c>
      <c r="D140" s="213"/>
      <c r="E140" s="214">
        <v>14400</v>
      </c>
      <c r="F140" s="218"/>
    </row>
    <row r="141" spans="1:6" ht="21.75" customHeight="1">
      <c r="A141" s="211" t="s">
        <v>1546</v>
      </c>
      <c r="B141" s="212" t="str">
        <f>IFERROR(VLOOKUP(A141,'Tổng,SUMMARY'!C:D,2,0),)</f>
        <v>KS-880374</v>
      </c>
      <c r="C141" s="342">
        <v>46314</v>
      </c>
      <c r="D141" s="213"/>
      <c r="E141" s="214">
        <v>10800</v>
      </c>
      <c r="F141" s="218"/>
    </row>
    <row r="142" spans="1:6" ht="21.75" customHeight="1">
      <c r="A142" s="219" t="s">
        <v>1547</v>
      </c>
      <c r="B142" s="212" t="str">
        <f>IFERROR(VLOOKUP(A142,'Tổng,SUMMARY'!C:D,2,0),)</f>
        <v>KS-880822</v>
      </c>
      <c r="C142" s="342">
        <v>46315</v>
      </c>
      <c r="D142" s="213"/>
      <c r="E142" s="214">
        <v>1000</v>
      </c>
      <c r="F142" s="218"/>
    </row>
    <row r="143" spans="1:6" ht="21.75" customHeight="1">
      <c r="A143" s="219" t="s">
        <v>1549</v>
      </c>
      <c r="B143" s="212" t="str">
        <f>IFERROR(VLOOKUP(A143,'Tổng,SUMMARY'!C:D,2,0),)</f>
        <v>KS-881050</v>
      </c>
      <c r="C143" s="342">
        <v>46315</v>
      </c>
      <c r="D143" s="213"/>
      <c r="E143" s="214">
        <v>300</v>
      </c>
      <c r="F143" s="218"/>
    </row>
    <row r="144" spans="1:6" ht="21.75" customHeight="1">
      <c r="A144" s="219" t="s">
        <v>1551</v>
      </c>
      <c r="B144" s="212" t="str">
        <f>IFERROR(VLOOKUP(A144,'Tổng,SUMMARY'!C:D,2,0),)</f>
        <v>KS-880624</v>
      </c>
      <c r="C144" s="342">
        <v>46315</v>
      </c>
      <c r="D144" s="213"/>
      <c r="E144" s="214">
        <v>5000</v>
      </c>
      <c r="F144" s="218"/>
    </row>
    <row r="145" spans="1:6" ht="21.75" customHeight="1">
      <c r="A145" s="219"/>
      <c r="B145" s="212">
        <f>IFERROR(VLOOKUP(A145,'Tổng,SUMMARY'!C:D,2,0),)</f>
        <v>0</v>
      </c>
      <c r="C145" s="342"/>
      <c r="D145" s="213"/>
      <c r="E145" s="214"/>
      <c r="F145" s="218"/>
    </row>
    <row r="146" spans="1:6" ht="21.75" customHeight="1">
      <c r="A146" s="219"/>
      <c r="B146" s="212">
        <f>IFERROR(VLOOKUP(A146,'Tổng,SUMMARY'!C:D,2,0),)</f>
        <v>0</v>
      </c>
      <c r="C146" s="343"/>
      <c r="D146" s="213"/>
      <c r="E146" s="214"/>
      <c r="F146" s="218"/>
    </row>
    <row r="147" spans="1:6" ht="21.75" customHeight="1">
      <c r="A147" s="217"/>
      <c r="B147" s="212">
        <f>IFERROR(VLOOKUP(A147,'Tổng,SUMMARY'!C:D,2,0),)</f>
        <v>0</v>
      </c>
      <c r="C147" s="343"/>
      <c r="D147" s="213"/>
      <c r="E147" s="214"/>
      <c r="F147" s="218"/>
    </row>
    <row r="148" spans="1:6" ht="21.75" customHeight="1">
      <c r="A148" s="219"/>
      <c r="B148" s="212">
        <f>IFERROR(VLOOKUP(A148,'Tổng,SUMMARY'!C:D,2,0),)</f>
        <v>0</v>
      </c>
      <c r="C148" s="343"/>
      <c r="D148" s="213"/>
      <c r="E148" s="214"/>
      <c r="F148" s="218"/>
    </row>
    <row r="149" spans="1:6" ht="21.75" customHeight="1">
      <c r="A149" s="217"/>
      <c r="B149" s="212">
        <f>IFERROR(VLOOKUP(A149,'Tổng,SUMMARY'!C:D,2,0),)</f>
        <v>0</v>
      </c>
      <c r="C149" s="343"/>
      <c r="D149" s="213"/>
      <c r="E149" s="214"/>
      <c r="F149" s="218"/>
    </row>
    <row r="150" spans="1:6" ht="21.75" customHeight="1">
      <c r="A150" s="217"/>
      <c r="B150" s="212">
        <f>IFERROR(VLOOKUP(A150,'Tổng,SUMMARY'!C:D,2,0),)</f>
        <v>0</v>
      </c>
      <c r="C150" s="343"/>
      <c r="D150" s="213"/>
      <c r="E150" s="214"/>
      <c r="F150" s="218"/>
    </row>
    <row r="151" spans="1:6" ht="21.75" customHeight="1">
      <c r="A151" s="217"/>
      <c r="B151" s="212">
        <f>IFERROR(VLOOKUP(A151,'Tổng,SUMMARY'!C:D,2,0),)</f>
        <v>0</v>
      </c>
      <c r="C151" s="343"/>
      <c r="D151" s="213"/>
      <c r="E151" s="214"/>
      <c r="F151" s="218"/>
    </row>
    <row r="152" spans="1:6" ht="21.75" customHeight="1">
      <c r="A152" s="221"/>
      <c r="B152" s="212">
        <f>IFERROR(VLOOKUP(A152,'Tổng,SUMMARY'!C:D,2,0),)</f>
        <v>0</v>
      </c>
      <c r="C152" s="343"/>
      <c r="D152" s="213"/>
      <c r="E152" s="214"/>
      <c r="F152" s="218"/>
    </row>
    <row r="153" spans="1:6" ht="21.75" customHeight="1">
      <c r="A153" s="221"/>
      <c r="B153" s="212">
        <f>IFERROR(VLOOKUP(A153,'Tổng,SUMMARY'!C:D,2,0),)</f>
        <v>0</v>
      </c>
      <c r="C153" s="343"/>
      <c r="D153" s="213"/>
      <c r="E153" s="214"/>
      <c r="F153" s="218"/>
    </row>
    <row r="154" spans="1:6" ht="21.75" customHeight="1">
      <c r="A154" s="211"/>
      <c r="B154" s="212">
        <f>IFERROR(VLOOKUP(A154,'Tổng,SUMMARY'!C:D,2,0),)</f>
        <v>0</v>
      </c>
      <c r="C154" s="343"/>
      <c r="D154" s="213"/>
      <c r="E154" s="214"/>
      <c r="F154" s="218"/>
    </row>
    <row r="155" spans="1:6" ht="21.75" customHeight="1">
      <c r="A155" s="219"/>
      <c r="B155" s="212">
        <f>IFERROR(VLOOKUP(A155,'Tổng,SUMMARY'!C:D,2,0),)</f>
        <v>0</v>
      </c>
      <c r="C155" s="343"/>
      <c r="D155" s="213"/>
      <c r="E155" s="214"/>
      <c r="F155" s="218"/>
    </row>
    <row r="156" spans="1:6" ht="21.75" customHeight="1">
      <c r="A156" s="219"/>
      <c r="B156" s="212">
        <f>IFERROR(VLOOKUP(A156,'Tổng,SUMMARY'!C:D,2,0),)</f>
        <v>0</v>
      </c>
      <c r="C156" s="343"/>
      <c r="D156" s="213"/>
      <c r="E156" s="214"/>
      <c r="F156" s="218"/>
    </row>
    <row r="157" spans="1:6" ht="21.75" customHeight="1">
      <c r="A157" s="219"/>
      <c r="B157" s="212">
        <f>IFERROR(VLOOKUP(A157,'Tổng,SUMMARY'!C:D,2,0),)</f>
        <v>0</v>
      </c>
      <c r="C157" s="343"/>
      <c r="D157" s="213"/>
      <c r="E157" s="214"/>
      <c r="F157" s="218"/>
    </row>
    <row r="158" spans="1:6" ht="21.75" customHeight="1">
      <c r="A158" s="219"/>
      <c r="B158" s="212">
        <f>IFERROR(VLOOKUP(A158,'Tổng,SUMMARY'!C:D,2,0),)</f>
        <v>0</v>
      </c>
      <c r="C158" s="343"/>
      <c r="D158" s="213"/>
      <c r="E158" s="214"/>
      <c r="F158" s="218"/>
    </row>
    <row r="159" spans="1:6" ht="21.75" customHeight="1">
      <c r="A159" s="219"/>
      <c r="B159" s="212">
        <f>IFERROR(VLOOKUP(A159,'Tổng,SUMMARY'!C:D,2,0),)</f>
        <v>0</v>
      </c>
      <c r="C159" s="343"/>
      <c r="D159" s="213"/>
      <c r="E159" s="214"/>
      <c r="F159" s="218"/>
    </row>
    <row r="160" spans="1:6" ht="21.75" customHeight="1">
      <c r="A160" s="221"/>
      <c r="B160" s="212">
        <f>IFERROR(VLOOKUP(A160,'Tổng,SUMMARY'!C:D,2,0),)</f>
        <v>0</v>
      </c>
      <c r="C160" s="343"/>
      <c r="D160" s="213"/>
      <c r="E160" s="214"/>
      <c r="F160" s="218"/>
    </row>
    <row r="161" spans="1:6" ht="21.75" customHeight="1">
      <c r="A161" s="219"/>
      <c r="B161" s="212">
        <f>IFERROR(VLOOKUP(A161,'Tổng,SUMMARY'!C:D,2,0),)</f>
        <v>0</v>
      </c>
      <c r="C161" s="343"/>
      <c r="D161" s="213"/>
      <c r="E161" s="214"/>
      <c r="F161" s="220"/>
    </row>
    <row r="162" spans="1:6" ht="21.75" customHeight="1">
      <c r="A162" s="221"/>
      <c r="B162" s="212">
        <f>IFERROR(VLOOKUP(A162,'Tổng,SUMMARY'!C:D,2,0),)</f>
        <v>0</v>
      </c>
      <c r="C162" s="343"/>
      <c r="D162" s="213"/>
      <c r="E162" s="214"/>
      <c r="F162" s="220"/>
    </row>
    <row r="163" spans="1:6" ht="21.75" customHeight="1">
      <c r="A163" s="221"/>
      <c r="B163" s="212">
        <f>IFERROR(VLOOKUP(A163,'Tổng,SUMMARY'!C:D,2,0),)</f>
        <v>0</v>
      </c>
      <c r="C163" s="343"/>
      <c r="D163" s="213"/>
      <c r="E163" s="214"/>
      <c r="F163" s="220"/>
    </row>
    <row r="164" spans="1:6" ht="21.75" customHeight="1">
      <c r="A164" s="219"/>
      <c r="B164" s="212">
        <f>IFERROR(VLOOKUP(A164,'Tổng,SUMMARY'!C:D,2,0),)</f>
        <v>0</v>
      </c>
      <c r="C164" s="343"/>
      <c r="D164" s="213"/>
      <c r="E164" s="214"/>
      <c r="F164" s="218"/>
    </row>
    <row r="165" spans="1:6" ht="21.75" customHeight="1">
      <c r="A165" s="221"/>
      <c r="B165" s="212">
        <f>IFERROR(VLOOKUP(A165,'Tổng,SUMMARY'!C:D,2,0),)</f>
        <v>0</v>
      </c>
      <c r="C165" s="343"/>
      <c r="D165" s="213"/>
      <c r="E165" s="214"/>
      <c r="F165" s="218"/>
    </row>
    <row r="166" spans="1:6" ht="21.75" customHeight="1">
      <c r="A166" s="219"/>
      <c r="B166" s="212">
        <f>IFERROR(VLOOKUP(A166,'Tổng,SUMMARY'!C:D,2,0),)</f>
        <v>0</v>
      </c>
      <c r="C166" s="343"/>
      <c r="D166" s="213"/>
      <c r="E166" s="214"/>
      <c r="F166" s="218"/>
    </row>
    <row r="167" spans="1:6" ht="21.75" customHeight="1">
      <c r="A167" s="219"/>
      <c r="B167" s="212">
        <f>IFERROR(VLOOKUP(A167,'Tổng,SUMMARY'!C:D,2,0),)</f>
        <v>0</v>
      </c>
      <c r="C167" s="343"/>
      <c r="D167" s="213"/>
      <c r="E167" s="214"/>
      <c r="F167" s="218"/>
    </row>
    <row r="168" spans="1:6" ht="21.75" customHeight="1">
      <c r="A168" s="219"/>
      <c r="B168" s="212">
        <f>IFERROR(VLOOKUP(A168,'Tổng,SUMMARY'!C:D,2,0),)</f>
        <v>0</v>
      </c>
      <c r="C168" s="343"/>
      <c r="D168" s="213"/>
      <c r="E168" s="214"/>
      <c r="F168" s="218"/>
    </row>
    <row r="169" spans="1:6" ht="21.75" customHeight="1">
      <c r="A169" s="219"/>
      <c r="B169" s="212">
        <f>IFERROR(VLOOKUP(A169,'Tổng,SUMMARY'!C:D,2,0),)</f>
        <v>0</v>
      </c>
      <c r="C169" s="343"/>
      <c r="D169" s="213"/>
      <c r="E169" s="214"/>
      <c r="F169" s="218"/>
    </row>
    <row r="170" spans="1:6" ht="21.75" customHeight="1">
      <c r="A170" s="219"/>
      <c r="B170" s="212">
        <f>IFERROR(VLOOKUP(A170,'Tổng,SUMMARY'!C:D,2,0),)</f>
        <v>0</v>
      </c>
      <c r="C170" s="343"/>
      <c r="D170" s="213"/>
      <c r="E170" s="214"/>
      <c r="F170" s="218"/>
    </row>
    <row r="171" spans="1:6" ht="21.75" customHeight="1">
      <c r="A171" s="221"/>
      <c r="B171" s="212">
        <f>IFERROR(VLOOKUP(A171,'Tổng,SUMMARY'!C:D,2,0),)</f>
        <v>0</v>
      </c>
      <c r="C171" s="343"/>
      <c r="D171" s="213"/>
      <c r="E171" s="214"/>
      <c r="F171" s="215"/>
    </row>
    <row r="172" spans="1:6" ht="21.75" customHeight="1">
      <c r="A172" s="221"/>
      <c r="B172" s="212">
        <f>IFERROR(VLOOKUP(A172,'Tổng,SUMMARY'!C:D,2,0),)</f>
        <v>0</v>
      </c>
      <c r="C172" s="343"/>
      <c r="D172" s="213"/>
      <c r="E172" s="214"/>
      <c r="F172" s="215"/>
    </row>
    <row r="173" spans="1:6" ht="21.75" customHeight="1">
      <c r="A173" s="221"/>
      <c r="B173" s="212">
        <f>IFERROR(VLOOKUP(A173,'Tổng,SUMMARY'!C:D,2,0),)</f>
        <v>0</v>
      </c>
      <c r="C173" s="343"/>
      <c r="D173" s="222"/>
      <c r="E173" s="214"/>
      <c r="F173" s="215"/>
    </row>
    <row r="174" spans="1:6" ht="21.75" customHeight="1">
      <c r="A174" s="221"/>
      <c r="B174" s="212">
        <f>IFERROR(VLOOKUP(A174,'Tổng,SUMMARY'!C:D,2,0),)</f>
        <v>0</v>
      </c>
      <c r="C174" s="343"/>
      <c r="D174" s="222"/>
      <c r="E174" s="214"/>
      <c r="F174" s="215"/>
    </row>
    <row r="175" spans="1:6" ht="21.75" customHeight="1">
      <c r="A175" s="221"/>
      <c r="B175" s="212">
        <f>IFERROR(VLOOKUP(A175,'Tổng,SUMMARY'!C:D,2,0),)</f>
        <v>0</v>
      </c>
      <c r="C175" s="343"/>
      <c r="D175" s="222"/>
      <c r="E175" s="214"/>
      <c r="F175" s="215"/>
    </row>
    <row r="176" spans="1:6" ht="21.75" customHeight="1">
      <c r="A176" s="221"/>
      <c r="B176" s="212">
        <f>IFERROR(VLOOKUP(A176,'Tổng,SUMMARY'!C:D,2,0),)</f>
        <v>0</v>
      </c>
      <c r="C176" s="343"/>
      <c r="D176" s="222"/>
      <c r="E176" s="214"/>
      <c r="F176" s="215"/>
    </row>
    <row r="177" spans="1:6" ht="21.75" customHeight="1">
      <c r="A177" s="221"/>
      <c r="B177" s="212">
        <f>IFERROR(VLOOKUP(A177,'Tổng,SUMMARY'!C:D,2,0),)</f>
        <v>0</v>
      </c>
      <c r="C177" s="343"/>
      <c r="D177" s="213"/>
      <c r="E177" s="214"/>
      <c r="F177" s="215"/>
    </row>
    <row r="178" spans="1:6" ht="21.75" customHeight="1">
      <c r="A178" s="221"/>
      <c r="B178" s="212">
        <f>IFERROR(VLOOKUP(A178,'Tổng,SUMMARY'!C:D,2,0),)</f>
        <v>0</v>
      </c>
      <c r="C178" s="343"/>
      <c r="D178" s="213"/>
      <c r="E178" s="214"/>
      <c r="F178" s="215"/>
    </row>
    <row r="179" spans="1:6" ht="21.75" customHeight="1">
      <c r="A179" s="221"/>
      <c r="B179" s="212">
        <f>IFERROR(VLOOKUP(A179,'Tổng,SUMMARY'!C:D,2,0),)</f>
        <v>0</v>
      </c>
      <c r="C179" s="343"/>
      <c r="D179" s="213"/>
      <c r="E179" s="214"/>
      <c r="F179" s="215"/>
    </row>
    <row r="180" spans="1:6" ht="21.75" customHeight="1">
      <c r="A180" s="221"/>
      <c r="B180" s="212">
        <f>IFERROR(VLOOKUP(A180,'Tổng,SUMMARY'!C:D,2,0),)</f>
        <v>0</v>
      </c>
      <c r="C180" s="343"/>
      <c r="D180" s="213"/>
      <c r="E180" s="214"/>
      <c r="F180" s="215"/>
    </row>
    <row r="181" spans="1:6" ht="21.75" customHeight="1">
      <c r="A181" s="221"/>
      <c r="B181" s="212">
        <f>IFERROR(VLOOKUP(A181,'Tổng,SUMMARY'!C:D,2,0),)</f>
        <v>0</v>
      </c>
      <c r="C181" s="343"/>
      <c r="D181" s="213"/>
      <c r="E181" s="214"/>
      <c r="F181" s="215"/>
    </row>
    <row r="182" spans="1:6" ht="21.75" customHeight="1">
      <c r="A182" s="221"/>
      <c r="B182" s="212">
        <f>IFERROR(VLOOKUP(A182,'Tổng,SUMMARY'!C:D,2,0),)</f>
        <v>0</v>
      </c>
      <c r="C182" s="343"/>
      <c r="D182" s="213"/>
      <c r="E182" s="214"/>
      <c r="F182" s="215"/>
    </row>
    <row r="183" spans="1:6" ht="21.75" customHeight="1">
      <c r="A183" s="221"/>
      <c r="B183" s="212">
        <f>IFERROR(VLOOKUP(A183,'Tổng,SUMMARY'!C:D,2,0),)</f>
        <v>0</v>
      </c>
      <c r="C183" s="343"/>
      <c r="D183" s="213"/>
      <c r="E183" s="214"/>
      <c r="F183" s="215"/>
    </row>
    <row r="184" spans="1:6" ht="21.75" customHeight="1">
      <c r="A184" s="221"/>
      <c r="B184" s="212">
        <f>IFERROR(VLOOKUP(A184,'Tổng,SUMMARY'!C:D,2,0),)</f>
        <v>0</v>
      </c>
      <c r="C184" s="343"/>
      <c r="D184" s="213"/>
      <c r="E184" s="214"/>
      <c r="F184" s="215"/>
    </row>
    <row r="185" spans="1:6" ht="21.75" customHeight="1">
      <c r="A185" s="221"/>
      <c r="B185" s="212">
        <f>IFERROR(VLOOKUP(A185,'Tổng,SUMMARY'!C:D,2,0),)</f>
        <v>0</v>
      </c>
      <c r="C185" s="343"/>
      <c r="D185" s="213"/>
      <c r="E185" s="214"/>
      <c r="F185" s="215"/>
    </row>
    <row r="186" spans="1:6" ht="21.75" customHeight="1">
      <c r="A186" s="221"/>
      <c r="B186" s="212">
        <f>IFERROR(VLOOKUP(A186,'Tổng,SUMMARY'!C:D,2,0),)</f>
        <v>0</v>
      </c>
      <c r="C186" s="343"/>
      <c r="D186" s="213"/>
      <c r="E186" s="214"/>
      <c r="F186" s="215"/>
    </row>
    <row r="187" spans="1:6" ht="21.75" customHeight="1">
      <c r="A187" s="221"/>
      <c r="B187" s="212">
        <f>IFERROR(VLOOKUP(A187,'Tổng,SUMMARY'!C:D,2,0),)</f>
        <v>0</v>
      </c>
      <c r="C187" s="343"/>
      <c r="D187" s="213"/>
      <c r="E187" s="214"/>
      <c r="F187" s="215"/>
    </row>
    <row r="188" spans="1:6" ht="21.75" customHeight="1">
      <c r="A188" s="221"/>
      <c r="B188" s="212">
        <f>IFERROR(VLOOKUP(A188,'Tổng,SUMMARY'!C:D,2,0),)</f>
        <v>0</v>
      </c>
      <c r="C188" s="343"/>
      <c r="D188" s="213"/>
      <c r="E188" s="214"/>
      <c r="F188" s="215"/>
    </row>
    <row r="189" spans="1:6" ht="21.75" customHeight="1">
      <c r="A189" s="221"/>
      <c r="B189" s="212">
        <f>IFERROR(VLOOKUP(A189,'Tổng,SUMMARY'!C:D,2,0),)</f>
        <v>0</v>
      </c>
      <c r="C189" s="343"/>
      <c r="D189" s="213"/>
      <c r="E189" s="214"/>
      <c r="F189" s="215"/>
    </row>
    <row r="190" spans="1:6" ht="21.75" customHeight="1">
      <c r="A190" s="221"/>
      <c r="B190" s="212">
        <f>IFERROR(VLOOKUP(A190,'Tổng,SUMMARY'!C:D,2,0),)</f>
        <v>0</v>
      </c>
      <c r="C190" s="343"/>
      <c r="D190" s="213"/>
      <c r="E190" s="214"/>
      <c r="F190" s="215"/>
    </row>
    <row r="191" spans="1:6" ht="21.75" customHeight="1">
      <c r="A191" s="221"/>
      <c r="B191" s="212">
        <f>IFERROR(VLOOKUP(A191,'Tổng,SUMMARY'!C:D,2,0),)</f>
        <v>0</v>
      </c>
      <c r="C191" s="343"/>
      <c r="D191" s="222"/>
      <c r="E191" s="214"/>
      <c r="F191" s="215"/>
    </row>
    <row r="192" spans="1:6" ht="21.75" customHeight="1">
      <c r="A192" s="221"/>
      <c r="B192" s="212">
        <f>IFERROR(VLOOKUP(A192,'Tổng,SUMMARY'!C:D,2,0),)</f>
        <v>0</v>
      </c>
      <c r="C192" s="343"/>
      <c r="D192" s="222"/>
      <c r="E192" s="214"/>
      <c r="F192" s="215"/>
    </row>
    <row r="193" spans="1:6" ht="21.75" customHeight="1">
      <c r="A193" s="221"/>
      <c r="B193" s="212">
        <f>IFERROR(VLOOKUP(A193,'Tổng,SUMMARY'!C:D,2,0),)</f>
        <v>0</v>
      </c>
      <c r="C193" s="343"/>
      <c r="D193" s="213"/>
      <c r="E193" s="214"/>
      <c r="F193" s="215"/>
    </row>
    <row r="194" spans="1:6" ht="21.75" customHeight="1">
      <c r="A194" s="221"/>
      <c r="B194" s="212">
        <f>IFERROR(VLOOKUP(A194,'Tổng,SUMMARY'!C:D,2,0),)</f>
        <v>0</v>
      </c>
      <c r="C194" s="343"/>
      <c r="D194" s="213"/>
      <c r="E194" s="214"/>
      <c r="F194" s="215"/>
    </row>
    <row r="195" spans="1:6" ht="21.75" customHeight="1">
      <c r="A195" s="221"/>
      <c r="B195" s="212">
        <f>IFERROR(VLOOKUP(A195,'Tổng,SUMMARY'!C:D,2,0),)</f>
        <v>0</v>
      </c>
      <c r="C195" s="343"/>
      <c r="D195" s="213"/>
      <c r="E195" s="214"/>
      <c r="F195" s="215"/>
    </row>
    <row r="196" spans="1:6" ht="21.75" customHeight="1">
      <c r="A196" s="221"/>
      <c r="B196" s="212">
        <f>IFERROR(VLOOKUP(A196,'Tổng,SUMMARY'!C:D,2,0),)</f>
        <v>0</v>
      </c>
      <c r="C196" s="343"/>
      <c r="D196" s="213"/>
      <c r="E196" s="214"/>
      <c r="F196" s="215"/>
    </row>
    <row r="197" spans="1:6" ht="21.75" customHeight="1">
      <c r="A197" s="221"/>
      <c r="B197" s="212">
        <f>IFERROR(VLOOKUP(A197,'Tổng,SUMMARY'!C:D,2,0),)</f>
        <v>0</v>
      </c>
      <c r="C197" s="343"/>
      <c r="D197" s="213"/>
      <c r="E197" s="214"/>
      <c r="F197" s="215"/>
    </row>
    <row r="198" spans="1:6" ht="21.75" customHeight="1">
      <c r="A198" s="221"/>
      <c r="B198" s="212">
        <f>IFERROR(VLOOKUP(A198,'Tổng,SUMMARY'!C:D,2,0),)</f>
        <v>0</v>
      </c>
      <c r="C198" s="343"/>
      <c r="D198" s="213"/>
      <c r="E198" s="214"/>
      <c r="F198" s="215"/>
    </row>
    <row r="199" spans="1:6" ht="21.75" customHeight="1">
      <c r="A199" s="221"/>
      <c r="B199" s="212">
        <f>IFERROR(VLOOKUP(A199,'Tổng,SUMMARY'!C:D,2,0),)</f>
        <v>0</v>
      </c>
      <c r="C199" s="343"/>
      <c r="D199" s="213"/>
      <c r="E199" s="214"/>
      <c r="F199" s="215"/>
    </row>
    <row r="200" spans="1:6" ht="21.75" customHeight="1">
      <c r="A200" s="221"/>
      <c r="B200" s="212">
        <f>IFERROR(VLOOKUP(A200,'Tổng,SUMMARY'!C:D,2,0),)</f>
        <v>0</v>
      </c>
      <c r="C200" s="343"/>
      <c r="D200" s="213"/>
      <c r="E200" s="214"/>
      <c r="F200" s="215"/>
    </row>
    <row r="201" spans="1:6" ht="21.75" customHeight="1">
      <c r="A201" s="221"/>
      <c r="B201" s="212">
        <f>IFERROR(VLOOKUP(A201,'Tổng,SUMMARY'!C:D,2,0),)</f>
        <v>0</v>
      </c>
      <c r="C201" s="343"/>
      <c r="D201" s="213"/>
      <c r="E201" s="214"/>
      <c r="F201" s="215"/>
    </row>
    <row r="202" spans="1:6" ht="21.75" customHeight="1">
      <c r="A202" s="221"/>
      <c r="B202" s="212">
        <f>IFERROR(VLOOKUP(A202,'Tổng,SUMMARY'!C:D,2,0),)</f>
        <v>0</v>
      </c>
      <c r="C202" s="343"/>
      <c r="D202" s="213"/>
      <c r="E202" s="214"/>
      <c r="F202" s="215"/>
    </row>
    <row r="203" spans="1:6" ht="21.75" customHeight="1">
      <c r="A203" s="221"/>
      <c r="B203" s="212">
        <f>IFERROR(VLOOKUP(A203,'Tổng,SUMMARY'!C:D,2,0),)</f>
        <v>0</v>
      </c>
      <c r="C203" s="343"/>
      <c r="D203" s="213"/>
      <c r="E203" s="214"/>
      <c r="F203" s="215"/>
    </row>
    <row r="204" spans="1:6" ht="21.75" customHeight="1">
      <c r="A204" s="221"/>
      <c r="B204" s="223"/>
      <c r="C204" s="343"/>
      <c r="D204" s="213"/>
      <c r="E204" s="214"/>
      <c r="F204" s="215"/>
    </row>
    <row r="205" spans="1:6" ht="21.75" customHeight="1">
      <c r="A205" s="221"/>
      <c r="B205" s="223"/>
      <c r="C205" s="343"/>
      <c r="D205" s="213"/>
      <c r="E205" s="214"/>
      <c r="F205" s="215"/>
    </row>
    <row r="206" spans="1:6" ht="21.75" customHeight="1">
      <c r="A206" s="221"/>
      <c r="B206" s="223"/>
      <c r="C206" s="343"/>
      <c r="D206" s="213"/>
      <c r="E206" s="214"/>
      <c r="F206" s="215"/>
    </row>
    <row r="207" spans="1:6" ht="21.75" customHeight="1">
      <c r="A207" s="221"/>
      <c r="B207" s="223"/>
      <c r="C207" s="343"/>
      <c r="D207" s="213"/>
      <c r="E207" s="214"/>
      <c r="F207" s="215"/>
    </row>
    <row r="208" spans="1:6" ht="21.75" customHeight="1">
      <c r="A208" s="221"/>
      <c r="B208" s="223"/>
      <c r="C208" s="343"/>
      <c r="D208" s="213"/>
      <c r="E208" s="214"/>
      <c r="F208" s="215"/>
    </row>
    <row r="209" spans="1:6" ht="21.75" customHeight="1">
      <c r="A209" s="221"/>
      <c r="B209" s="223"/>
      <c r="C209" s="343"/>
      <c r="D209" s="213"/>
      <c r="E209" s="214"/>
      <c r="F209" s="215"/>
    </row>
    <row r="210" spans="1:6" ht="21.75" customHeight="1">
      <c r="A210" s="221"/>
      <c r="B210" s="223"/>
      <c r="C210" s="343"/>
      <c r="D210" s="213"/>
      <c r="E210" s="214"/>
      <c r="F210" s="215"/>
    </row>
    <row r="211" spans="1:6" ht="21.75" customHeight="1">
      <c r="A211" s="221"/>
      <c r="B211" s="223"/>
      <c r="C211" s="343"/>
      <c r="D211" s="213"/>
      <c r="E211" s="214"/>
      <c r="F211" s="215"/>
    </row>
    <row r="212" spans="1:6" ht="21.75" customHeight="1">
      <c r="A212" s="221"/>
      <c r="B212" s="223"/>
      <c r="C212" s="343"/>
      <c r="D212" s="213"/>
      <c r="E212" s="214"/>
      <c r="F212" s="215"/>
    </row>
    <row r="213" spans="1:6" ht="21.75" customHeight="1">
      <c r="A213" s="221"/>
      <c r="B213" s="223"/>
      <c r="C213" s="343"/>
      <c r="D213" s="213"/>
      <c r="E213" s="214"/>
      <c r="F213" s="215"/>
    </row>
    <row r="214" spans="1:6" ht="21.75" customHeight="1">
      <c r="A214" s="221"/>
      <c r="B214" s="223"/>
      <c r="C214" s="343"/>
      <c r="D214" s="213"/>
      <c r="E214" s="214"/>
      <c r="F214" s="215"/>
    </row>
    <row r="215" spans="1:6" ht="21.75" customHeight="1">
      <c r="A215" s="221"/>
      <c r="B215" s="223"/>
      <c r="C215" s="343"/>
      <c r="D215" s="213"/>
      <c r="E215" s="214"/>
      <c r="F215" s="215"/>
    </row>
    <row r="216" spans="1:6" ht="21.75" customHeight="1">
      <c r="A216" s="221"/>
      <c r="B216" s="223"/>
      <c r="C216" s="343"/>
      <c r="D216" s="213"/>
      <c r="E216" s="214"/>
      <c r="F216" s="215"/>
    </row>
    <row r="217" spans="1:6" ht="21.75" customHeight="1">
      <c r="A217" s="221"/>
      <c r="B217" s="223"/>
      <c r="C217" s="343"/>
      <c r="D217" s="213"/>
      <c r="E217" s="214"/>
      <c r="F217" s="215"/>
    </row>
    <row r="218" spans="1:6" ht="21.75" customHeight="1">
      <c r="A218" s="221"/>
      <c r="B218" s="223"/>
      <c r="C218" s="343"/>
      <c r="D218" s="213"/>
      <c r="E218" s="214"/>
      <c r="F218" s="215"/>
    </row>
    <row r="219" spans="1:6" ht="21.75" customHeight="1">
      <c r="A219" s="221"/>
      <c r="B219" s="223"/>
      <c r="C219" s="343"/>
      <c r="D219" s="213"/>
      <c r="E219" s="214"/>
      <c r="F219" s="215"/>
    </row>
    <row r="220" spans="1:6" ht="21.75" customHeight="1">
      <c r="A220" s="221"/>
      <c r="B220" s="223"/>
      <c r="C220" s="343"/>
      <c r="D220" s="213"/>
      <c r="E220" s="214"/>
      <c r="F220" s="215"/>
    </row>
    <row r="221" spans="1:6" ht="21.75" customHeight="1">
      <c r="A221" s="221"/>
      <c r="B221" s="223"/>
      <c r="C221" s="343"/>
      <c r="D221" s="213"/>
      <c r="E221" s="214"/>
      <c r="F221" s="215"/>
    </row>
    <row r="222" spans="1:6" ht="21.75" customHeight="1">
      <c r="A222" s="221"/>
      <c r="B222" s="223"/>
      <c r="C222" s="343"/>
      <c r="D222" s="213"/>
      <c r="E222" s="214"/>
      <c r="F222" s="215"/>
    </row>
    <row r="223" spans="1:6" ht="21.75" customHeight="1">
      <c r="A223" s="221"/>
      <c r="B223" s="223"/>
      <c r="C223" s="343"/>
      <c r="D223" s="213"/>
      <c r="E223" s="214"/>
      <c r="F223" s="215"/>
    </row>
    <row r="224" spans="1:6" ht="21.75" customHeight="1">
      <c r="A224" s="221"/>
      <c r="B224" s="223"/>
      <c r="C224" s="343"/>
      <c r="D224" s="213"/>
      <c r="E224" s="214"/>
      <c r="F224" s="215"/>
    </row>
    <row r="225" spans="1:6" ht="21.75" customHeight="1">
      <c r="A225" s="221"/>
      <c r="B225" s="223"/>
      <c r="C225" s="343"/>
      <c r="D225" s="213"/>
      <c r="E225" s="214"/>
      <c r="F225" s="215"/>
    </row>
    <row r="226" spans="1:6" ht="21.75" customHeight="1">
      <c r="A226" s="221"/>
      <c r="B226" s="223"/>
      <c r="C226" s="343"/>
      <c r="D226" s="213"/>
      <c r="E226" s="214"/>
      <c r="F226" s="215"/>
    </row>
    <row r="227" spans="1:6" ht="21.75" customHeight="1">
      <c r="A227" s="221"/>
      <c r="B227" s="223"/>
      <c r="C227" s="343"/>
      <c r="D227" s="213"/>
      <c r="E227" s="214"/>
      <c r="F227" s="215"/>
    </row>
    <row r="228" spans="1:6" ht="21.75" customHeight="1">
      <c r="A228" s="221"/>
      <c r="B228" s="223"/>
      <c r="C228" s="343"/>
      <c r="D228" s="213"/>
      <c r="E228" s="214"/>
      <c r="F228" s="215"/>
    </row>
    <row r="229" spans="1:6" ht="21.75" customHeight="1">
      <c r="A229" s="221"/>
      <c r="B229" s="223"/>
      <c r="C229" s="343"/>
      <c r="D229" s="213"/>
      <c r="E229" s="214"/>
      <c r="F229" s="215"/>
    </row>
    <row r="230" spans="1:6" ht="21.75" customHeight="1">
      <c r="A230" s="221"/>
      <c r="B230" s="223"/>
      <c r="C230" s="343"/>
      <c r="D230" s="213"/>
      <c r="E230" s="214"/>
      <c r="F230" s="215"/>
    </row>
    <row r="231" spans="1:6" ht="21.75" customHeight="1">
      <c r="A231" s="221"/>
      <c r="B231" s="223"/>
      <c r="C231" s="343"/>
      <c r="D231" s="213"/>
      <c r="E231" s="214"/>
      <c r="F231" s="215"/>
    </row>
    <row r="232" spans="1:6" ht="21.75" customHeight="1">
      <c r="A232" s="221"/>
      <c r="B232" s="223"/>
      <c r="C232" s="343"/>
      <c r="D232" s="213"/>
      <c r="E232" s="214"/>
      <c r="F232" s="215"/>
    </row>
    <row r="233" spans="1:6" ht="21.75" customHeight="1">
      <c r="A233" s="221"/>
      <c r="B233" s="223"/>
      <c r="C233" s="343"/>
      <c r="D233" s="213"/>
      <c r="E233" s="214"/>
      <c r="F233" s="215"/>
    </row>
    <row r="234" spans="1:6" ht="21.75" customHeight="1">
      <c r="A234" s="221"/>
      <c r="B234" s="223"/>
      <c r="C234" s="343"/>
      <c r="D234" s="213"/>
      <c r="E234" s="214"/>
      <c r="F234" s="215"/>
    </row>
    <row r="235" spans="1:6" ht="21.75" customHeight="1">
      <c r="A235" s="221"/>
      <c r="B235" s="223"/>
      <c r="C235" s="343"/>
      <c r="D235" s="213"/>
      <c r="E235" s="214"/>
      <c r="F235" s="215"/>
    </row>
    <row r="236" spans="1:6" ht="21.75" customHeight="1">
      <c r="A236" s="221"/>
      <c r="B236" s="223"/>
      <c r="C236" s="343"/>
      <c r="D236" s="213"/>
      <c r="E236" s="214"/>
      <c r="F236" s="215"/>
    </row>
    <row r="237" spans="1:6" ht="21.75" customHeight="1">
      <c r="A237" s="221"/>
      <c r="B237" s="223"/>
      <c r="C237" s="343"/>
      <c r="D237" s="213"/>
      <c r="E237" s="214"/>
      <c r="F237" s="215"/>
    </row>
    <row r="238" spans="1:6" ht="21.75" customHeight="1">
      <c r="A238" s="221"/>
      <c r="B238" s="223"/>
      <c r="C238" s="343"/>
      <c r="D238" s="213"/>
      <c r="E238" s="214"/>
      <c r="F238" s="215"/>
    </row>
    <row r="239" spans="1:6" ht="21.75" customHeight="1">
      <c r="A239" s="221"/>
      <c r="B239" s="223"/>
      <c r="C239" s="343"/>
      <c r="D239" s="213"/>
      <c r="E239" s="214"/>
      <c r="F239" s="215"/>
    </row>
    <row r="240" spans="1:6" ht="21.75" customHeight="1">
      <c r="A240" s="221"/>
      <c r="B240" s="223"/>
      <c r="C240" s="343"/>
      <c r="D240" s="213"/>
      <c r="E240" s="214"/>
      <c r="F240" s="215"/>
    </row>
    <row r="241" spans="1:6" ht="21.75" customHeight="1">
      <c r="A241" s="221"/>
      <c r="B241" s="223"/>
      <c r="C241" s="343"/>
      <c r="D241" s="213"/>
      <c r="E241" s="214"/>
      <c r="F241" s="215"/>
    </row>
    <row r="242" spans="1:6" ht="21.75" customHeight="1">
      <c r="A242" s="221"/>
      <c r="B242" s="223"/>
      <c r="C242" s="343"/>
      <c r="D242" s="213"/>
      <c r="E242" s="214"/>
      <c r="F242" s="215"/>
    </row>
    <row r="243" spans="1:6" ht="21.75" customHeight="1">
      <c r="A243" s="221"/>
      <c r="B243" s="223"/>
      <c r="C243" s="343"/>
      <c r="D243" s="213"/>
      <c r="E243" s="214"/>
      <c r="F243" s="215"/>
    </row>
    <row r="244" spans="1:6" ht="21.75" customHeight="1">
      <c r="A244" s="221"/>
      <c r="B244" s="223"/>
      <c r="C244" s="343"/>
      <c r="D244" s="213"/>
      <c r="E244" s="214"/>
      <c r="F244" s="215"/>
    </row>
    <row r="245" spans="1:6" ht="21.75" customHeight="1">
      <c r="A245" s="221"/>
      <c r="B245" s="223"/>
      <c r="C245" s="343"/>
      <c r="D245" s="213"/>
      <c r="E245" s="214"/>
      <c r="F245" s="215"/>
    </row>
    <row r="246" spans="1:6" ht="21.75" customHeight="1">
      <c r="A246" s="221"/>
      <c r="B246" s="223"/>
      <c r="C246" s="343"/>
      <c r="D246" s="213"/>
      <c r="E246" s="214"/>
      <c r="F246" s="215"/>
    </row>
    <row r="247" spans="1:6" ht="21.75" customHeight="1">
      <c r="A247" s="221"/>
      <c r="B247" s="223"/>
      <c r="C247" s="343"/>
      <c r="D247" s="213"/>
      <c r="E247" s="214"/>
      <c r="F247" s="215"/>
    </row>
    <row r="248" spans="1:6" ht="21.75" customHeight="1">
      <c r="A248" s="221"/>
      <c r="B248" s="223"/>
      <c r="C248" s="343"/>
      <c r="D248" s="213"/>
      <c r="E248" s="214"/>
      <c r="F248" s="215"/>
    </row>
    <row r="249" spans="1:6" ht="21.75" customHeight="1">
      <c r="A249" s="221"/>
      <c r="B249" s="223"/>
      <c r="C249" s="343"/>
      <c r="D249" s="213"/>
      <c r="E249" s="214"/>
      <c r="F249" s="215"/>
    </row>
    <row r="250" spans="1:6" ht="21.75" customHeight="1">
      <c r="A250" s="221"/>
      <c r="B250" s="223"/>
      <c r="C250" s="343"/>
      <c r="D250" s="213"/>
      <c r="E250" s="214"/>
      <c r="F250" s="215"/>
    </row>
    <row r="251" spans="1:6" ht="21.75" customHeight="1">
      <c r="A251" s="221"/>
      <c r="B251" s="223"/>
      <c r="C251" s="343"/>
      <c r="D251" s="213"/>
      <c r="E251" s="214"/>
      <c r="F251" s="215"/>
    </row>
    <row r="252" spans="1:6" ht="21.75" customHeight="1">
      <c r="A252" s="221"/>
      <c r="B252" s="223"/>
      <c r="C252" s="343"/>
      <c r="D252" s="213"/>
      <c r="E252" s="214"/>
      <c r="F252" s="215"/>
    </row>
    <row r="253" spans="1:6" ht="21.75" customHeight="1">
      <c r="A253" s="221"/>
      <c r="B253" s="223"/>
      <c r="C253" s="343"/>
      <c r="D253" s="213"/>
      <c r="E253" s="224"/>
      <c r="F253" s="215"/>
    </row>
    <row r="254" spans="1:6" ht="21.75" customHeight="1">
      <c r="A254" s="221"/>
      <c r="B254" s="223"/>
      <c r="C254" s="343"/>
      <c r="D254" s="213"/>
      <c r="E254" s="224"/>
      <c r="F254" s="215"/>
    </row>
    <row r="255" spans="1:6" ht="21.75" customHeight="1">
      <c r="A255" s="221"/>
      <c r="B255" s="223"/>
      <c r="C255" s="343"/>
      <c r="D255" s="213"/>
      <c r="E255" s="224"/>
      <c r="F255" s="215"/>
    </row>
    <row r="256" spans="1:6" ht="21.75" customHeight="1">
      <c r="A256" s="221"/>
      <c r="B256" s="223"/>
      <c r="C256" s="343"/>
      <c r="D256" s="213"/>
      <c r="E256" s="224"/>
      <c r="F256" s="215"/>
    </row>
    <row r="257" spans="1:6" ht="21.75" customHeight="1">
      <c r="A257" s="221"/>
      <c r="B257" s="223"/>
      <c r="C257" s="343"/>
      <c r="D257" s="213"/>
      <c r="E257" s="224"/>
      <c r="F257" s="215"/>
    </row>
    <row r="258" spans="1:6" ht="21.75" customHeight="1">
      <c r="A258" s="221"/>
      <c r="B258" s="223"/>
      <c r="C258" s="343"/>
      <c r="D258" s="213"/>
      <c r="E258" s="224"/>
      <c r="F258" s="215"/>
    </row>
    <row r="259" spans="1:6" ht="21.75" customHeight="1">
      <c r="A259" s="221"/>
      <c r="B259" s="223"/>
      <c r="C259" s="343"/>
      <c r="D259" s="213"/>
      <c r="E259" s="224"/>
      <c r="F259" s="215"/>
    </row>
    <row r="260" spans="1:6" ht="21.75" customHeight="1">
      <c r="A260" s="221"/>
      <c r="B260" s="223"/>
      <c r="C260" s="343"/>
      <c r="D260" s="213"/>
      <c r="E260" s="224"/>
      <c r="F260" s="215"/>
    </row>
    <row r="261" spans="1:6" ht="21.75" customHeight="1">
      <c r="A261" s="221"/>
      <c r="B261" s="223"/>
      <c r="C261" s="343"/>
      <c r="D261" s="213"/>
      <c r="E261" s="224"/>
      <c r="F261" s="215"/>
    </row>
    <row r="262" spans="1:6" ht="21.75" customHeight="1">
      <c r="A262" s="221"/>
      <c r="B262" s="223"/>
      <c r="C262" s="343"/>
      <c r="D262" s="213"/>
      <c r="E262" s="224"/>
      <c r="F262" s="215"/>
    </row>
    <row r="263" spans="1:6" ht="21.75" customHeight="1">
      <c r="A263" s="221"/>
      <c r="B263" s="223"/>
      <c r="C263" s="343"/>
      <c r="D263" s="213"/>
      <c r="E263" s="224"/>
      <c r="F263" s="215"/>
    </row>
    <row r="264" spans="1:6" ht="21.75" customHeight="1">
      <c r="A264" s="221"/>
      <c r="B264" s="223"/>
      <c r="C264" s="343"/>
      <c r="D264" s="213"/>
      <c r="E264" s="224"/>
      <c r="F264" s="215"/>
    </row>
    <row r="265" spans="1:6" ht="21.75" customHeight="1">
      <c r="A265" s="221"/>
      <c r="B265" s="223"/>
      <c r="C265" s="343"/>
      <c r="D265" s="213"/>
      <c r="E265" s="224"/>
      <c r="F265" s="215"/>
    </row>
    <row r="266" spans="1:6" ht="21.75" customHeight="1">
      <c r="A266" s="221"/>
      <c r="B266" s="223"/>
      <c r="C266" s="343"/>
      <c r="D266" s="213"/>
      <c r="E266" s="224"/>
      <c r="F266" s="215"/>
    </row>
    <row r="267" spans="1:6" ht="21.75" customHeight="1">
      <c r="A267" s="221"/>
      <c r="B267" s="223"/>
      <c r="C267" s="343"/>
      <c r="D267" s="213"/>
      <c r="E267" s="224"/>
      <c r="F267" s="215"/>
    </row>
    <row r="268" spans="1:6" ht="21.75" customHeight="1">
      <c r="A268" s="221"/>
      <c r="B268" s="223"/>
      <c r="C268" s="343"/>
      <c r="D268" s="213"/>
      <c r="E268" s="224"/>
      <c r="F268" s="215"/>
    </row>
    <row r="269" spans="1:6" ht="21.75" customHeight="1">
      <c r="A269" s="221"/>
      <c r="B269" s="223"/>
      <c r="C269" s="343"/>
      <c r="D269" s="213"/>
      <c r="E269" s="224"/>
      <c r="F269" s="215"/>
    </row>
    <row r="270" spans="1:6" ht="21.75" customHeight="1">
      <c r="A270" s="221"/>
      <c r="B270" s="223"/>
      <c r="C270" s="343"/>
      <c r="D270" s="213"/>
      <c r="E270" s="224"/>
      <c r="F270" s="215"/>
    </row>
    <row r="271" spans="1:6" ht="21.75" customHeight="1">
      <c r="A271" s="221"/>
      <c r="B271" s="223"/>
      <c r="C271" s="343"/>
      <c r="D271" s="213"/>
      <c r="E271" s="224"/>
      <c r="F271" s="215"/>
    </row>
    <row r="272" spans="1:6" ht="21.75" customHeight="1">
      <c r="A272" s="221"/>
      <c r="B272" s="223"/>
      <c r="C272" s="343"/>
      <c r="D272" s="213"/>
      <c r="E272" s="224"/>
      <c r="F272" s="215"/>
    </row>
    <row r="273" spans="1:6" ht="21.75" customHeight="1">
      <c r="A273" s="221"/>
      <c r="B273" s="223"/>
      <c r="C273" s="343"/>
      <c r="D273" s="213"/>
      <c r="E273" s="224"/>
      <c r="F273" s="215"/>
    </row>
    <row r="274" spans="1:6" ht="21.75" customHeight="1">
      <c r="A274" s="221"/>
      <c r="B274" s="223"/>
      <c r="C274" s="343"/>
      <c r="D274" s="213"/>
      <c r="E274" s="224"/>
      <c r="F274" s="215"/>
    </row>
    <row r="275" spans="1:6" ht="21.75" customHeight="1">
      <c r="A275" s="221"/>
      <c r="B275" s="223"/>
      <c r="C275" s="343"/>
      <c r="D275" s="213"/>
      <c r="E275" s="214"/>
      <c r="F275" s="215"/>
    </row>
    <row r="276" spans="1:6" ht="21.75" customHeight="1">
      <c r="A276" s="221"/>
      <c r="B276" s="223"/>
      <c r="C276" s="343"/>
      <c r="D276" s="213"/>
      <c r="E276" s="214"/>
      <c r="F276" s="215"/>
    </row>
    <row r="277" spans="1:6" ht="21.75" customHeight="1">
      <c r="A277" s="221"/>
      <c r="B277" s="223"/>
      <c r="C277" s="343"/>
      <c r="D277" s="213"/>
      <c r="E277" s="214"/>
      <c r="F277" s="215"/>
    </row>
    <row r="278" spans="1:6" ht="21.75" customHeight="1">
      <c r="A278" s="221"/>
      <c r="B278" s="223"/>
      <c r="C278" s="343"/>
      <c r="D278" s="213"/>
      <c r="E278" s="214"/>
      <c r="F278" s="215"/>
    </row>
    <row r="279" spans="1:6" ht="21.75" customHeight="1">
      <c r="A279" s="221"/>
      <c r="B279" s="223"/>
      <c r="C279" s="343"/>
      <c r="D279" s="213"/>
      <c r="E279" s="214"/>
      <c r="F279" s="215"/>
    </row>
    <row r="280" spans="1:6" ht="21.75" customHeight="1">
      <c r="A280" s="221"/>
      <c r="B280" s="223"/>
      <c r="C280" s="343"/>
      <c r="D280" s="213"/>
      <c r="E280" s="214"/>
      <c r="F280" s="215"/>
    </row>
    <row r="281" spans="1:6" ht="21.75" customHeight="1">
      <c r="A281" s="221"/>
      <c r="B281" s="223"/>
      <c r="C281" s="343"/>
      <c r="D281" s="213"/>
      <c r="E281" s="214"/>
      <c r="F281" s="215"/>
    </row>
    <row r="282" spans="1:6" ht="21.75" customHeight="1">
      <c r="A282" s="221"/>
      <c r="B282" s="223"/>
      <c r="C282" s="343"/>
      <c r="D282" s="213"/>
      <c r="E282" s="214"/>
      <c r="F282" s="215"/>
    </row>
    <row r="283" spans="1:6" ht="21.75" customHeight="1">
      <c r="A283" s="221"/>
      <c r="B283" s="223"/>
      <c r="C283" s="343"/>
      <c r="D283" s="213"/>
      <c r="E283" s="214"/>
      <c r="F283" s="215"/>
    </row>
    <row r="284" spans="1:6" ht="21.75" customHeight="1">
      <c r="A284" s="221"/>
      <c r="B284" s="223"/>
      <c r="C284" s="343"/>
      <c r="D284" s="213"/>
      <c r="E284" s="214"/>
      <c r="F284" s="215"/>
    </row>
    <row r="285" spans="1:6" ht="21.75" customHeight="1">
      <c r="A285" s="221"/>
      <c r="B285" s="223"/>
      <c r="C285" s="343"/>
      <c r="D285" s="213"/>
      <c r="E285" s="214"/>
      <c r="F285" s="215"/>
    </row>
    <row r="286" spans="1:6" ht="21.75" customHeight="1">
      <c r="A286" s="221"/>
      <c r="B286" s="223"/>
      <c r="C286" s="343"/>
      <c r="D286" s="213"/>
      <c r="E286" s="214"/>
      <c r="F286" s="215"/>
    </row>
    <row r="287" spans="1:6" ht="21.75" customHeight="1">
      <c r="A287" s="221"/>
      <c r="B287" s="223"/>
      <c r="C287" s="343"/>
      <c r="D287" s="213"/>
      <c r="E287" s="214"/>
      <c r="F287" s="215"/>
    </row>
    <row r="288" spans="1:6" ht="21.75" customHeight="1">
      <c r="A288" s="221"/>
      <c r="B288" s="223"/>
      <c r="C288" s="343"/>
      <c r="D288" s="213"/>
      <c r="E288" s="214"/>
      <c r="F288" s="215"/>
    </row>
    <row r="289" spans="1:6" ht="21.75" customHeight="1">
      <c r="A289" s="221"/>
      <c r="B289" s="223"/>
      <c r="C289" s="343"/>
      <c r="D289" s="213"/>
      <c r="E289" s="214"/>
      <c r="F289" s="215"/>
    </row>
    <row r="290" spans="1:6" ht="21.75" customHeight="1">
      <c r="A290" s="221"/>
      <c r="B290" s="223"/>
      <c r="C290" s="343"/>
      <c r="D290" s="213"/>
      <c r="E290" s="214"/>
      <c r="F290" s="215"/>
    </row>
    <row r="291" spans="1:6" ht="21.75" customHeight="1">
      <c r="A291" s="221"/>
      <c r="B291" s="223"/>
      <c r="C291" s="343"/>
      <c r="D291" s="213"/>
      <c r="E291" s="214"/>
      <c r="F291" s="215"/>
    </row>
    <row r="292" spans="1:6" ht="21.75" customHeight="1">
      <c r="A292" s="221"/>
      <c r="B292" s="223"/>
      <c r="C292" s="343"/>
      <c r="D292" s="213"/>
      <c r="E292" s="214"/>
      <c r="F292" s="215"/>
    </row>
    <row r="293" spans="1:6" ht="21.75" customHeight="1">
      <c r="A293" s="221"/>
      <c r="B293" s="223"/>
      <c r="C293" s="343"/>
      <c r="D293" s="213"/>
      <c r="E293" s="214"/>
      <c r="F293" s="215"/>
    </row>
    <row r="294" spans="1:6" ht="21.75" customHeight="1">
      <c r="A294" s="221"/>
      <c r="B294" s="223"/>
      <c r="C294" s="343"/>
      <c r="D294" s="213"/>
      <c r="E294" s="214"/>
      <c r="F294" s="215"/>
    </row>
    <row r="295" spans="1:6" ht="21.75" customHeight="1">
      <c r="A295" s="221"/>
      <c r="B295" s="223"/>
      <c r="C295" s="343"/>
      <c r="D295" s="213"/>
      <c r="E295" s="214"/>
      <c r="F295" s="215"/>
    </row>
    <row r="296" spans="1:6" ht="21.75" customHeight="1">
      <c r="A296" s="221"/>
      <c r="B296" s="223"/>
      <c r="C296" s="343"/>
      <c r="D296" s="213"/>
      <c r="E296" s="214"/>
      <c r="F296" s="215"/>
    </row>
    <row r="297" spans="1:6" ht="21.75" customHeight="1">
      <c r="A297" s="221"/>
      <c r="B297" s="223"/>
      <c r="C297" s="343"/>
      <c r="D297" s="213"/>
      <c r="E297" s="214"/>
      <c r="F297" s="215"/>
    </row>
    <row r="298" spans="1:6" ht="21.75" customHeight="1">
      <c r="A298" s="221"/>
      <c r="B298" s="223"/>
      <c r="C298" s="343"/>
      <c r="D298" s="213"/>
      <c r="E298" s="214"/>
      <c r="F298" s="215"/>
    </row>
    <row r="299" spans="1:6" ht="21.75" customHeight="1">
      <c r="A299" s="221"/>
      <c r="B299" s="223"/>
      <c r="C299" s="343"/>
      <c r="D299" s="213"/>
      <c r="E299" s="214"/>
      <c r="F299" s="215"/>
    </row>
    <row r="300" spans="1:6" ht="21.75" customHeight="1">
      <c r="A300" s="221"/>
      <c r="B300" s="223"/>
      <c r="C300" s="343"/>
      <c r="D300" s="213"/>
      <c r="E300" s="214"/>
      <c r="F300" s="215"/>
    </row>
    <row r="301" spans="1:6" ht="21.75" customHeight="1">
      <c r="A301" s="221"/>
      <c r="B301" s="223"/>
      <c r="C301" s="343"/>
      <c r="D301" s="213"/>
      <c r="E301" s="214"/>
      <c r="F301" s="215"/>
    </row>
    <row r="302" spans="1:6" ht="21.75" customHeight="1">
      <c r="A302" s="221"/>
      <c r="B302" s="223"/>
      <c r="C302" s="343"/>
      <c r="D302" s="213"/>
      <c r="E302" s="214"/>
      <c r="F302" s="215"/>
    </row>
    <row r="303" spans="1:6" ht="21.75" customHeight="1">
      <c r="A303" s="221"/>
      <c r="B303" s="223"/>
      <c r="C303" s="343"/>
      <c r="D303" s="213"/>
      <c r="E303" s="214"/>
      <c r="F303" s="215"/>
    </row>
    <row r="304" spans="1:6" ht="21.75" customHeight="1">
      <c r="A304" s="221"/>
      <c r="B304" s="223"/>
      <c r="C304" s="343"/>
      <c r="D304" s="213"/>
      <c r="E304" s="214"/>
      <c r="F304" s="215"/>
    </row>
    <row r="305" spans="1:6" ht="21.75" customHeight="1">
      <c r="A305" s="221"/>
      <c r="B305" s="223"/>
      <c r="C305" s="343"/>
      <c r="D305" s="213"/>
      <c r="E305" s="214"/>
      <c r="F305" s="215"/>
    </row>
    <row r="306" spans="1:6" ht="21.75" customHeight="1">
      <c r="A306" s="221"/>
      <c r="B306" s="223"/>
      <c r="C306" s="343"/>
      <c r="D306" s="213"/>
      <c r="E306" s="214"/>
      <c r="F306" s="215"/>
    </row>
    <row r="307" spans="1:6" ht="21.75" customHeight="1">
      <c r="A307" s="221"/>
      <c r="B307" s="223"/>
      <c r="C307" s="343"/>
      <c r="D307" s="213"/>
      <c r="E307" s="214"/>
      <c r="F307" s="215"/>
    </row>
    <row r="308" spans="1:6" ht="21.75" customHeight="1">
      <c r="A308" s="221"/>
      <c r="B308" s="223"/>
      <c r="C308" s="343"/>
      <c r="D308" s="213"/>
      <c r="E308" s="214"/>
      <c r="F308" s="215"/>
    </row>
    <row r="309" spans="1:6" ht="21.75" customHeight="1">
      <c r="A309" s="221"/>
      <c r="B309" s="223"/>
      <c r="C309" s="343"/>
      <c r="D309" s="213"/>
      <c r="E309" s="214"/>
      <c r="F309" s="215"/>
    </row>
    <row r="310" spans="1:6" ht="21.75" customHeight="1">
      <c r="A310" s="221"/>
      <c r="B310" s="223"/>
      <c r="C310" s="343"/>
      <c r="D310" s="213"/>
      <c r="E310" s="214"/>
      <c r="F310" s="215"/>
    </row>
    <row r="311" spans="1:6" ht="21.75" customHeight="1">
      <c r="A311" s="221"/>
      <c r="B311" s="223"/>
      <c r="C311" s="343"/>
      <c r="D311" s="213"/>
      <c r="E311" s="214"/>
      <c r="F311" s="215"/>
    </row>
    <row r="312" spans="1:6" ht="21.75" customHeight="1">
      <c r="A312" s="221"/>
      <c r="B312" s="223"/>
      <c r="C312" s="343"/>
      <c r="D312" s="213"/>
      <c r="E312" s="214"/>
      <c r="F312" s="215"/>
    </row>
    <row r="313" spans="1:6" ht="21.75" customHeight="1">
      <c r="A313" s="221"/>
      <c r="B313" s="223"/>
      <c r="C313" s="343"/>
      <c r="D313" s="213"/>
      <c r="E313" s="214"/>
      <c r="F313" s="215"/>
    </row>
    <row r="314" spans="1:6" ht="21.75" customHeight="1">
      <c r="A314" s="221"/>
      <c r="B314" s="223"/>
      <c r="C314" s="343"/>
      <c r="D314" s="213"/>
      <c r="E314" s="214"/>
      <c r="F314" s="215"/>
    </row>
    <row r="315" spans="1:6" ht="21.75" customHeight="1">
      <c r="A315" s="221"/>
      <c r="B315" s="223"/>
      <c r="C315" s="343"/>
      <c r="D315" s="213"/>
      <c r="E315" s="214"/>
      <c r="F315" s="215"/>
    </row>
    <row r="316" spans="1:6" ht="21.75" customHeight="1">
      <c r="A316" s="221"/>
      <c r="B316" s="223"/>
      <c r="C316" s="343"/>
      <c r="D316" s="213"/>
      <c r="E316" s="214"/>
      <c r="F316" s="215"/>
    </row>
    <row r="317" spans="1:6" ht="21.75" customHeight="1">
      <c r="A317" s="221"/>
      <c r="B317" s="223"/>
      <c r="C317" s="343"/>
      <c r="D317" s="213"/>
      <c r="E317" s="214"/>
      <c r="F317" s="215"/>
    </row>
    <row r="318" spans="1:6" ht="21.75" customHeight="1">
      <c r="A318" s="221"/>
      <c r="B318" s="223"/>
      <c r="C318" s="343"/>
      <c r="D318" s="213"/>
      <c r="E318" s="214"/>
      <c r="F318" s="215"/>
    </row>
    <row r="319" spans="1:6" ht="21.75" customHeight="1">
      <c r="A319" s="221"/>
      <c r="B319" s="223"/>
      <c r="C319" s="343"/>
      <c r="D319" s="213"/>
      <c r="E319" s="214"/>
      <c r="F319" s="215"/>
    </row>
    <row r="320" spans="1:6" ht="21.75" customHeight="1">
      <c r="A320" s="221"/>
      <c r="B320" s="223"/>
      <c r="C320" s="343"/>
      <c r="D320" s="213"/>
      <c r="E320" s="214"/>
      <c r="F320" s="215"/>
    </row>
    <row r="321" spans="1:6" ht="21.75" customHeight="1">
      <c r="A321" s="221"/>
      <c r="B321" s="223"/>
      <c r="C321" s="343"/>
      <c r="D321" s="213"/>
      <c r="E321" s="214"/>
      <c r="F321" s="215"/>
    </row>
    <row r="322" spans="1:6" ht="21.75" customHeight="1">
      <c r="A322" s="221"/>
      <c r="B322" s="223"/>
      <c r="C322" s="343"/>
      <c r="D322" s="213"/>
      <c r="E322" s="214"/>
      <c r="F322" s="215"/>
    </row>
    <row r="323" spans="1:6" ht="21.75" customHeight="1">
      <c r="A323" s="221"/>
      <c r="B323" s="223"/>
      <c r="C323" s="343"/>
      <c r="D323" s="213"/>
      <c r="E323" s="214"/>
      <c r="F323" s="215"/>
    </row>
    <row r="324" spans="1:6" ht="21.75" customHeight="1">
      <c r="A324" s="221"/>
      <c r="B324" s="223"/>
      <c r="C324" s="343"/>
      <c r="D324" s="213"/>
      <c r="E324" s="214"/>
      <c r="F324" s="215"/>
    </row>
    <row r="325" spans="1:6" ht="21.75" customHeight="1">
      <c r="A325" s="221"/>
      <c r="B325" s="223"/>
      <c r="C325" s="343"/>
      <c r="D325" s="213"/>
      <c r="E325" s="214"/>
      <c r="F325" s="215"/>
    </row>
    <row r="326" spans="1:6" ht="21.75" customHeight="1">
      <c r="A326" s="221"/>
      <c r="B326" s="223"/>
      <c r="C326" s="343"/>
      <c r="D326" s="213"/>
      <c r="E326" s="214"/>
      <c r="F326" s="215"/>
    </row>
    <row r="327" spans="1:6" ht="21.75" customHeight="1">
      <c r="A327" s="221"/>
      <c r="B327" s="223"/>
      <c r="C327" s="343"/>
      <c r="D327" s="213"/>
      <c r="E327" s="214"/>
      <c r="F327" s="215"/>
    </row>
    <row r="328" spans="1:6" ht="21.75" customHeight="1">
      <c r="A328" s="221"/>
      <c r="B328" s="223"/>
      <c r="C328" s="343"/>
      <c r="D328" s="213"/>
      <c r="E328" s="214"/>
      <c r="F328" s="215"/>
    </row>
    <row r="329" spans="1:6" ht="21.75" customHeight="1">
      <c r="A329" s="221"/>
      <c r="B329" s="223"/>
      <c r="C329" s="343"/>
      <c r="D329" s="213"/>
      <c r="E329" s="214"/>
      <c r="F329" s="215"/>
    </row>
    <row r="330" spans="1:6" ht="21.75" customHeight="1">
      <c r="A330" s="221"/>
      <c r="B330" s="223"/>
      <c r="C330" s="343"/>
      <c r="D330" s="213"/>
      <c r="E330" s="214"/>
      <c r="F330" s="215"/>
    </row>
    <row r="331" spans="1:6" ht="21.75" customHeight="1">
      <c r="A331" s="221"/>
      <c r="B331" s="223"/>
      <c r="C331" s="343"/>
      <c r="D331" s="213"/>
      <c r="E331" s="214"/>
      <c r="F331" s="215"/>
    </row>
    <row r="332" spans="1:6" ht="21.75" customHeight="1">
      <c r="A332" s="221"/>
      <c r="B332" s="223"/>
      <c r="C332" s="343"/>
      <c r="D332" s="213"/>
      <c r="E332" s="214"/>
      <c r="F332" s="215"/>
    </row>
    <row r="333" spans="1:6" ht="21.75" customHeight="1">
      <c r="A333" s="221"/>
      <c r="B333" s="223"/>
      <c r="C333" s="343"/>
      <c r="D333" s="213"/>
      <c r="E333" s="214"/>
      <c r="F333" s="215"/>
    </row>
    <row r="334" spans="1:6" ht="21.75" customHeight="1">
      <c r="A334" s="221"/>
      <c r="B334" s="223"/>
      <c r="C334" s="343"/>
      <c r="D334" s="213"/>
      <c r="E334" s="214"/>
      <c r="F334" s="215"/>
    </row>
    <row r="335" spans="1:6" ht="21.75" customHeight="1">
      <c r="A335" s="221"/>
      <c r="B335" s="223"/>
      <c r="C335" s="343"/>
      <c r="D335" s="213"/>
      <c r="E335" s="214"/>
      <c r="F335" s="215"/>
    </row>
    <row r="336" spans="1:6" ht="21.75" customHeight="1">
      <c r="A336" s="221"/>
      <c r="B336" s="223"/>
      <c r="C336" s="343"/>
      <c r="D336" s="213"/>
      <c r="E336" s="214"/>
      <c r="F336" s="215"/>
    </row>
    <row r="337" spans="1:6" ht="21.75" customHeight="1">
      <c r="A337" s="221"/>
      <c r="B337" s="223"/>
      <c r="C337" s="343"/>
      <c r="D337" s="213"/>
      <c r="E337" s="214"/>
      <c r="F337" s="215"/>
    </row>
    <row r="338" spans="1:6" ht="21.75" customHeight="1">
      <c r="A338" s="221"/>
      <c r="B338" s="223"/>
      <c r="C338" s="343"/>
      <c r="D338" s="213"/>
      <c r="E338" s="214"/>
      <c r="F338" s="215"/>
    </row>
    <row r="339" spans="1:6" ht="21.75" customHeight="1">
      <c r="A339" s="221"/>
      <c r="B339" s="223"/>
      <c r="C339" s="343"/>
      <c r="D339" s="213"/>
      <c r="E339" s="214"/>
      <c r="F339" s="215"/>
    </row>
    <row r="340" spans="1:6" ht="21.75" customHeight="1">
      <c r="A340" s="221"/>
      <c r="B340" s="223"/>
      <c r="C340" s="343"/>
      <c r="D340" s="213"/>
      <c r="E340" s="214"/>
      <c r="F340" s="215"/>
    </row>
    <row r="341" spans="1:6" ht="21.75" customHeight="1">
      <c r="A341" s="221"/>
      <c r="B341" s="223"/>
      <c r="C341" s="343"/>
      <c r="D341" s="213"/>
      <c r="E341" s="214"/>
      <c r="F341" s="215"/>
    </row>
    <row r="342" spans="1:6" ht="21.75" customHeight="1">
      <c r="A342" s="221"/>
      <c r="B342" s="223"/>
      <c r="C342" s="343"/>
      <c r="D342" s="213"/>
      <c r="E342" s="214"/>
      <c r="F342" s="215"/>
    </row>
    <row r="343" spans="1:6" ht="21.75" customHeight="1">
      <c r="A343" s="221"/>
      <c r="B343" s="223"/>
      <c r="C343" s="343"/>
      <c r="D343" s="213"/>
      <c r="E343" s="214"/>
      <c r="F343" s="215"/>
    </row>
    <row r="344" spans="1:6" ht="21.75" customHeight="1">
      <c r="A344" s="221"/>
      <c r="B344" s="223"/>
      <c r="C344" s="343"/>
      <c r="D344" s="213"/>
      <c r="E344" s="214"/>
      <c r="F344" s="215"/>
    </row>
    <row r="345" spans="1:6" ht="21.75" customHeight="1">
      <c r="A345" s="221"/>
      <c r="B345" s="223"/>
      <c r="C345" s="343"/>
      <c r="D345" s="213"/>
      <c r="E345" s="214"/>
      <c r="F345" s="215"/>
    </row>
    <row r="346" spans="1:6" ht="21.75" customHeight="1">
      <c r="A346" s="221"/>
      <c r="B346" s="223"/>
      <c r="C346" s="343"/>
      <c r="D346" s="213"/>
      <c r="E346" s="214"/>
      <c r="F346" s="215"/>
    </row>
    <row r="347" spans="1:6" ht="21.75" customHeight="1">
      <c r="A347" s="221"/>
      <c r="B347" s="223"/>
      <c r="C347" s="343"/>
      <c r="D347" s="213"/>
      <c r="E347" s="214"/>
      <c r="F347" s="215"/>
    </row>
    <row r="348" spans="1:6" ht="21.75" customHeight="1">
      <c r="A348" s="221"/>
      <c r="B348" s="223"/>
      <c r="C348" s="343"/>
      <c r="D348" s="213"/>
      <c r="E348" s="214"/>
      <c r="F348" s="215"/>
    </row>
    <row r="349" spans="1:6" ht="21.75" customHeight="1">
      <c r="A349" s="221"/>
      <c r="B349" s="223"/>
      <c r="C349" s="343"/>
      <c r="D349" s="213"/>
      <c r="E349" s="214"/>
      <c r="F349" s="215"/>
    </row>
    <row r="350" spans="1:6" ht="21.75" customHeight="1">
      <c r="A350" s="221"/>
      <c r="B350" s="223"/>
      <c r="C350" s="343"/>
      <c r="D350" s="213"/>
      <c r="E350" s="214"/>
      <c r="F350" s="215"/>
    </row>
    <row r="351" spans="1:6" ht="21.75" customHeight="1">
      <c r="A351" s="221"/>
      <c r="B351" s="223"/>
      <c r="C351" s="343"/>
      <c r="D351" s="213"/>
      <c r="E351" s="214"/>
      <c r="F351" s="215"/>
    </row>
    <row r="352" spans="1:6" ht="21.75" customHeight="1">
      <c r="A352" s="221"/>
      <c r="B352" s="223"/>
      <c r="C352" s="343"/>
      <c r="D352" s="213"/>
      <c r="E352" s="214"/>
      <c r="F352" s="215"/>
    </row>
    <row r="353" spans="1:6" ht="21.75" customHeight="1">
      <c r="A353" s="221"/>
      <c r="B353" s="223"/>
      <c r="C353" s="343"/>
      <c r="D353" s="213"/>
      <c r="E353" s="214"/>
      <c r="F353" s="215"/>
    </row>
    <row r="354" spans="1:6" ht="21.75" customHeight="1">
      <c r="A354" s="221"/>
      <c r="B354" s="223"/>
      <c r="C354" s="343"/>
      <c r="D354" s="213"/>
      <c r="E354" s="214"/>
      <c r="F354" s="215"/>
    </row>
    <row r="355" spans="1:6" ht="21.75" customHeight="1">
      <c r="A355" s="221"/>
      <c r="B355" s="223"/>
      <c r="C355" s="343"/>
      <c r="D355" s="213"/>
      <c r="E355" s="214"/>
      <c r="F355" s="215"/>
    </row>
    <row r="356" spans="1:6" ht="21.75" customHeight="1">
      <c r="A356" s="221"/>
      <c r="B356" s="223"/>
      <c r="C356" s="343"/>
      <c r="D356" s="213"/>
      <c r="E356" s="214"/>
      <c r="F356" s="215"/>
    </row>
    <row r="357" spans="1:6" ht="21.75" customHeight="1">
      <c r="A357" s="221"/>
      <c r="B357" s="223"/>
      <c r="C357" s="343"/>
      <c r="D357" s="213"/>
      <c r="E357" s="214"/>
      <c r="F357" s="215"/>
    </row>
    <row r="358" spans="1:6" ht="21.75" customHeight="1">
      <c r="A358" s="221"/>
      <c r="B358" s="223"/>
      <c r="C358" s="343"/>
      <c r="D358" s="213"/>
      <c r="E358" s="214"/>
      <c r="F358" s="215"/>
    </row>
    <row r="359" spans="1:6" ht="21.75" customHeight="1">
      <c r="A359" s="221"/>
      <c r="B359" s="223"/>
      <c r="C359" s="343"/>
      <c r="D359" s="213"/>
      <c r="E359" s="214"/>
      <c r="F359" s="215"/>
    </row>
    <row r="360" spans="1:6" ht="21.75" customHeight="1">
      <c r="A360" s="221"/>
      <c r="B360" s="223"/>
      <c r="C360" s="343"/>
      <c r="D360" s="213"/>
      <c r="E360" s="214"/>
      <c r="F360" s="215"/>
    </row>
    <row r="361" spans="1:6" ht="21.75" customHeight="1">
      <c r="A361" s="221"/>
      <c r="B361" s="223"/>
      <c r="C361" s="343"/>
      <c r="D361" s="213"/>
      <c r="E361" s="214"/>
      <c r="F361" s="215"/>
    </row>
    <row r="362" spans="1:6" ht="21.75" customHeight="1">
      <c r="A362" s="221"/>
      <c r="B362" s="223"/>
      <c r="C362" s="343"/>
      <c r="D362" s="213"/>
      <c r="E362" s="214"/>
      <c r="F362" s="215"/>
    </row>
    <row r="363" spans="1:6" ht="21.75" customHeight="1">
      <c r="A363" s="221"/>
      <c r="B363" s="223"/>
      <c r="C363" s="343"/>
      <c r="D363" s="213"/>
      <c r="E363" s="214"/>
      <c r="F363" s="215"/>
    </row>
    <row r="364" spans="1:6" ht="21.75" customHeight="1">
      <c r="A364" s="221"/>
      <c r="B364" s="223"/>
      <c r="C364" s="343"/>
      <c r="D364" s="213"/>
      <c r="E364" s="214"/>
      <c r="F364" s="215"/>
    </row>
    <row r="365" spans="1:6" ht="21.75" customHeight="1">
      <c r="A365" s="221"/>
      <c r="B365" s="223"/>
      <c r="C365" s="343"/>
      <c r="D365" s="213"/>
      <c r="E365" s="214"/>
      <c r="F365" s="215"/>
    </row>
    <row r="366" spans="1:6" ht="21.75" customHeight="1">
      <c r="A366" s="221"/>
      <c r="B366" s="223"/>
      <c r="C366" s="343"/>
      <c r="D366" s="213"/>
      <c r="E366" s="214"/>
      <c r="F366" s="215"/>
    </row>
    <row r="367" spans="1:6" ht="21.75" customHeight="1">
      <c r="A367" s="221"/>
      <c r="B367" s="223"/>
      <c r="C367" s="343"/>
      <c r="D367" s="213"/>
      <c r="E367" s="214"/>
      <c r="F367" s="215"/>
    </row>
    <row r="368" spans="1:6" ht="21.75" customHeight="1">
      <c r="A368" s="221"/>
      <c r="B368" s="223"/>
      <c r="C368" s="343"/>
      <c r="D368" s="213"/>
      <c r="E368" s="214"/>
      <c r="F368" s="215"/>
    </row>
    <row r="369" spans="1:6" ht="21.75" customHeight="1">
      <c r="A369" s="221"/>
      <c r="B369" s="223"/>
      <c r="C369" s="343"/>
      <c r="D369" s="213"/>
      <c r="E369" s="214"/>
      <c r="F369" s="215"/>
    </row>
    <row r="370" spans="1:6" ht="21.75" customHeight="1">
      <c r="A370" s="221"/>
      <c r="B370" s="223"/>
      <c r="C370" s="343"/>
      <c r="D370" s="213"/>
      <c r="E370" s="214"/>
      <c r="F370" s="215"/>
    </row>
    <row r="371" spans="1:6" ht="21.75" customHeight="1">
      <c r="A371" s="221"/>
      <c r="B371" s="223"/>
      <c r="C371" s="343"/>
      <c r="D371" s="213"/>
      <c r="E371" s="214"/>
      <c r="F371" s="215"/>
    </row>
    <row r="372" spans="1:6" ht="21.75" customHeight="1">
      <c r="A372" s="221"/>
      <c r="B372" s="223"/>
      <c r="C372" s="343"/>
      <c r="D372" s="213"/>
      <c r="E372" s="214"/>
      <c r="F372" s="215"/>
    </row>
    <row r="373" spans="1:6" ht="21.75" customHeight="1">
      <c r="A373" s="221"/>
      <c r="B373" s="223"/>
      <c r="C373" s="343"/>
      <c r="D373" s="213"/>
      <c r="E373" s="214"/>
      <c r="F373" s="215"/>
    </row>
    <row r="374" spans="1:6" ht="21.75" customHeight="1">
      <c r="A374" s="221"/>
      <c r="B374" s="223"/>
      <c r="C374" s="343"/>
      <c r="D374" s="213"/>
      <c r="E374" s="214"/>
      <c r="F374" s="215"/>
    </row>
    <row r="375" spans="1:6" ht="21.75" customHeight="1">
      <c r="A375" s="221"/>
      <c r="B375" s="223"/>
      <c r="C375" s="343"/>
      <c r="D375" s="213"/>
      <c r="E375" s="214"/>
      <c r="F375" s="215"/>
    </row>
    <row r="376" spans="1:6" ht="21.75" customHeight="1">
      <c r="A376" s="221"/>
      <c r="B376" s="223"/>
      <c r="C376" s="343"/>
      <c r="D376" s="213"/>
      <c r="E376" s="214"/>
      <c r="F376" s="215"/>
    </row>
    <row r="377" spans="1:6" ht="21.75" customHeight="1">
      <c r="A377" s="221"/>
      <c r="B377" s="223"/>
      <c r="C377" s="343"/>
      <c r="D377" s="213"/>
      <c r="E377" s="214"/>
      <c r="F377" s="215"/>
    </row>
    <row r="378" spans="1:6" ht="21.75" customHeight="1">
      <c r="A378" s="221"/>
      <c r="B378" s="223"/>
      <c r="C378" s="343"/>
      <c r="D378" s="213"/>
      <c r="E378" s="214"/>
      <c r="F378" s="215"/>
    </row>
    <row r="379" spans="1:6" ht="21.75" customHeight="1">
      <c r="A379" s="221"/>
      <c r="B379" s="223"/>
      <c r="C379" s="343"/>
      <c r="D379" s="213"/>
      <c r="E379" s="214"/>
      <c r="F379" s="215"/>
    </row>
    <row r="380" spans="1:6" ht="21.75" customHeight="1">
      <c r="A380" s="221"/>
      <c r="B380" s="223"/>
      <c r="C380" s="343"/>
      <c r="D380" s="213"/>
      <c r="E380" s="214"/>
      <c r="F380" s="215"/>
    </row>
    <row r="381" spans="1:6" ht="21.75" customHeight="1">
      <c r="A381" s="221"/>
      <c r="B381" s="223"/>
      <c r="C381" s="343"/>
      <c r="D381" s="213"/>
      <c r="E381" s="214"/>
      <c r="F381" s="215"/>
    </row>
    <row r="382" spans="1:6" ht="21.75" customHeight="1">
      <c r="A382" s="221"/>
      <c r="B382" s="223"/>
      <c r="C382" s="343"/>
      <c r="D382" s="213"/>
      <c r="E382" s="214"/>
      <c r="F382" s="215"/>
    </row>
    <row r="383" spans="1:6" ht="21.75" customHeight="1">
      <c r="A383" s="221"/>
      <c r="B383" s="223"/>
      <c r="C383" s="343"/>
      <c r="D383" s="213"/>
      <c r="E383" s="214"/>
      <c r="F383" s="215"/>
    </row>
    <row r="384" spans="1:6" ht="21.75" customHeight="1">
      <c r="A384" s="221"/>
      <c r="B384" s="223"/>
      <c r="C384" s="343"/>
      <c r="D384" s="213"/>
      <c r="E384" s="214"/>
      <c r="F384" s="215"/>
    </row>
    <row r="385" spans="1:6" ht="21.75" customHeight="1">
      <c r="A385" s="221"/>
      <c r="B385" s="223"/>
      <c r="C385" s="343"/>
      <c r="D385" s="213"/>
      <c r="E385" s="214"/>
      <c r="F385" s="215"/>
    </row>
    <row r="386" spans="1:6" ht="21.75" customHeight="1">
      <c r="A386" s="221"/>
      <c r="B386" s="223"/>
      <c r="C386" s="343"/>
      <c r="D386" s="213"/>
      <c r="E386" s="214"/>
      <c r="F386" s="215"/>
    </row>
    <row r="387" spans="1:6" ht="21.75" customHeight="1">
      <c r="A387" s="221"/>
      <c r="B387" s="223"/>
      <c r="C387" s="343"/>
      <c r="D387" s="213"/>
      <c r="E387" s="214"/>
      <c r="F387" s="215"/>
    </row>
    <row r="388" spans="1:6" ht="21.75" customHeight="1">
      <c r="A388" s="221"/>
      <c r="B388" s="223"/>
      <c r="C388" s="343"/>
      <c r="D388" s="213"/>
      <c r="E388" s="214"/>
      <c r="F388" s="215"/>
    </row>
    <row r="389" spans="1:6" ht="21.75" customHeight="1">
      <c r="A389" s="221"/>
      <c r="B389" s="223"/>
      <c r="C389" s="343"/>
      <c r="D389" s="213"/>
      <c r="E389" s="214"/>
      <c r="F389" s="215"/>
    </row>
    <row r="390" spans="1:6" ht="21.75" customHeight="1">
      <c r="A390" s="221"/>
      <c r="B390" s="223"/>
      <c r="C390" s="343"/>
      <c r="D390" s="213"/>
      <c r="E390" s="214"/>
      <c r="F390" s="215"/>
    </row>
    <row r="391" spans="1:6" ht="21.75" customHeight="1">
      <c r="A391" s="221"/>
      <c r="B391" s="223"/>
      <c r="C391" s="343"/>
      <c r="D391" s="213"/>
      <c r="E391" s="214"/>
      <c r="F391" s="215"/>
    </row>
    <row r="392" spans="1:6" ht="21.75" customHeight="1">
      <c r="A392" s="221"/>
      <c r="B392" s="223"/>
      <c r="C392" s="343"/>
      <c r="D392" s="213"/>
      <c r="E392" s="214"/>
      <c r="F392" s="215"/>
    </row>
    <row r="393" spans="1:6" ht="21.75" customHeight="1">
      <c r="A393" s="221"/>
      <c r="B393" s="223"/>
      <c r="C393" s="343"/>
      <c r="D393" s="213"/>
      <c r="E393" s="214"/>
      <c r="F393" s="215"/>
    </row>
    <row r="394" spans="1:6" ht="21.75" customHeight="1">
      <c r="A394" s="221"/>
      <c r="B394" s="223"/>
      <c r="C394" s="343"/>
      <c r="D394" s="213"/>
      <c r="E394" s="214"/>
      <c r="F394" s="215"/>
    </row>
    <row r="395" spans="1:6" ht="21.75" customHeight="1">
      <c r="A395" s="221"/>
      <c r="B395" s="223"/>
      <c r="C395" s="343"/>
      <c r="D395" s="213"/>
      <c r="E395" s="214"/>
      <c r="F395" s="215"/>
    </row>
    <row r="396" spans="1:6" ht="21.75" customHeight="1">
      <c r="A396" s="221"/>
      <c r="B396" s="223"/>
      <c r="C396" s="343"/>
      <c r="D396" s="213"/>
      <c r="E396" s="214"/>
      <c r="F396" s="215"/>
    </row>
    <row r="397" spans="1:6" ht="21.75" customHeight="1">
      <c r="A397" s="221"/>
      <c r="B397" s="223"/>
      <c r="C397" s="343"/>
      <c r="D397" s="213"/>
      <c r="E397" s="214"/>
      <c r="F397" s="215"/>
    </row>
    <row r="398" spans="1:6" ht="21.75" customHeight="1">
      <c r="A398" s="221"/>
      <c r="B398" s="223"/>
      <c r="C398" s="343"/>
      <c r="D398" s="213"/>
      <c r="E398" s="214"/>
      <c r="F398" s="215"/>
    </row>
    <row r="399" spans="1:6" ht="21.75" customHeight="1">
      <c r="A399" s="221"/>
      <c r="B399" s="223"/>
      <c r="C399" s="343"/>
      <c r="D399" s="213"/>
      <c r="E399" s="214"/>
      <c r="F399" s="215"/>
    </row>
    <row r="400" spans="1:6" ht="21.75" customHeight="1">
      <c r="A400" s="221"/>
      <c r="B400" s="223"/>
      <c r="C400" s="343"/>
      <c r="D400" s="213"/>
      <c r="E400" s="214"/>
      <c r="F400" s="215"/>
    </row>
    <row r="401" spans="1:6" ht="21.75" customHeight="1">
      <c r="A401" s="221"/>
      <c r="B401" s="223"/>
      <c r="C401" s="343"/>
      <c r="D401" s="213"/>
      <c r="E401" s="214"/>
      <c r="F401" s="215"/>
    </row>
    <row r="402" spans="1:6" ht="21.75" customHeight="1">
      <c r="A402" s="221"/>
      <c r="B402" s="223"/>
      <c r="C402" s="343"/>
      <c r="D402" s="213"/>
      <c r="E402" s="214"/>
      <c r="F402" s="215"/>
    </row>
    <row r="403" spans="1:6" ht="21.75" customHeight="1">
      <c r="A403" s="221"/>
      <c r="B403" s="223"/>
      <c r="C403" s="343"/>
      <c r="D403" s="213"/>
      <c r="E403" s="214"/>
      <c r="F403" s="215"/>
    </row>
    <row r="404" spans="1:6" ht="21.75" customHeight="1">
      <c r="A404" s="221"/>
      <c r="B404" s="223"/>
      <c r="C404" s="343"/>
      <c r="D404" s="213"/>
      <c r="E404" s="214"/>
      <c r="F404" s="215"/>
    </row>
    <row r="405" spans="1:6" ht="21.75" customHeight="1">
      <c r="A405" s="221"/>
      <c r="B405" s="223"/>
      <c r="C405" s="343"/>
      <c r="D405" s="213"/>
      <c r="E405" s="214"/>
      <c r="F405" s="215"/>
    </row>
    <row r="406" spans="1:6" ht="21.75" customHeight="1">
      <c r="A406" s="221"/>
      <c r="B406" s="223"/>
      <c r="C406" s="343"/>
      <c r="D406" s="213"/>
      <c r="E406" s="214"/>
      <c r="F406" s="215"/>
    </row>
    <row r="407" spans="1:6" ht="21.75" customHeight="1">
      <c r="A407" s="221"/>
      <c r="B407" s="223"/>
      <c r="C407" s="343"/>
      <c r="D407" s="213"/>
      <c r="E407" s="214"/>
      <c r="F407" s="215"/>
    </row>
    <row r="408" spans="1:6" ht="21.75" customHeight="1">
      <c r="A408" s="221"/>
      <c r="B408" s="223"/>
      <c r="C408" s="343"/>
      <c r="D408" s="213"/>
      <c r="E408" s="214"/>
      <c r="F408" s="215"/>
    </row>
    <row r="409" spans="1:6" ht="21.75" customHeight="1">
      <c r="A409" s="221"/>
      <c r="B409" s="223"/>
      <c r="C409" s="343"/>
      <c r="D409" s="213"/>
      <c r="E409" s="214"/>
      <c r="F409" s="215"/>
    </row>
    <row r="410" spans="1:6" ht="21.75" customHeight="1">
      <c r="A410" s="221"/>
      <c r="B410" s="223"/>
      <c r="C410" s="343"/>
      <c r="D410" s="213"/>
      <c r="E410" s="214"/>
      <c r="F410" s="215"/>
    </row>
    <row r="411" spans="1:6" ht="21.75" customHeight="1">
      <c r="A411" s="221"/>
      <c r="B411" s="223"/>
      <c r="C411" s="343"/>
      <c r="D411" s="213"/>
      <c r="E411" s="214"/>
      <c r="F411" s="215"/>
    </row>
    <row r="412" spans="1:6" ht="21.75" customHeight="1">
      <c r="A412" s="221"/>
      <c r="B412" s="223"/>
      <c r="C412" s="343"/>
      <c r="D412" s="213"/>
      <c r="E412" s="214"/>
      <c r="F412" s="215"/>
    </row>
    <row r="413" spans="1:6" ht="21.75" customHeight="1">
      <c r="A413" s="221"/>
      <c r="B413" s="223"/>
      <c r="C413" s="343"/>
      <c r="D413" s="213"/>
      <c r="E413" s="214"/>
      <c r="F413" s="215"/>
    </row>
    <row r="414" spans="1:6" ht="21.75" customHeight="1">
      <c r="A414" s="221"/>
      <c r="B414" s="223"/>
      <c r="C414" s="343"/>
      <c r="D414" s="213"/>
      <c r="E414" s="214"/>
      <c r="F414" s="215"/>
    </row>
    <row r="415" spans="1:6" ht="21.75" customHeight="1">
      <c r="A415" s="221"/>
      <c r="B415" s="223"/>
      <c r="C415" s="343"/>
      <c r="D415" s="213"/>
      <c r="E415" s="214"/>
      <c r="F415" s="215"/>
    </row>
    <row r="416" spans="1:6" ht="21.75" customHeight="1">
      <c r="A416" s="221"/>
      <c r="B416" s="223"/>
      <c r="C416" s="343"/>
      <c r="D416" s="213"/>
      <c r="E416" s="214"/>
      <c r="F416" s="215"/>
    </row>
    <row r="417" spans="1:6" ht="21.75" customHeight="1">
      <c r="A417" s="221"/>
      <c r="B417" s="223"/>
      <c r="C417" s="343"/>
      <c r="D417" s="213"/>
      <c r="E417" s="214"/>
      <c r="F417" s="215"/>
    </row>
    <row r="418" spans="1:6" ht="21.75" customHeight="1">
      <c r="A418" s="221"/>
      <c r="B418" s="223"/>
      <c r="C418" s="343"/>
      <c r="D418" s="213"/>
      <c r="E418" s="214"/>
      <c r="F418" s="215"/>
    </row>
    <row r="419" spans="1:6" ht="21.75" customHeight="1">
      <c r="A419" s="221"/>
      <c r="B419" s="223"/>
      <c r="C419" s="343"/>
      <c r="D419" s="213"/>
      <c r="E419" s="214"/>
      <c r="F419" s="215"/>
    </row>
    <row r="420" spans="1:6" ht="21.75" customHeight="1">
      <c r="A420" s="221"/>
      <c r="B420" s="223"/>
      <c r="C420" s="343"/>
      <c r="D420" s="213"/>
      <c r="E420" s="214"/>
      <c r="F420" s="215"/>
    </row>
    <row r="421" spans="1:6" ht="21.75" customHeight="1">
      <c r="A421" s="221"/>
      <c r="B421" s="223"/>
      <c r="C421" s="343"/>
      <c r="D421" s="213"/>
      <c r="E421" s="214"/>
      <c r="F421" s="215"/>
    </row>
    <row r="422" spans="1:6" ht="21.75" customHeight="1">
      <c r="A422" s="221"/>
      <c r="B422" s="223"/>
      <c r="C422" s="343"/>
      <c r="D422" s="213"/>
      <c r="E422" s="214"/>
      <c r="F422" s="215"/>
    </row>
    <row r="423" spans="1:6" ht="21.75" customHeight="1">
      <c r="A423" s="221"/>
      <c r="B423" s="223"/>
      <c r="C423" s="343"/>
      <c r="D423" s="213"/>
      <c r="E423" s="214"/>
      <c r="F423" s="215"/>
    </row>
    <row r="424" spans="1:6" ht="21.75" customHeight="1">
      <c r="A424" s="221"/>
      <c r="B424" s="223"/>
      <c r="C424" s="343"/>
      <c r="D424" s="213"/>
      <c r="E424" s="214"/>
      <c r="F424" s="215"/>
    </row>
    <row r="425" spans="1:6" ht="21.75" customHeight="1">
      <c r="A425" s="221"/>
      <c r="B425" s="223"/>
      <c r="C425" s="343"/>
      <c r="D425" s="213"/>
      <c r="E425" s="214"/>
      <c r="F425" s="215"/>
    </row>
    <row r="426" spans="1:6" ht="21.75" customHeight="1">
      <c r="A426" s="221"/>
      <c r="B426" s="223"/>
      <c r="C426" s="343"/>
      <c r="D426" s="213"/>
      <c r="E426" s="214"/>
      <c r="F426" s="215"/>
    </row>
    <row r="427" spans="1:6" ht="21.75" customHeight="1">
      <c r="A427" s="221"/>
      <c r="B427" s="223"/>
      <c r="C427" s="343"/>
      <c r="D427" s="213"/>
      <c r="E427" s="214"/>
      <c r="F427" s="215"/>
    </row>
    <row r="428" spans="1:6" ht="21.75" customHeight="1">
      <c r="A428" s="221"/>
      <c r="B428" s="223"/>
      <c r="C428" s="343"/>
      <c r="D428" s="213"/>
      <c r="E428" s="214"/>
      <c r="F428" s="215"/>
    </row>
    <row r="429" spans="1:6" ht="21.75" customHeight="1">
      <c r="A429" s="221"/>
      <c r="B429" s="223"/>
      <c r="C429" s="343"/>
      <c r="E429" s="214"/>
      <c r="F429" s="215"/>
    </row>
    <row r="430" spans="1:6" ht="21.75" customHeight="1">
      <c r="A430" s="221"/>
      <c r="B430" s="223"/>
      <c r="C430" s="343"/>
      <c r="D430" s="213"/>
      <c r="E430" s="214"/>
      <c r="F430" s="215"/>
    </row>
    <row r="431" spans="1:6" ht="21.75" customHeight="1">
      <c r="A431" s="221"/>
      <c r="B431" s="223"/>
      <c r="C431" s="343"/>
      <c r="D431" s="213"/>
      <c r="E431" s="214"/>
      <c r="F431" s="215"/>
    </row>
    <row r="432" spans="1:6" ht="21.75" customHeight="1">
      <c r="A432" s="221"/>
      <c r="B432" s="223"/>
      <c r="C432" s="343"/>
      <c r="D432" s="213"/>
      <c r="E432" s="214"/>
      <c r="F432" s="215"/>
    </row>
    <row r="433" spans="1:6" ht="21.75" customHeight="1">
      <c r="A433" s="221"/>
      <c r="B433" s="223"/>
      <c r="C433" s="343"/>
      <c r="D433" s="213"/>
      <c r="E433" s="214"/>
      <c r="F433" s="215"/>
    </row>
    <row r="434" spans="1:6" ht="21.75" customHeight="1">
      <c r="A434" s="221"/>
      <c r="B434" s="223"/>
      <c r="C434" s="343"/>
      <c r="D434" s="213"/>
      <c r="E434" s="214"/>
      <c r="F434" s="215"/>
    </row>
    <row r="435" spans="1:6" ht="21.75" customHeight="1">
      <c r="A435" s="221"/>
      <c r="B435" s="223"/>
      <c r="C435" s="343"/>
      <c r="D435" s="213"/>
      <c r="E435" s="214"/>
      <c r="F435" s="215"/>
    </row>
    <row r="436" spans="1:6" ht="21.75" customHeight="1">
      <c r="A436" s="221"/>
      <c r="B436" s="223"/>
      <c r="C436" s="343"/>
      <c r="D436" s="213"/>
      <c r="E436" s="214"/>
      <c r="F436" s="215"/>
    </row>
    <row r="437" spans="1:6" ht="21.75" customHeight="1">
      <c r="A437" s="221"/>
      <c r="B437" s="223"/>
      <c r="C437" s="343"/>
      <c r="D437" s="213"/>
      <c r="E437" s="214"/>
      <c r="F437" s="215"/>
    </row>
    <row r="438" spans="1:6" ht="21.75" customHeight="1">
      <c r="A438" s="221"/>
      <c r="B438" s="223"/>
      <c r="C438" s="343"/>
      <c r="D438" s="213"/>
      <c r="E438" s="214"/>
      <c r="F438" s="215"/>
    </row>
    <row r="439" spans="1:6" ht="21.75" customHeight="1">
      <c r="A439" s="221"/>
      <c r="B439" s="223"/>
      <c r="C439" s="343"/>
      <c r="D439" s="213"/>
      <c r="E439" s="214"/>
      <c r="F439" s="215"/>
    </row>
    <row r="440" spans="1:6" ht="21.75" customHeight="1">
      <c r="A440" s="221"/>
      <c r="B440" s="223"/>
      <c r="C440" s="343"/>
      <c r="D440" s="213"/>
      <c r="E440" s="214"/>
      <c r="F440" s="215"/>
    </row>
    <row r="441" spans="1:6" ht="21.75" customHeight="1">
      <c r="A441" s="221"/>
      <c r="B441" s="223"/>
      <c r="C441" s="343"/>
      <c r="D441" s="213"/>
      <c r="E441" s="214"/>
      <c r="F441" s="215"/>
    </row>
    <row r="442" spans="1:6" ht="21.75" customHeight="1">
      <c r="A442" s="221"/>
      <c r="B442" s="223"/>
      <c r="C442" s="343"/>
      <c r="D442" s="213"/>
      <c r="E442" s="214"/>
      <c r="F442" s="215"/>
    </row>
    <row r="443" spans="1:6" ht="21.75" customHeight="1">
      <c r="A443" s="221"/>
      <c r="B443" s="223"/>
      <c r="C443" s="343"/>
      <c r="D443" s="213"/>
      <c r="E443" s="214"/>
      <c r="F443" s="215"/>
    </row>
    <row r="444" spans="1:6" ht="21.75" customHeight="1">
      <c r="A444" s="221"/>
      <c r="B444" s="223"/>
      <c r="C444" s="343"/>
      <c r="D444" s="213"/>
      <c r="E444" s="214"/>
      <c r="F444" s="215"/>
    </row>
    <row r="445" spans="1:6" ht="21.75" customHeight="1">
      <c r="A445" s="221"/>
      <c r="B445" s="223"/>
      <c r="C445" s="343"/>
      <c r="D445" s="213"/>
      <c r="E445" s="214"/>
      <c r="F445" s="215"/>
    </row>
    <row r="446" spans="1:6" ht="21.75" customHeight="1">
      <c r="A446" s="221"/>
      <c r="B446" s="223"/>
      <c r="C446" s="343"/>
      <c r="D446" s="213"/>
      <c r="E446" s="214"/>
      <c r="F446" s="215"/>
    </row>
    <row r="447" spans="1:6" ht="21.75" customHeight="1">
      <c r="A447" s="221"/>
      <c r="B447" s="223"/>
      <c r="C447" s="343"/>
      <c r="D447" s="213"/>
      <c r="E447" s="214"/>
      <c r="F447" s="215"/>
    </row>
    <row r="448" spans="1:6" ht="21.75" customHeight="1">
      <c r="A448" s="221"/>
      <c r="B448" s="223"/>
      <c r="C448" s="343"/>
      <c r="D448" s="213"/>
      <c r="E448" s="214"/>
      <c r="F448" s="215"/>
    </row>
    <row r="449" spans="1:6" ht="21.75" customHeight="1">
      <c r="A449" s="221"/>
      <c r="B449" s="223"/>
      <c r="C449" s="343"/>
      <c r="D449" s="213"/>
      <c r="E449" s="214"/>
      <c r="F449" s="215"/>
    </row>
    <row r="450" spans="1:6" ht="21.75" customHeight="1">
      <c r="A450" s="221"/>
      <c r="B450" s="223"/>
      <c r="C450" s="343"/>
      <c r="D450" s="213"/>
      <c r="E450" s="214"/>
      <c r="F450" s="215"/>
    </row>
    <row r="451" spans="1:6" ht="21.75" customHeight="1">
      <c r="A451" s="221"/>
      <c r="B451" s="223"/>
      <c r="C451" s="343"/>
      <c r="D451" s="213"/>
      <c r="E451" s="214"/>
      <c r="F451" s="215"/>
    </row>
    <row r="452" spans="1:6" ht="21.75" customHeight="1">
      <c r="A452" s="221"/>
      <c r="B452" s="223"/>
      <c r="C452" s="343"/>
      <c r="D452" s="213"/>
      <c r="E452" s="214"/>
      <c r="F452" s="215"/>
    </row>
    <row r="453" spans="1:6" ht="21.75" customHeight="1">
      <c r="A453" s="221"/>
      <c r="B453" s="223"/>
      <c r="C453" s="343"/>
      <c r="D453" s="213"/>
      <c r="E453" s="214"/>
      <c r="F453" s="215"/>
    </row>
    <row r="454" spans="1:6" ht="21.75" customHeight="1">
      <c r="A454" s="221"/>
      <c r="B454" s="223"/>
      <c r="C454" s="343"/>
      <c r="D454" s="213"/>
      <c r="E454" s="214"/>
      <c r="F454" s="215"/>
    </row>
    <row r="455" spans="1:6" ht="21.75" customHeight="1">
      <c r="A455" s="221"/>
      <c r="B455" s="223"/>
      <c r="C455" s="343"/>
      <c r="D455" s="213"/>
      <c r="E455" s="214"/>
      <c r="F455" s="215"/>
    </row>
    <row r="456" spans="1:6" ht="21.75" customHeight="1">
      <c r="A456" s="221"/>
      <c r="B456" s="223"/>
      <c r="C456" s="343"/>
      <c r="D456" s="213"/>
      <c r="E456" s="214"/>
      <c r="F456" s="215"/>
    </row>
    <row r="457" spans="1:6" ht="21.75" customHeight="1">
      <c r="A457" s="221"/>
      <c r="B457" s="223"/>
      <c r="C457" s="343"/>
      <c r="D457" s="213"/>
      <c r="E457" s="214"/>
      <c r="F457" s="215"/>
    </row>
    <row r="458" spans="1:6" ht="21.75" customHeight="1">
      <c r="A458" s="221"/>
      <c r="B458" s="223"/>
      <c r="C458" s="343"/>
      <c r="D458" s="213"/>
      <c r="E458" s="214"/>
      <c r="F458" s="215"/>
    </row>
    <row r="459" spans="1:6" ht="21.75" customHeight="1">
      <c r="A459" s="221"/>
      <c r="B459" s="223"/>
      <c r="C459" s="343"/>
      <c r="D459" s="213"/>
      <c r="E459" s="214"/>
      <c r="F459" s="215"/>
    </row>
    <row r="460" spans="1:6" ht="21.75" customHeight="1">
      <c r="A460" s="221"/>
      <c r="B460" s="223"/>
      <c r="C460" s="343"/>
      <c r="D460" s="213"/>
      <c r="E460" s="214"/>
      <c r="F460" s="215"/>
    </row>
    <row r="461" spans="1:6" ht="21.75" customHeight="1">
      <c r="A461" s="221"/>
      <c r="B461" s="223"/>
      <c r="C461" s="343"/>
      <c r="D461" s="213"/>
      <c r="E461" s="214"/>
      <c r="F461" s="215"/>
    </row>
    <row r="462" spans="1:6" ht="21.75" customHeight="1">
      <c r="A462" s="221"/>
      <c r="B462" s="223"/>
      <c r="C462" s="343"/>
      <c r="D462" s="213"/>
      <c r="E462" s="214"/>
      <c r="F462" s="215"/>
    </row>
    <row r="463" spans="1:6" ht="21.75" customHeight="1">
      <c r="A463" s="221"/>
      <c r="B463" s="223"/>
      <c r="C463" s="343"/>
      <c r="D463" s="213"/>
      <c r="E463" s="214"/>
      <c r="F463" s="215"/>
    </row>
    <row r="464" spans="1:6" ht="21.75" customHeight="1">
      <c r="A464" s="221"/>
      <c r="B464" s="223"/>
      <c r="C464" s="343"/>
      <c r="D464" s="213"/>
      <c r="E464" s="214"/>
      <c r="F464" s="215"/>
    </row>
    <row r="465" spans="1:6" ht="21.75" customHeight="1">
      <c r="A465" s="221"/>
      <c r="B465" s="223"/>
      <c r="C465" s="343"/>
      <c r="D465" s="213"/>
      <c r="E465" s="214"/>
      <c r="F465" s="215"/>
    </row>
    <row r="466" spans="1:6" ht="21.75" customHeight="1">
      <c r="A466" s="221"/>
      <c r="B466" s="223"/>
      <c r="C466" s="343"/>
      <c r="D466" s="213"/>
      <c r="E466" s="214"/>
      <c r="F466" s="215"/>
    </row>
    <row r="467" spans="1:6" ht="21.75" customHeight="1">
      <c r="A467" s="221"/>
      <c r="B467" s="223"/>
      <c r="C467" s="343"/>
      <c r="D467" s="213"/>
      <c r="E467" s="214"/>
      <c r="F467" s="215"/>
    </row>
    <row r="468" spans="1:6" ht="21.75" customHeight="1">
      <c r="A468" s="221"/>
      <c r="B468" s="223"/>
      <c r="C468" s="343"/>
      <c r="D468" s="213"/>
      <c r="E468" s="214"/>
      <c r="F468" s="215"/>
    </row>
    <row r="469" spans="1:6" ht="21.75" customHeight="1">
      <c r="A469" s="221"/>
      <c r="B469" s="223"/>
      <c r="C469" s="343"/>
      <c r="D469" s="213"/>
      <c r="E469" s="214"/>
      <c r="F469" s="215"/>
    </row>
    <row r="470" spans="1:6" ht="21.75" customHeight="1">
      <c r="A470" s="221"/>
      <c r="B470" s="223"/>
      <c r="C470" s="343"/>
      <c r="D470" s="213"/>
      <c r="E470" s="214"/>
      <c r="F470" s="215"/>
    </row>
    <row r="471" spans="1:6" ht="21.75" customHeight="1">
      <c r="A471" s="221"/>
      <c r="B471" s="223"/>
      <c r="C471" s="343"/>
      <c r="D471" s="213"/>
      <c r="E471" s="214"/>
      <c r="F471" s="215"/>
    </row>
    <row r="472" spans="1:6" ht="21.75" customHeight="1">
      <c r="A472" s="221"/>
      <c r="B472" s="223"/>
      <c r="C472" s="343"/>
      <c r="D472" s="213"/>
      <c r="E472" s="214"/>
      <c r="F472" s="215"/>
    </row>
    <row r="473" spans="1:6" ht="21.75" customHeight="1">
      <c r="A473" s="221"/>
      <c r="B473" s="223"/>
      <c r="C473" s="343"/>
      <c r="D473" s="213"/>
      <c r="E473" s="214"/>
      <c r="F473" s="215"/>
    </row>
    <row r="474" spans="1:6" ht="21.75" customHeight="1">
      <c r="A474" s="221"/>
      <c r="B474" s="223"/>
      <c r="C474" s="343"/>
      <c r="D474" s="213"/>
      <c r="E474" s="214"/>
      <c r="F474" s="215"/>
    </row>
    <row r="475" spans="1:6" ht="21.75" customHeight="1">
      <c r="A475" s="221"/>
      <c r="B475" s="223"/>
      <c r="C475" s="343"/>
      <c r="D475" s="213"/>
      <c r="E475" s="214"/>
      <c r="F475" s="215"/>
    </row>
    <row r="476" spans="1:6" ht="21.75" customHeight="1">
      <c r="A476" s="221"/>
      <c r="B476" s="223"/>
      <c r="C476" s="343"/>
      <c r="D476" s="213"/>
      <c r="E476" s="214"/>
      <c r="F476" s="215"/>
    </row>
    <row r="477" spans="1:6" ht="21.75" customHeight="1">
      <c r="A477" s="221"/>
      <c r="B477" s="223"/>
      <c r="C477" s="343"/>
      <c r="D477" s="213"/>
      <c r="E477" s="214"/>
      <c r="F477" s="215"/>
    </row>
    <row r="478" spans="1:6" ht="21.75" customHeight="1">
      <c r="A478" s="221"/>
      <c r="B478" s="223"/>
      <c r="C478" s="343"/>
      <c r="D478" s="213"/>
      <c r="E478" s="214"/>
      <c r="F478" s="215"/>
    </row>
    <row r="479" spans="1:6" ht="21.75" customHeight="1">
      <c r="A479" s="221"/>
      <c r="B479" s="223"/>
      <c r="C479" s="343"/>
      <c r="D479" s="213"/>
      <c r="E479" s="214"/>
      <c r="F479" s="215"/>
    </row>
    <row r="480" spans="1:6" ht="21.75" customHeight="1">
      <c r="A480" s="221"/>
      <c r="B480" s="223"/>
      <c r="C480" s="343"/>
      <c r="D480" s="213"/>
      <c r="E480" s="214"/>
      <c r="F480" s="215"/>
    </row>
    <row r="481" spans="1:6" ht="21.75" customHeight="1">
      <c r="A481" s="221"/>
      <c r="B481" s="223"/>
      <c r="C481" s="343"/>
      <c r="D481" s="213"/>
      <c r="E481" s="214"/>
      <c r="F481" s="215"/>
    </row>
    <row r="482" spans="1:6" ht="21.75" customHeight="1">
      <c r="A482" s="221"/>
      <c r="B482" s="223"/>
      <c r="C482" s="343"/>
      <c r="D482" s="213"/>
      <c r="E482" s="214"/>
      <c r="F482" s="215"/>
    </row>
    <row r="483" spans="1:6" ht="21.75" customHeight="1">
      <c r="A483" s="221"/>
      <c r="B483" s="223"/>
      <c r="C483" s="343"/>
      <c r="D483" s="213"/>
      <c r="E483" s="214"/>
      <c r="F483" s="215"/>
    </row>
    <row r="484" spans="1:6" ht="21.75" customHeight="1">
      <c r="A484" s="221"/>
      <c r="B484" s="223"/>
      <c r="C484" s="343"/>
      <c r="D484" s="213"/>
      <c r="E484" s="214"/>
      <c r="F484" s="215"/>
    </row>
    <row r="485" spans="1:6" ht="21.75" customHeight="1">
      <c r="A485" s="221"/>
      <c r="B485" s="223"/>
      <c r="C485" s="343"/>
      <c r="D485" s="213"/>
      <c r="E485" s="214"/>
      <c r="F485" s="215"/>
    </row>
    <row r="486" spans="1:6" ht="21.75" customHeight="1">
      <c r="A486" s="221"/>
      <c r="B486" s="223"/>
      <c r="C486" s="343"/>
      <c r="D486" s="213"/>
      <c r="E486" s="214"/>
      <c r="F486" s="215"/>
    </row>
    <row r="487" spans="1:6" ht="21.75" customHeight="1">
      <c r="A487" s="221"/>
      <c r="B487" s="223"/>
      <c r="C487" s="343"/>
      <c r="D487" s="213"/>
      <c r="E487" s="214"/>
      <c r="F487" s="215"/>
    </row>
    <row r="488" spans="1:6" ht="21.75" customHeight="1">
      <c r="A488" s="221"/>
      <c r="B488" s="223"/>
      <c r="C488" s="343"/>
      <c r="D488" s="213"/>
      <c r="E488" s="214"/>
      <c r="F488" s="215"/>
    </row>
    <row r="489" spans="1:6" ht="21.75" customHeight="1">
      <c r="A489" s="221"/>
      <c r="B489" s="223"/>
      <c r="C489" s="343"/>
      <c r="D489" s="213"/>
      <c r="E489" s="214"/>
      <c r="F489" s="215"/>
    </row>
    <row r="490" spans="1:6" ht="21.75" customHeight="1">
      <c r="A490" s="221"/>
      <c r="B490" s="223"/>
      <c r="C490" s="343"/>
      <c r="D490" s="213"/>
      <c r="E490" s="214"/>
      <c r="F490" s="215"/>
    </row>
    <row r="491" spans="1:6" ht="21.75" customHeight="1">
      <c r="A491" s="221"/>
      <c r="B491" s="223"/>
      <c r="C491" s="343"/>
      <c r="D491" s="213"/>
      <c r="E491" s="214"/>
      <c r="F491" s="215"/>
    </row>
    <row r="492" spans="1:6" ht="21.75" customHeight="1">
      <c r="A492" s="221"/>
      <c r="B492" s="223"/>
      <c r="C492" s="343"/>
      <c r="D492" s="213"/>
      <c r="E492" s="214"/>
      <c r="F492" s="215"/>
    </row>
    <row r="493" spans="1:6" ht="21.75" customHeight="1">
      <c r="A493" s="221"/>
      <c r="B493" s="223"/>
      <c r="C493" s="343"/>
      <c r="D493" s="213"/>
      <c r="E493" s="214"/>
      <c r="F493" s="215"/>
    </row>
    <row r="494" spans="1:6" ht="21.75" customHeight="1">
      <c r="A494" s="221"/>
      <c r="B494" s="223"/>
      <c r="C494" s="343"/>
      <c r="D494" s="213"/>
      <c r="E494" s="214"/>
      <c r="F494" s="215"/>
    </row>
    <row r="495" spans="1:6" ht="21.75" customHeight="1">
      <c r="A495" s="221"/>
      <c r="B495" s="223"/>
      <c r="C495" s="343"/>
      <c r="D495" s="213"/>
      <c r="E495" s="214"/>
      <c r="F495" s="215"/>
    </row>
    <row r="496" spans="1:6" ht="21.75" customHeight="1">
      <c r="A496" s="221"/>
      <c r="B496" s="223"/>
      <c r="C496" s="343"/>
      <c r="D496" s="213"/>
      <c r="E496" s="214"/>
      <c r="F496" s="215"/>
    </row>
    <row r="497" spans="1:6" ht="21.75" customHeight="1">
      <c r="A497" s="221"/>
      <c r="B497" s="223"/>
      <c r="C497" s="343"/>
      <c r="D497" s="213"/>
      <c r="E497" s="214"/>
      <c r="F497" s="215"/>
    </row>
    <row r="498" spans="1:6" ht="21.75" customHeight="1">
      <c r="A498" s="221"/>
      <c r="B498" s="223"/>
      <c r="C498" s="343"/>
      <c r="D498" s="213"/>
      <c r="E498" s="214"/>
      <c r="F498" s="215"/>
    </row>
    <row r="499" spans="1:6" ht="21.75" customHeight="1">
      <c r="A499" s="221"/>
      <c r="B499" s="223"/>
      <c r="C499" s="343"/>
      <c r="D499" s="213"/>
      <c r="E499" s="214"/>
      <c r="F499" s="215"/>
    </row>
    <row r="500" spans="1:6" ht="21.75" customHeight="1">
      <c r="A500" s="221"/>
      <c r="B500" s="223"/>
      <c r="C500" s="343"/>
      <c r="D500" s="213"/>
      <c r="E500" s="214"/>
      <c r="F500" s="215"/>
    </row>
    <row r="501" spans="1:6" ht="21.75" customHeight="1">
      <c r="A501" s="221"/>
      <c r="B501" s="223"/>
      <c r="C501" s="343"/>
      <c r="D501" s="213"/>
      <c r="E501" s="214"/>
      <c r="F501" s="215"/>
    </row>
    <row r="502" spans="1:6" ht="21.75" customHeight="1">
      <c r="A502" s="221"/>
      <c r="B502" s="223"/>
      <c r="C502" s="343"/>
      <c r="D502" s="213"/>
      <c r="E502" s="214"/>
      <c r="F502" s="215"/>
    </row>
    <row r="503" spans="1:6" ht="21.75" customHeight="1">
      <c r="A503" s="221"/>
      <c r="B503" s="223"/>
      <c r="C503" s="343"/>
      <c r="D503" s="213"/>
      <c r="E503" s="214"/>
      <c r="F503" s="215"/>
    </row>
    <row r="504" spans="1:6" ht="21.75" customHeight="1">
      <c r="A504" s="221"/>
      <c r="B504" s="223"/>
      <c r="C504" s="343"/>
      <c r="D504" s="213"/>
      <c r="E504" s="214"/>
      <c r="F504" s="215"/>
    </row>
    <row r="505" spans="1:6" ht="21.75" customHeight="1">
      <c r="A505" s="221"/>
      <c r="B505" s="223"/>
      <c r="C505" s="343"/>
      <c r="D505" s="213"/>
      <c r="E505" s="214"/>
      <c r="F505" s="215"/>
    </row>
    <row r="506" spans="1:6" ht="21.75" customHeight="1">
      <c r="A506" s="221"/>
      <c r="B506" s="223"/>
      <c r="C506" s="343"/>
      <c r="D506" s="213"/>
      <c r="E506" s="214"/>
      <c r="F506" s="215"/>
    </row>
    <row r="507" spans="1:6" ht="21.75" customHeight="1">
      <c r="A507" s="221"/>
      <c r="B507" s="223"/>
      <c r="C507" s="343"/>
      <c r="D507" s="213"/>
      <c r="E507" s="214"/>
      <c r="F507" s="215"/>
    </row>
    <row r="508" spans="1:6" ht="21.75" customHeight="1">
      <c r="A508" s="221"/>
      <c r="B508" s="223"/>
      <c r="C508" s="343"/>
      <c r="D508" s="213"/>
      <c r="E508" s="214"/>
      <c r="F508" s="215"/>
    </row>
    <row r="509" spans="1:6" ht="21.75" customHeight="1">
      <c r="A509" s="221"/>
      <c r="B509" s="223"/>
      <c r="C509" s="343"/>
      <c r="D509" s="213"/>
      <c r="E509" s="214"/>
      <c r="F509" s="215"/>
    </row>
    <row r="510" spans="1:6" ht="21.75" customHeight="1">
      <c r="A510" s="221"/>
      <c r="B510" s="223"/>
      <c r="C510" s="343"/>
      <c r="D510" s="213"/>
      <c r="E510" s="214"/>
      <c r="F510" s="215"/>
    </row>
    <row r="511" spans="1:6" ht="21.75" customHeight="1">
      <c r="A511" s="221"/>
      <c r="B511" s="223"/>
      <c r="C511" s="343"/>
      <c r="D511" s="213"/>
      <c r="E511" s="214"/>
      <c r="F511" s="215"/>
    </row>
    <row r="512" spans="1:6" ht="21.75" customHeight="1">
      <c r="A512" s="221"/>
      <c r="B512" s="223"/>
      <c r="C512" s="343"/>
      <c r="D512" s="213"/>
      <c r="E512" s="214"/>
      <c r="F512" s="215"/>
    </row>
    <row r="513" spans="1:6" ht="21.75" customHeight="1">
      <c r="A513" s="221"/>
      <c r="B513" s="223"/>
      <c r="C513" s="343"/>
      <c r="D513" s="213"/>
      <c r="E513" s="214"/>
      <c r="F513" s="215"/>
    </row>
    <row r="514" spans="1:6" ht="21.75" customHeight="1">
      <c r="A514" s="221"/>
      <c r="B514" s="223"/>
      <c r="C514" s="343"/>
      <c r="D514" s="213"/>
      <c r="E514" s="214"/>
      <c r="F514" s="215"/>
    </row>
    <row r="515" spans="1:6" ht="21.75" customHeight="1">
      <c r="A515" s="221"/>
      <c r="B515" s="223"/>
      <c r="C515" s="343"/>
      <c r="D515" s="213"/>
      <c r="E515" s="214"/>
      <c r="F515" s="215"/>
    </row>
    <row r="516" spans="1:6" ht="21.75" customHeight="1">
      <c r="A516" s="221"/>
      <c r="B516" s="223"/>
      <c r="C516" s="343"/>
      <c r="D516" s="213"/>
      <c r="E516" s="214"/>
      <c r="F516" s="215"/>
    </row>
    <row r="517" spans="1:6" ht="21.75" customHeight="1">
      <c r="A517" s="221"/>
      <c r="B517" s="223"/>
      <c r="C517" s="343"/>
      <c r="D517" s="213"/>
      <c r="E517" s="214"/>
      <c r="F517" s="215"/>
    </row>
    <row r="518" spans="1:6" ht="21.75" customHeight="1">
      <c r="A518" s="221"/>
      <c r="B518" s="223"/>
      <c r="C518" s="343"/>
      <c r="D518" s="213"/>
      <c r="E518" s="214"/>
      <c r="F518" s="215"/>
    </row>
    <row r="519" spans="1:6" ht="21.75" customHeight="1">
      <c r="A519" s="221"/>
      <c r="B519" s="223"/>
      <c r="C519" s="343"/>
      <c r="D519" s="213"/>
      <c r="E519" s="214"/>
      <c r="F519" s="215"/>
    </row>
    <row r="520" spans="1:6" ht="21.75" customHeight="1">
      <c r="A520" s="221"/>
      <c r="B520" s="223"/>
      <c r="C520" s="343"/>
      <c r="D520" s="213"/>
      <c r="E520" s="214"/>
      <c r="F520" s="215"/>
    </row>
    <row r="521" spans="1:6" ht="21.75" customHeight="1">
      <c r="A521" s="221"/>
      <c r="B521" s="223"/>
      <c r="C521" s="343"/>
      <c r="D521" s="213"/>
      <c r="E521" s="214"/>
      <c r="F521" s="215"/>
    </row>
    <row r="522" spans="1:6" ht="21.75" customHeight="1">
      <c r="A522" s="221"/>
      <c r="B522" s="223"/>
      <c r="C522" s="343"/>
      <c r="D522" s="213"/>
      <c r="E522" s="214"/>
      <c r="F522" s="215"/>
    </row>
    <row r="523" spans="1:6" ht="21.75" customHeight="1">
      <c r="A523" s="221"/>
      <c r="B523" s="223"/>
      <c r="C523" s="343"/>
      <c r="D523" s="213"/>
      <c r="E523" s="214"/>
      <c r="F523" s="215"/>
    </row>
    <row r="524" spans="1:6" ht="21.75" customHeight="1">
      <c r="A524" s="221"/>
      <c r="B524" s="223"/>
      <c r="C524" s="343"/>
      <c r="D524" s="213"/>
      <c r="E524" s="214"/>
      <c r="F524" s="215"/>
    </row>
    <row r="525" spans="1:6" ht="21.75" customHeight="1">
      <c r="A525" s="221"/>
      <c r="B525" s="223"/>
      <c r="C525" s="343"/>
      <c r="D525" s="222"/>
      <c r="E525" s="214"/>
      <c r="F525" s="215"/>
    </row>
    <row r="526" spans="1:6" ht="21.75" customHeight="1">
      <c r="A526" s="221"/>
      <c r="B526" s="223"/>
      <c r="C526" s="343"/>
      <c r="D526" s="222"/>
      <c r="E526" s="214"/>
      <c r="F526" s="215"/>
    </row>
    <row r="527" spans="1:6" ht="21.75" customHeight="1">
      <c r="A527" s="221"/>
      <c r="B527" s="223"/>
      <c r="C527" s="343"/>
      <c r="D527" s="213"/>
      <c r="E527" s="214"/>
      <c r="F527" s="215"/>
    </row>
    <row r="528" spans="1:6" ht="21.75" customHeight="1">
      <c r="A528" s="221"/>
      <c r="B528" s="223"/>
      <c r="C528" s="343"/>
      <c r="D528" s="213"/>
      <c r="E528" s="214"/>
      <c r="F528" s="215"/>
    </row>
    <row r="529" spans="1:6" ht="21.75" customHeight="1">
      <c r="A529" s="221"/>
      <c r="B529" s="223"/>
      <c r="C529" s="343"/>
      <c r="D529" s="213"/>
      <c r="E529" s="214"/>
      <c r="F529" s="215"/>
    </row>
    <row r="530" spans="1:6" ht="21.75" customHeight="1">
      <c r="A530" s="221"/>
      <c r="B530" s="223"/>
      <c r="C530" s="343"/>
      <c r="D530" s="213"/>
      <c r="E530" s="214"/>
      <c r="F530" s="215"/>
    </row>
    <row r="531" spans="1:6" ht="21.75" customHeight="1">
      <c r="A531" s="221"/>
      <c r="B531" s="223"/>
      <c r="C531" s="343"/>
      <c r="D531" s="213"/>
      <c r="E531" s="214"/>
      <c r="F531" s="215"/>
    </row>
    <row r="532" spans="1:6" ht="21.75" customHeight="1">
      <c r="A532" s="221"/>
      <c r="B532" s="223"/>
      <c r="C532" s="343"/>
      <c r="D532" s="213"/>
      <c r="E532" s="214"/>
      <c r="F532" s="215"/>
    </row>
    <row r="533" spans="1:6" ht="21.75" customHeight="1">
      <c r="A533" s="221"/>
      <c r="B533" s="223"/>
      <c r="C533" s="343"/>
      <c r="D533" s="213"/>
      <c r="E533" s="214"/>
      <c r="F533" s="215"/>
    </row>
    <row r="534" spans="1:6" ht="21.75" customHeight="1">
      <c r="A534" s="221"/>
      <c r="B534" s="223"/>
      <c r="C534" s="343"/>
      <c r="D534" s="213"/>
      <c r="E534" s="214"/>
      <c r="F534" s="215"/>
    </row>
    <row r="535" spans="1:6" ht="21.75" customHeight="1">
      <c r="A535" s="221"/>
      <c r="B535" s="223"/>
      <c r="C535" s="343"/>
      <c r="D535" s="213"/>
      <c r="E535" s="214"/>
      <c r="F535" s="215"/>
    </row>
    <row r="536" spans="1:6" ht="21.75" customHeight="1">
      <c r="A536" s="221"/>
      <c r="B536" s="223"/>
      <c r="C536" s="343"/>
      <c r="D536" s="213"/>
      <c r="E536" s="214"/>
      <c r="F536" s="215"/>
    </row>
    <row r="537" spans="1:6" ht="21.75" customHeight="1">
      <c r="A537" s="221"/>
      <c r="B537" s="223"/>
      <c r="C537" s="343"/>
      <c r="D537" s="213"/>
      <c r="E537" s="214"/>
      <c r="F537" s="215"/>
    </row>
    <row r="538" spans="1:6" ht="21.75" customHeight="1">
      <c r="A538" s="221"/>
      <c r="B538" s="223"/>
      <c r="C538" s="343"/>
      <c r="D538" s="213"/>
      <c r="E538" s="214"/>
      <c r="F538" s="215"/>
    </row>
    <row r="539" spans="1:6" ht="21.75" customHeight="1">
      <c r="A539" s="221"/>
      <c r="B539" s="223"/>
      <c r="C539" s="343"/>
      <c r="D539" s="213"/>
      <c r="E539" s="214"/>
      <c r="F539" s="215"/>
    </row>
    <row r="540" spans="1:6" ht="21.75" customHeight="1">
      <c r="A540" s="221"/>
      <c r="B540" s="223"/>
      <c r="C540" s="343"/>
      <c r="D540" s="213"/>
      <c r="E540" s="214"/>
      <c r="F540" s="215"/>
    </row>
    <row r="541" spans="1:6" ht="21.75" customHeight="1">
      <c r="A541" s="221"/>
      <c r="B541" s="223"/>
      <c r="C541" s="343"/>
      <c r="D541" s="213"/>
      <c r="E541" s="214"/>
      <c r="F541" s="215"/>
    </row>
    <row r="542" spans="1:6" ht="21.75" customHeight="1">
      <c r="A542" s="221"/>
      <c r="B542" s="223"/>
      <c r="C542" s="343"/>
      <c r="D542" s="213"/>
      <c r="E542" s="214"/>
      <c r="F542" s="215"/>
    </row>
    <row r="543" spans="1:6" ht="21.75" customHeight="1">
      <c r="A543" s="221"/>
      <c r="B543" s="223"/>
      <c r="C543" s="343"/>
      <c r="D543" s="213"/>
      <c r="E543" s="214"/>
      <c r="F543" s="215"/>
    </row>
    <row r="544" spans="1:6" ht="21.75" customHeight="1">
      <c r="A544" s="221"/>
      <c r="B544" s="223"/>
      <c r="C544" s="343"/>
      <c r="D544" s="213"/>
      <c r="E544" s="214"/>
      <c r="F544" s="215"/>
    </row>
    <row r="545" spans="1:6" ht="21.75" customHeight="1">
      <c r="A545" s="221"/>
      <c r="B545" s="223"/>
      <c r="C545" s="343"/>
      <c r="D545" s="213"/>
      <c r="E545" s="214"/>
      <c r="F545" s="215"/>
    </row>
    <row r="546" spans="1:6" ht="21.75" customHeight="1">
      <c r="A546" s="221"/>
      <c r="B546" s="223"/>
      <c r="C546" s="343"/>
      <c r="D546" s="213"/>
      <c r="E546" s="214"/>
      <c r="F546" s="215"/>
    </row>
    <row r="547" spans="1:6" ht="21.75" customHeight="1">
      <c r="A547" s="221"/>
      <c r="B547" s="223"/>
      <c r="C547" s="343"/>
      <c r="D547" s="213"/>
      <c r="E547" s="214"/>
      <c r="F547" s="215"/>
    </row>
    <row r="548" spans="1:6" ht="21.75" customHeight="1">
      <c r="A548" s="221"/>
      <c r="B548" s="223"/>
      <c r="C548" s="343"/>
      <c r="D548" s="213"/>
      <c r="E548" s="214"/>
      <c r="F548" s="215"/>
    </row>
    <row r="549" spans="1:6" ht="21.75" customHeight="1">
      <c r="A549" s="221"/>
      <c r="B549" s="223"/>
      <c r="C549" s="343"/>
      <c r="D549" s="213"/>
      <c r="E549" s="214"/>
      <c r="F549" s="215"/>
    </row>
    <row r="550" spans="1:6" ht="21.75" customHeight="1">
      <c r="A550" s="221"/>
      <c r="B550" s="223"/>
      <c r="C550" s="343"/>
      <c r="D550" s="213"/>
      <c r="E550" s="214"/>
      <c r="F550" s="215"/>
    </row>
    <row r="551" spans="1:6" ht="21.75" customHeight="1">
      <c r="A551" s="221"/>
      <c r="B551" s="223"/>
      <c r="C551" s="343"/>
      <c r="D551" s="213"/>
      <c r="E551" s="214"/>
      <c r="F551" s="215"/>
    </row>
    <row r="552" spans="1:6" ht="21.75" customHeight="1">
      <c r="A552" s="221"/>
      <c r="B552" s="223"/>
      <c r="C552" s="343"/>
      <c r="D552" s="213"/>
      <c r="E552" s="214"/>
      <c r="F552" s="215"/>
    </row>
    <row r="553" spans="1:6" ht="21.75" customHeight="1">
      <c r="A553" s="221"/>
      <c r="B553" s="223"/>
      <c r="C553" s="343"/>
      <c r="D553" s="213"/>
      <c r="E553" s="214"/>
      <c r="F553" s="215"/>
    </row>
    <row r="554" spans="1:6" ht="21.75" customHeight="1">
      <c r="A554" s="221"/>
      <c r="B554" s="223"/>
      <c r="C554" s="343"/>
      <c r="D554" s="213"/>
      <c r="E554" s="214"/>
      <c r="F554" s="215"/>
    </row>
    <row r="555" spans="1:6" ht="21.75" customHeight="1">
      <c r="A555" s="221"/>
      <c r="B555" s="223"/>
      <c r="C555" s="343"/>
      <c r="D555" s="213"/>
      <c r="E555" s="214"/>
      <c r="F555" s="215"/>
    </row>
    <row r="556" spans="1:6" ht="21.75" customHeight="1">
      <c r="A556" s="221"/>
      <c r="B556" s="223"/>
      <c r="C556" s="343"/>
      <c r="D556" s="213"/>
      <c r="E556" s="214"/>
      <c r="F556" s="215"/>
    </row>
    <row r="557" spans="1:6" ht="21.75" customHeight="1">
      <c r="A557" s="221"/>
      <c r="B557" s="223"/>
      <c r="C557" s="343"/>
      <c r="D557" s="213"/>
      <c r="E557" s="214"/>
      <c r="F557" s="215"/>
    </row>
    <row r="558" spans="1:6" ht="21.75" customHeight="1">
      <c r="A558" s="221"/>
      <c r="B558" s="223"/>
      <c r="C558" s="343"/>
      <c r="D558" s="213"/>
      <c r="E558" s="214"/>
      <c r="F558" s="215"/>
    </row>
    <row r="559" spans="1:6" ht="21.75" customHeight="1">
      <c r="A559" s="221"/>
      <c r="B559" s="223"/>
      <c r="C559" s="343"/>
      <c r="D559" s="213"/>
      <c r="E559" s="214"/>
      <c r="F559" s="215"/>
    </row>
    <row r="560" spans="1:6" ht="21.75" customHeight="1">
      <c r="A560" s="221"/>
      <c r="B560" s="223"/>
      <c r="C560" s="343"/>
      <c r="D560" s="213"/>
      <c r="E560" s="214"/>
      <c r="F560" s="215"/>
    </row>
    <row r="561" spans="1:6" ht="21.75" customHeight="1">
      <c r="A561" s="221"/>
      <c r="B561" s="223"/>
      <c r="C561" s="343"/>
      <c r="D561" s="213"/>
      <c r="E561" s="214"/>
      <c r="F561" s="215"/>
    </row>
    <row r="562" spans="1:6" ht="21.75" customHeight="1">
      <c r="A562" s="221"/>
      <c r="B562" s="223"/>
      <c r="C562" s="343"/>
      <c r="D562" s="213"/>
      <c r="E562" s="214"/>
      <c r="F562" s="215"/>
    </row>
    <row r="563" spans="1:6" ht="21.75" customHeight="1">
      <c r="A563" s="221"/>
      <c r="B563" s="223"/>
      <c r="C563" s="343"/>
      <c r="D563" s="213"/>
      <c r="E563" s="214"/>
      <c r="F563" s="215"/>
    </row>
    <row r="564" spans="1:6" ht="21.75" customHeight="1">
      <c r="A564" s="221"/>
      <c r="B564" s="223"/>
      <c r="C564" s="343"/>
      <c r="D564" s="213"/>
      <c r="E564" s="214"/>
      <c r="F564" s="215"/>
    </row>
    <row r="565" spans="1:6" ht="21.75" customHeight="1">
      <c r="A565" s="221"/>
      <c r="B565" s="223"/>
      <c r="C565" s="343"/>
      <c r="D565" s="213"/>
      <c r="E565" s="214"/>
      <c r="F565" s="215"/>
    </row>
    <row r="566" spans="1:6" ht="21.75" customHeight="1">
      <c r="A566" s="221"/>
      <c r="B566" s="223"/>
      <c r="C566" s="343"/>
      <c r="D566" s="213"/>
      <c r="E566" s="214"/>
      <c r="F566" s="215"/>
    </row>
    <row r="567" spans="1:6" ht="21.75" customHeight="1">
      <c r="A567" s="221"/>
      <c r="B567" s="223"/>
      <c r="C567" s="343"/>
      <c r="D567" s="213"/>
      <c r="E567" s="214"/>
      <c r="F567" s="215"/>
    </row>
    <row r="568" spans="1:6" ht="21.75" customHeight="1">
      <c r="A568" s="221"/>
      <c r="B568" s="223"/>
      <c r="C568" s="343"/>
      <c r="D568" s="213"/>
      <c r="E568" s="214"/>
      <c r="F568" s="215"/>
    </row>
    <row r="569" spans="1:6" ht="21.75" customHeight="1">
      <c r="A569" s="221"/>
      <c r="B569" s="223"/>
      <c r="C569" s="343"/>
      <c r="D569" s="213"/>
      <c r="E569" s="214"/>
      <c r="F569" s="215"/>
    </row>
    <row r="570" spans="1:6" ht="21.75" customHeight="1">
      <c r="A570" s="221"/>
      <c r="B570" s="223"/>
      <c r="C570" s="343"/>
      <c r="D570" s="213"/>
      <c r="E570" s="214"/>
      <c r="F570" s="215"/>
    </row>
    <row r="571" spans="1:6" ht="21.75" customHeight="1">
      <c r="A571" s="221"/>
      <c r="B571" s="223"/>
      <c r="C571" s="343"/>
      <c r="D571" s="213"/>
      <c r="E571" s="214"/>
      <c r="F571" s="215"/>
    </row>
    <row r="572" spans="1:6" ht="21.75" customHeight="1">
      <c r="A572" s="221"/>
      <c r="B572" s="223"/>
      <c r="C572" s="343"/>
      <c r="D572" s="213"/>
      <c r="E572" s="214"/>
      <c r="F572" s="215"/>
    </row>
    <row r="573" spans="1:6" ht="21.75" customHeight="1">
      <c r="A573" s="221"/>
      <c r="B573" s="223"/>
      <c r="C573" s="343"/>
      <c r="D573" s="213"/>
      <c r="E573" s="214"/>
      <c r="F573" s="215"/>
    </row>
    <row r="574" spans="1:6" ht="21.75" customHeight="1">
      <c r="A574" s="221"/>
      <c r="B574" s="223"/>
      <c r="C574" s="343"/>
      <c r="D574" s="213"/>
      <c r="E574" s="214"/>
      <c r="F574" s="215"/>
    </row>
    <row r="575" spans="1:6" ht="21.75" customHeight="1">
      <c r="A575" s="221"/>
      <c r="B575" s="223"/>
      <c r="C575" s="343"/>
      <c r="D575" s="213"/>
      <c r="E575" s="214"/>
      <c r="F575" s="215"/>
    </row>
    <row r="576" spans="1:6" ht="21.75" customHeight="1">
      <c r="A576" s="221"/>
      <c r="B576" s="223"/>
      <c r="C576" s="343"/>
      <c r="D576" s="213"/>
      <c r="E576" s="214"/>
      <c r="F576" s="215"/>
    </row>
    <row r="577" spans="1:6" ht="21.75" customHeight="1">
      <c r="A577" s="221"/>
      <c r="B577" s="223"/>
      <c r="C577" s="343"/>
      <c r="D577" s="213"/>
      <c r="E577" s="214"/>
      <c r="F577" s="215"/>
    </row>
    <row r="578" spans="1:6" ht="21.75" customHeight="1">
      <c r="A578" s="221"/>
      <c r="B578" s="223"/>
      <c r="C578" s="343"/>
      <c r="D578" s="213"/>
      <c r="E578" s="214"/>
      <c r="F578" s="215"/>
    </row>
    <row r="579" spans="1:6" ht="21.75" customHeight="1">
      <c r="A579" s="221"/>
      <c r="B579" s="223"/>
      <c r="C579" s="343"/>
      <c r="D579" s="213"/>
      <c r="E579" s="214"/>
      <c r="F579" s="215"/>
    </row>
    <row r="580" spans="1:6" ht="21.75" customHeight="1">
      <c r="A580" s="221"/>
      <c r="B580" s="223"/>
      <c r="C580" s="343"/>
      <c r="D580" s="213"/>
      <c r="E580" s="214"/>
      <c r="F580" s="215"/>
    </row>
    <row r="581" spans="1:6" ht="21.75" customHeight="1">
      <c r="A581" s="221"/>
      <c r="B581" s="223"/>
      <c r="C581" s="343"/>
      <c r="D581" s="213"/>
      <c r="E581" s="214"/>
      <c r="F581" s="215"/>
    </row>
    <row r="582" spans="1:6" ht="21.75" customHeight="1">
      <c r="A582" s="221"/>
      <c r="B582" s="223"/>
      <c r="C582" s="343"/>
      <c r="D582" s="213"/>
      <c r="E582" s="214"/>
      <c r="F582" s="215"/>
    </row>
    <row r="583" spans="1:6" ht="21.75" customHeight="1">
      <c r="A583" s="221"/>
      <c r="B583" s="223"/>
      <c r="C583" s="343"/>
      <c r="D583" s="213"/>
      <c r="E583" s="214"/>
      <c r="F583" s="215"/>
    </row>
    <row r="584" spans="1:6" ht="21.75" customHeight="1">
      <c r="A584" s="221"/>
      <c r="B584" s="223"/>
      <c r="C584" s="343"/>
      <c r="D584" s="213"/>
      <c r="E584" s="214"/>
      <c r="F584" s="215"/>
    </row>
    <row r="585" spans="1:6" ht="21.75" customHeight="1">
      <c r="A585" s="221"/>
      <c r="B585" s="223"/>
      <c r="C585" s="343"/>
      <c r="D585" s="213"/>
      <c r="E585" s="214"/>
      <c r="F585" s="215"/>
    </row>
    <row r="586" spans="1:6" ht="21.75" customHeight="1">
      <c r="A586" s="221"/>
      <c r="B586" s="223"/>
      <c r="C586" s="343"/>
      <c r="D586" s="213"/>
      <c r="E586" s="214"/>
      <c r="F586" s="215"/>
    </row>
    <row r="587" spans="1:6" ht="21.75" customHeight="1">
      <c r="A587" s="221"/>
      <c r="B587" s="223"/>
      <c r="C587" s="343"/>
      <c r="D587" s="213"/>
      <c r="E587" s="214"/>
      <c r="F587" s="215"/>
    </row>
    <row r="588" spans="1:6" ht="21.75" customHeight="1">
      <c r="A588" s="221"/>
      <c r="B588" s="223"/>
      <c r="C588" s="343"/>
      <c r="D588" s="213"/>
      <c r="E588" s="214"/>
      <c r="F588" s="215"/>
    </row>
    <row r="589" spans="1:6" ht="21.75" customHeight="1">
      <c r="A589" s="221"/>
      <c r="B589" s="223"/>
      <c r="C589" s="343"/>
      <c r="D589" s="213"/>
      <c r="E589" s="214"/>
      <c r="F589" s="215"/>
    </row>
    <row r="590" spans="1:6" ht="21.75" customHeight="1">
      <c r="A590" s="221"/>
      <c r="B590" s="223"/>
      <c r="C590" s="343"/>
      <c r="D590" s="213"/>
      <c r="E590" s="214"/>
      <c r="F590" s="215"/>
    </row>
    <row r="591" spans="1:6" ht="21.75" customHeight="1">
      <c r="A591" s="221"/>
      <c r="B591" s="223"/>
      <c r="C591" s="343"/>
      <c r="D591" s="213"/>
      <c r="E591" s="214"/>
      <c r="F591" s="215"/>
    </row>
    <row r="592" spans="1:6" ht="21.75" customHeight="1">
      <c r="A592" s="221"/>
      <c r="B592" s="223"/>
      <c r="C592" s="343"/>
      <c r="D592" s="213"/>
      <c r="E592" s="214"/>
      <c r="F592" s="215"/>
    </row>
    <row r="593" spans="1:6" ht="21.75" customHeight="1">
      <c r="A593" s="221"/>
      <c r="B593" s="223"/>
      <c r="C593" s="343"/>
      <c r="D593" s="213"/>
      <c r="E593" s="214"/>
      <c r="F593" s="215"/>
    </row>
    <row r="594" spans="1:6" ht="21.75" customHeight="1">
      <c r="A594" s="221"/>
      <c r="B594" s="223"/>
      <c r="C594" s="343"/>
      <c r="D594" s="213"/>
      <c r="E594" s="214"/>
      <c r="F594" s="215"/>
    </row>
    <row r="595" spans="1:6" ht="21.75" customHeight="1">
      <c r="A595" s="221"/>
      <c r="B595" s="223"/>
      <c r="C595" s="343"/>
      <c r="D595" s="213"/>
      <c r="E595" s="214"/>
      <c r="F595" s="215"/>
    </row>
    <row r="596" spans="1:6" ht="21.75" customHeight="1">
      <c r="A596" s="221"/>
      <c r="B596" s="223"/>
      <c r="C596" s="343"/>
      <c r="D596" s="213"/>
      <c r="E596" s="214"/>
      <c r="F596" s="215"/>
    </row>
    <row r="597" spans="1:6" ht="21.75" customHeight="1">
      <c r="A597" s="221"/>
      <c r="B597" s="223"/>
      <c r="C597" s="343"/>
      <c r="D597" s="213"/>
      <c r="E597" s="214"/>
      <c r="F597" s="215"/>
    </row>
    <row r="598" spans="1:6" ht="21.75" customHeight="1">
      <c r="A598" s="221"/>
      <c r="B598" s="223"/>
      <c r="C598" s="343"/>
      <c r="D598" s="213"/>
      <c r="E598" s="214"/>
      <c r="F598" s="215"/>
    </row>
    <row r="599" spans="1:6" ht="21.75" customHeight="1">
      <c r="A599" s="221"/>
      <c r="B599" s="223"/>
      <c r="C599" s="343"/>
      <c r="D599" s="213"/>
      <c r="E599" s="214"/>
      <c r="F599" s="215"/>
    </row>
    <row r="600" spans="1:6" ht="21.75" customHeight="1">
      <c r="A600" s="221"/>
      <c r="B600" s="223"/>
      <c r="C600" s="343"/>
      <c r="D600" s="213"/>
      <c r="E600" s="214"/>
      <c r="F600" s="215"/>
    </row>
    <row r="601" spans="1:6" ht="21.75" customHeight="1">
      <c r="A601" s="221"/>
      <c r="B601" s="223"/>
      <c r="C601" s="343"/>
      <c r="D601" s="213"/>
      <c r="E601" s="214"/>
      <c r="F601" s="215"/>
    </row>
    <row r="602" spans="1:6" ht="21.75" customHeight="1">
      <c r="A602" s="221"/>
      <c r="B602" s="223"/>
      <c r="C602" s="343"/>
      <c r="D602" s="213"/>
      <c r="E602" s="214"/>
      <c r="F602" s="215"/>
    </row>
    <row r="603" spans="1:6" ht="21.75" customHeight="1">
      <c r="A603" s="221"/>
      <c r="B603" s="223"/>
      <c r="C603" s="343"/>
      <c r="D603" s="213"/>
      <c r="E603" s="214"/>
      <c r="F603" s="215"/>
    </row>
    <row r="604" spans="1:6" ht="21.75" customHeight="1">
      <c r="A604" s="221"/>
      <c r="B604" s="223"/>
      <c r="C604" s="343"/>
      <c r="D604" s="213"/>
      <c r="E604" s="214"/>
      <c r="F604" s="215"/>
    </row>
    <row r="605" spans="1:6" ht="21.75" customHeight="1">
      <c r="A605" s="221"/>
      <c r="B605" s="223"/>
      <c r="C605" s="343"/>
      <c r="D605" s="213"/>
      <c r="E605" s="214"/>
      <c r="F605" s="215"/>
    </row>
    <row r="606" spans="1:6" ht="21.75" customHeight="1">
      <c r="A606" s="221"/>
      <c r="B606" s="223"/>
      <c r="C606" s="343"/>
      <c r="D606" s="213"/>
      <c r="E606" s="214"/>
      <c r="F606" s="215"/>
    </row>
    <row r="607" spans="1:6" ht="21.75" customHeight="1">
      <c r="A607" s="221"/>
      <c r="B607" s="223"/>
      <c r="C607" s="343"/>
      <c r="D607" s="213"/>
      <c r="E607" s="214"/>
      <c r="F607" s="215"/>
    </row>
    <row r="608" spans="1:6" ht="21.75" customHeight="1">
      <c r="A608" s="221"/>
      <c r="B608" s="223"/>
      <c r="C608" s="343"/>
      <c r="D608" s="213"/>
      <c r="E608" s="214"/>
      <c r="F608" s="215"/>
    </row>
    <row r="609" spans="1:6" ht="21.75" customHeight="1">
      <c r="A609" s="221"/>
      <c r="B609" s="223"/>
      <c r="C609" s="343"/>
      <c r="D609" s="213"/>
      <c r="E609" s="214"/>
      <c r="F609" s="215"/>
    </row>
    <row r="610" spans="1:6" ht="21.75" customHeight="1">
      <c r="A610" s="221"/>
      <c r="B610" s="223"/>
      <c r="C610" s="343"/>
      <c r="D610" s="213"/>
      <c r="E610" s="214"/>
      <c r="F610" s="215"/>
    </row>
    <row r="611" spans="1:6" ht="21.75" customHeight="1">
      <c r="A611" s="221"/>
      <c r="B611" s="223"/>
      <c r="C611" s="343"/>
      <c r="D611" s="213"/>
      <c r="E611" s="214"/>
      <c r="F611" s="215"/>
    </row>
    <row r="612" spans="1:6" ht="21.75" customHeight="1">
      <c r="A612" s="221"/>
      <c r="B612" s="223"/>
      <c r="C612" s="343"/>
      <c r="D612" s="213"/>
      <c r="E612" s="214"/>
      <c r="F612" s="215"/>
    </row>
    <row r="613" spans="1:6" ht="21.75" customHeight="1">
      <c r="A613" s="221"/>
      <c r="B613" s="223"/>
      <c r="C613" s="343"/>
      <c r="D613" s="213"/>
      <c r="E613" s="214"/>
      <c r="F613" s="215"/>
    </row>
    <row r="614" spans="1:6" ht="21.75" customHeight="1">
      <c r="A614" s="221"/>
      <c r="B614" s="223"/>
      <c r="C614" s="343"/>
      <c r="D614" s="213"/>
      <c r="E614" s="214"/>
      <c r="F614" s="215"/>
    </row>
    <row r="615" spans="1:6" ht="21.75" customHeight="1">
      <c r="A615" s="221"/>
      <c r="B615" s="223"/>
      <c r="C615" s="343"/>
      <c r="D615" s="213"/>
      <c r="E615" s="214"/>
      <c r="F615" s="215"/>
    </row>
    <row r="616" spans="1:6" ht="21.75" customHeight="1">
      <c r="A616" s="221"/>
      <c r="B616" s="223"/>
      <c r="C616" s="343"/>
      <c r="D616" s="213"/>
      <c r="E616" s="214"/>
      <c r="F616" s="215"/>
    </row>
    <row r="617" spans="1:6" ht="21.75" customHeight="1">
      <c r="A617" s="221"/>
      <c r="B617" s="223"/>
      <c r="C617" s="343"/>
      <c r="D617" s="213"/>
      <c r="E617" s="214"/>
      <c r="F617" s="215"/>
    </row>
    <row r="618" spans="1:6" ht="21.75" customHeight="1">
      <c r="A618" s="221"/>
      <c r="B618" s="223"/>
      <c r="C618" s="343"/>
      <c r="D618" s="213"/>
      <c r="E618" s="214"/>
      <c r="F618" s="215"/>
    </row>
    <row r="619" spans="1:6" ht="21.75" customHeight="1">
      <c r="A619" s="221"/>
      <c r="B619" s="223"/>
      <c r="C619" s="343"/>
      <c r="D619" s="213"/>
      <c r="E619" s="214"/>
      <c r="F619" s="215"/>
    </row>
    <row r="620" spans="1:6" ht="21.75" customHeight="1">
      <c r="A620" s="221"/>
      <c r="B620" s="223"/>
      <c r="C620" s="343"/>
      <c r="D620" s="213"/>
      <c r="E620" s="214"/>
      <c r="F620" s="215"/>
    </row>
    <row r="621" spans="1:6" ht="21.75" customHeight="1">
      <c r="A621" s="221"/>
      <c r="B621" s="223"/>
      <c r="C621" s="343"/>
      <c r="D621" s="213"/>
      <c r="E621" s="214"/>
      <c r="F621" s="215"/>
    </row>
    <row r="622" spans="1:6" ht="21.75" customHeight="1">
      <c r="A622" s="221"/>
      <c r="B622" s="223"/>
      <c r="C622" s="343"/>
      <c r="D622" s="213"/>
      <c r="E622" s="214"/>
      <c r="F622" s="215"/>
    </row>
    <row r="623" spans="1:6" ht="21.75" customHeight="1">
      <c r="A623" s="221"/>
      <c r="B623" s="223"/>
      <c r="C623" s="343"/>
      <c r="D623" s="213"/>
      <c r="E623" s="214"/>
      <c r="F623" s="215"/>
    </row>
    <row r="624" spans="1:6" ht="21.75" customHeight="1">
      <c r="A624" s="221"/>
      <c r="B624" s="223"/>
      <c r="C624" s="343"/>
      <c r="D624" s="213"/>
      <c r="E624" s="214"/>
      <c r="F624" s="215"/>
    </row>
    <row r="625" spans="1:6" ht="21.75" customHeight="1">
      <c r="A625" s="221"/>
      <c r="B625" s="223"/>
      <c r="C625" s="343"/>
      <c r="D625" s="213"/>
      <c r="E625" s="214"/>
      <c r="F625" s="215"/>
    </row>
    <row r="626" spans="1:6" ht="21.75" customHeight="1">
      <c r="A626" s="221"/>
      <c r="B626" s="223"/>
      <c r="C626" s="343"/>
      <c r="D626" s="213"/>
      <c r="E626" s="214"/>
      <c r="F626" s="215"/>
    </row>
    <row r="627" spans="1:6" ht="21.75" customHeight="1">
      <c r="A627" s="221"/>
      <c r="B627" s="223"/>
      <c r="C627" s="343"/>
      <c r="D627" s="213"/>
      <c r="E627" s="214"/>
      <c r="F627" s="215"/>
    </row>
    <row r="628" spans="1:6" ht="21.75" customHeight="1">
      <c r="A628" s="221"/>
      <c r="B628" s="223"/>
      <c r="C628" s="343"/>
      <c r="D628" s="213"/>
      <c r="E628" s="214"/>
      <c r="F628" s="215"/>
    </row>
    <row r="629" spans="1:6" ht="21.75" customHeight="1">
      <c r="A629" s="221"/>
      <c r="B629" s="223"/>
      <c r="C629" s="343"/>
      <c r="D629" s="213"/>
      <c r="E629" s="214"/>
      <c r="F629" s="215"/>
    </row>
    <row r="630" spans="1:6" ht="21.75" customHeight="1">
      <c r="A630" s="221"/>
      <c r="B630" s="223"/>
      <c r="C630" s="343"/>
      <c r="D630" s="213"/>
      <c r="E630" s="214"/>
      <c r="F630" s="215"/>
    </row>
    <row r="631" spans="1:6" ht="21.75" customHeight="1">
      <c r="A631" s="221"/>
      <c r="B631" s="223"/>
      <c r="C631" s="343"/>
      <c r="D631" s="213"/>
      <c r="E631" s="214"/>
      <c r="F631" s="215"/>
    </row>
    <row r="632" spans="1:6" ht="21.75" customHeight="1">
      <c r="A632" s="221"/>
      <c r="B632" s="223"/>
      <c r="C632" s="343"/>
      <c r="D632" s="213"/>
      <c r="E632" s="214"/>
      <c r="F632" s="215"/>
    </row>
    <row r="633" spans="1:6" ht="21.75" customHeight="1">
      <c r="A633" s="221"/>
      <c r="B633" s="223"/>
      <c r="C633" s="343"/>
      <c r="D633" s="213"/>
      <c r="E633" s="214"/>
      <c r="F633" s="215"/>
    </row>
    <row r="634" spans="1:6" ht="21.75" customHeight="1">
      <c r="A634" s="221"/>
      <c r="B634" s="223"/>
      <c r="C634" s="343"/>
      <c r="D634" s="213"/>
      <c r="E634" s="214"/>
      <c r="F634" s="215"/>
    </row>
    <row r="635" spans="1:6" ht="21.75" customHeight="1">
      <c r="A635" s="221"/>
      <c r="B635" s="223"/>
      <c r="C635" s="343"/>
      <c r="D635" s="213"/>
      <c r="E635" s="214"/>
      <c r="F635" s="215"/>
    </row>
    <row r="636" spans="1:6" ht="21.75" customHeight="1">
      <c r="A636" s="221"/>
      <c r="B636" s="223"/>
      <c r="C636" s="343"/>
      <c r="D636" s="213"/>
      <c r="E636" s="214"/>
      <c r="F636" s="215"/>
    </row>
    <row r="637" spans="1:6" ht="21.75" customHeight="1">
      <c r="A637" s="221"/>
      <c r="B637" s="223"/>
      <c r="C637" s="343"/>
      <c r="D637" s="213"/>
      <c r="E637" s="214"/>
      <c r="F637" s="215"/>
    </row>
    <row r="638" spans="1:6" ht="21.75" customHeight="1">
      <c r="A638" s="221"/>
      <c r="B638" s="223"/>
      <c r="C638" s="343"/>
      <c r="D638" s="213"/>
      <c r="E638" s="214"/>
      <c r="F638" s="215"/>
    </row>
    <row r="639" spans="1:6" ht="21.75" customHeight="1">
      <c r="A639" s="221"/>
      <c r="B639" s="223"/>
      <c r="C639" s="343"/>
      <c r="D639" s="213"/>
      <c r="E639" s="214"/>
      <c r="F639" s="215"/>
    </row>
    <row r="640" spans="1:6" ht="21.75" customHeight="1">
      <c r="A640" s="221"/>
      <c r="B640" s="223"/>
      <c r="C640" s="343"/>
      <c r="D640" s="213"/>
      <c r="E640" s="214"/>
      <c r="F640" s="215"/>
    </row>
    <row r="641" spans="1:6" ht="21.75" customHeight="1">
      <c r="A641" s="221"/>
      <c r="B641" s="223"/>
      <c r="C641" s="343"/>
      <c r="D641" s="213"/>
      <c r="E641" s="214"/>
      <c r="F641" s="215"/>
    </row>
    <row r="642" spans="1:6" ht="21.75" customHeight="1">
      <c r="A642" s="221"/>
      <c r="B642" s="223"/>
      <c r="C642" s="343"/>
      <c r="D642" s="213"/>
      <c r="E642" s="214"/>
      <c r="F642" s="215"/>
    </row>
    <row r="643" spans="1:6" ht="21.75" customHeight="1">
      <c r="A643" s="221"/>
      <c r="B643" s="223"/>
      <c r="C643" s="343"/>
      <c r="D643" s="213"/>
      <c r="E643" s="214"/>
      <c r="F643" s="215"/>
    </row>
    <row r="644" spans="1:6" ht="21.75" customHeight="1">
      <c r="A644" s="221"/>
      <c r="B644" s="223"/>
      <c r="C644" s="343"/>
      <c r="D644" s="213"/>
      <c r="E644" s="214"/>
      <c r="F644" s="215"/>
    </row>
    <row r="645" spans="1:6" ht="21.75" customHeight="1">
      <c r="A645" s="221"/>
      <c r="B645" s="223"/>
      <c r="C645" s="343"/>
      <c r="D645" s="213"/>
      <c r="E645" s="214"/>
      <c r="F645" s="215"/>
    </row>
    <row r="646" spans="1:6" ht="21.75" customHeight="1">
      <c r="A646" s="221"/>
      <c r="B646" s="223"/>
      <c r="C646" s="343"/>
      <c r="D646" s="213"/>
      <c r="E646" s="214"/>
      <c r="F646" s="215"/>
    </row>
    <row r="647" spans="1:6" ht="21.75" customHeight="1">
      <c r="A647" s="221"/>
      <c r="B647" s="223"/>
      <c r="C647" s="343"/>
      <c r="D647" s="213"/>
      <c r="E647" s="214"/>
      <c r="F647" s="215"/>
    </row>
    <row r="648" spans="1:6" ht="21.75" customHeight="1">
      <c r="A648" s="221"/>
      <c r="B648" s="223"/>
      <c r="C648" s="343"/>
      <c r="D648" s="222"/>
      <c r="E648" s="214"/>
      <c r="F648" s="215"/>
    </row>
    <row r="649" spans="1:6" ht="21.75" customHeight="1">
      <c r="A649" s="221"/>
      <c r="B649" s="223"/>
      <c r="C649" s="343"/>
      <c r="D649" s="213"/>
      <c r="E649" s="214"/>
      <c r="F649" s="215"/>
    </row>
    <row r="650" spans="1:6" ht="21.75" customHeight="1">
      <c r="A650" s="221"/>
      <c r="B650" s="223"/>
      <c r="C650" s="343"/>
      <c r="D650" s="222"/>
      <c r="E650" s="214"/>
      <c r="F650" s="215"/>
    </row>
    <row r="651" spans="1:6" ht="21.75" customHeight="1">
      <c r="A651" s="221"/>
      <c r="B651" s="223"/>
      <c r="C651" s="343"/>
      <c r="D651" s="222"/>
      <c r="E651" s="214"/>
      <c r="F651" s="215"/>
    </row>
    <row r="652" spans="1:6" ht="21.75" customHeight="1">
      <c r="A652" s="221"/>
      <c r="B652" s="223"/>
      <c r="C652" s="343"/>
      <c r="D652" s="213"/>
      <c r="E652" s="214"/>
      <c r="F652" s="215"/>
    </row>
    <row r="653" spans="1:6" ht="21.75" customHeight="1">
      <c r="A653" s="221"/>
      <c r="B653" s="223"/>
      <c r="C653" s="343"/>
      <c r="D653" s="213"/>
      <c r="E653" s="214"/>
      <c r="F653" s="215"/>
    </row>
    <row r="654" spans="1:6" ht="21.75" customHeight="1">
      <c r="A654" s="221"/>
      <c r="B654" s="223"/>
      <c r="C654" s="343"/>
      <c r="D654" s="213"/>
      <c r="E654" s="214"/>
      <c r="F654" s="215"/>
    </row>
    <row r="655" spans="1:6" ht="21.75" customHeight="1">
      <c r="A655" s="221"/>
      <c r="B655" s="223"/>
      <c r="C655" s="343"/>
      <c r="D655" s="213"/>
      <c r="E655" s="214"/>
      <c r="F655" s="215"/>
    </row>
    <row r="656" spans="1:6" ht="21.75" customHeight="1">
      <c r="A656" s="221"/>
      <c r="B656" s="223"/>
      <c r="C656" s="343"/>
      <c r="D656" s="213"/>
      <c r="E656" s="214"/>
      <c r="F656" s="215"/>
    </row>
    <row r="657" spans="1:6" ht="21.75" customHeight="1">
      <c r="A657" s="221"/>
      <c r="B657" s="223"/>
      <c r="C657" s="343"/>
      <c r="D657" s="213"/>
      <c r="E657" s="214"/>
      <c r="F657" s="215"/>
    </row>
    <row r="658" spans="1:6" ht="21.75" customHeight="1">
      <c r="A658" s="221"/>
      <c r="B658" s="223"/>
      <c r="C658" s="343"/>
      <c r="D658" s="213"/>
      <c r="E658" s="214"/>
      <c r="F658" s="215"/>
    </row>
    <row r="659" spans="1:6" ht="21.75" customHeight="1">
      <c r="A659" s="221"/>
      <c r="B659" s="223"/>
      <c r="C659" s="343"/>
      <c r="D659" s="213"/>
      <c r="E659" s="214"/>
      <c r="F659" s="215"/>
    </row>
    <row r="660" spans="1:6" ht="21.75" customHeight="1">
      <c r="A660" s="221"/>
      <c r="B660" s="223"/>
      <c r="C660" s="343"/>
      <c r="D660" s="213"/>
      <c r="E660" s="214"/>
      <c r="F660" s="215"/>
    </row>
    <row r="661" spans="1:6" ht="21.75" customHeight="1">
      <c r="A661" s="221"/>
      <c r="B661" s="223"/>
      <c r="C661" s="343"/>
      <c r="D661" s="213"/>
      <c r="E661" s="214"/>
      <c r="F661" s="215"/>
    </row>
    <row r="662" spans="1:6" ht="21.75" customHeight="1">
      <c r="A662" s="221"/>
      <c r="B662" s="223"/>
      <c r="C662" s="343"/>
      <c r="D662" s="213"/>
      <c r="E662" s="214"/>
      <c r="F662" s="215"/>
    </row>
    <row r="663" spans="1:6" ht="21.75" customHeight="1">
      <c r="A663" s="221"/>
      <c r="B663" s="223"/>
      <c r="C663" s="343"/>
      <c r="D663" s="213"/>
      <c r="E663" s="214"/>
      <c r="F663" s="215"/>
    </row>
    <row r="664" spans="1:6" ht="21.75" customHeight="1">
      <c r="A664" s="221"/>
      <c r="B664" s="223"/>
      <c r="C664" s="343"/>
      <c r="D664" s="213"/>
      <c r="E664" s="214"/>
      <c r="F664" s="215"/>
    </row>
    <row r="665" spans="1:6" ht="21.75" customHeight="1">
      <c r="A665" s="221"/>
      <c r="B665" s="223"/>
      <c r="C665" s="343"/>
      <c r="D665" s="213"/>
      <c r="E665" s="214"/>
      <c r="F665" s="215"/>
    </row>
    <row r="666" spans="1:6" ht="21.75" customHeight="1">
      <c r="A666" s="221"/>
      <c r="B666" s="223"/>
      <c r="C666" s="343"/>
      <c r="D666" s="213"/>
      <c r="E666" s="214"/>
      <c r="F666" s="215"/>
    </row>
    <row r="667" spans="1:6" ht="21.75" customHeight="1">
      <c r="A667" s="221"/>
      <c r="B667" s="223"/>
      <c r="C667" s="343"/>
      <c r="D667" s="213"/>
      <c r="E667" s="214"/>
      <c r="F667" s="215"/>
    </row>
    <row r="668" spans="1:6" ht="21.75" customHeight="1">
      <c r="A668" s="221"/>
      <c r="B668" s="223"/>
      <c r="C668" s="343"/>
      <c r="D668" s="213"/>
      <c r="E668" s="214"/>
      <c r="F668" s="215"/>
    </row>
    <row r="669" spans="1:6" ht="21.75" customHeight="1">
      <c r="A669" s="221"/>
      <c r="B669" s="223"/>
      <c r="C669" s="343"/>
      <c r="D669" s="213"/>
      <c r="E669" s="214"/>
      <c r="F669" s="215"/>
    </row>
    <row r="670" spans="1:6" ht="21.75" customHeight="1">
      <c r="A670" s="221"/>
      <c r="B670" s="223"/>
      <c r="C670" s="343"/>
      <c r="D670" s="213"/>
      <c r="E670" s="214"/>
      <c r="F670" s="215"/>
    </row>
    <row r="671" spans="1:6" ht="21.75" customHeight="1">
      <c r="A671" s="221"/>
      <c r="B671" s="223"/>
      <c r="C671" s="343"/>
      <c r="D671" s="213"/>
      <c r="E671" s="214"/>
      <c r="F671" s="215"/>
    </row>
    <row r="672" spans="1:6" ht="21.75" customHeight="1">
      <c r="A672" s="221"/>
      <c r="B672" s="223"/>
      <c r="C672" s="343"/>
      <c r="D672" s="213"/>
      <c r="E672" s="214"/>
      <c r="F672" s="215"/>
    </row>
    <row r="673" spans="1:6" ht="21.75" customHeight="1">
      <c r="A673" s="221"/>
      <c r="B673" s="223"/>
      <c r="C673" s="343"/>
      <c r="D673" s="213"/>
      <c r="E673" s="214"/>
      <c r="F673" s="215"/>
    </row>
    <row r="674" spans="1:6" ht="21.75" customHeight="1">
      <c r="A674" s="221"/>
      <c r="B674" s="223"/>
      <c r="C674" s="343"/>
      <c r="D674" s="213"/>
      <c r="E674" s="214"/>
      <c r="F674" s="215"/>
    </row>
    <row r="675" spans="1:6" ht="21.75" customHeight="1">
      <c r="A675" s="221"/>
      <c r="B675" s="223"/>
      <c r="C675" s="343"/>
      <c r="D675" s="213"/>
      <c r="E675" s="214"/>
      <c r="F675" s="215"/>
    </row>
    <row r="676" spans="1:6" ht="21.75" customHeight="1">
      <c r="A676" s="221"/>
      <c r="B676" s="223"/>
      <c r="C676" s="343"/>
      <c r="D676" s="213"/>
      <c r="E676" s="214"/>
      <c r="F676" s="215"/>
    </row>
    <row r="677" spans="1:6" ht="21.75" customHeight="1">
      <c r="A677" s="221"/>
      <c r="B677" s="223"/>
      <c r="C677" s="343"/>
      <c r="D677" s="213"/>
      <c r="E677" s="214"/>
      <c r="F677" s="215"/>
    </row>
    <row r="678" spans="1:6" ht="21.75" customHeight="1">
      <c r="A678" s="221"/>
      <c r="B678" s="223"/>
      <c r="C678" s="343"/>
      <c r="D678" s="213"/>
      <c r="E678" s="214"/>
      <c r="F678" s="215"/>
    </row>
    <row r="679" spans="1:6" ht="21.75" customHeight="1">
      <c r="A679" s="221"/>
      <c r="B679" s="223"/>
      <c r="C679" s="343"/>
      <c r="D679" s="213"/>
      <c r="E679" s="214"/>
      <c r="F679" s="215"/>
    </row>
    <row r="680" spans="1:6" ht="21.75" customHeight="1">
      <c r="A680" s="221"/>
      <c r="B680" s="223"/>
      <c r="C680" s="343"/>
      <c r="D680" s="213"/>
      <c r="E680" s="214"/>
      <c r="F680" s="215"/>
    </row>
    <row r="681" spans="1:6" ht="21.75" customHeight="1">
      <c r="A681" s="221"/>
      <c r="B681" s="223"/>
      <c r="C681" s="343"/>
      <c r="D681" s="213"/>
      <c r="E681" s="214"/>
      <c r="F681" s="215"/>
    </row>
    <row r="682" spans="1:6" ht="21.75" customHeight="1">
      <c r="A682" s="221"/>
      <c r="B682" s="223"/>
      <c r="C682" s="343"/>
      <c r="D682" s="213"/>
      <c r="E682" s="214"/>
      <c r="F682" s="215"/>
    </row>
    <row r="683" spans="1:6" ht="21.75" customHeight="1">
      <c r="A683" s="221"/>
      <c r="B683" s="223"/>
      <c r="C683" s="343"/>
      <c r="D683" s="213"/>
      <c r="E683" s="214"/>
      <c r="F683" s="215"/>
    </row>
    <row r="684" spans="1:6" ht="21.75" customHeight="1">
      <c r="A684" s="221"/>
      <c r="B684" s="223"/>
      <c r="C684" s="343"/>
      <c r="D684" s="213"/>
      <c r="E684" s="214"/>
      <c r="F684" s="215"/>
    </row>
    <row r="685" spans="1:6" ht="21.75" customHeight="1">
      <c r="A685" s="221"/>
      <c r="B685" s="223"/>
      <c r="C685" s="343"/>
      <c r="D685" s="213"/>
      <c r="E685" s="214"/>
      <c r="F685" s="215"/>
    </row>
    <row r="686" spans="1:6" ht="21.75" customHeight="1">
      <c r="A686" s="221"/>
      <c r="B686" s="223"/>
      <c r="C686" s="343"/>
      <c r="D686" s="213"/>
      <c r="E686" s="214"/>
      <c r="F686" s="215"/>
    </row>
    <row r="687" spans="1:6" ht="21.75" customHeight="1">
      <c r="A687" s="221"/>
      <c r="B687" s="223"/>
      <c r="C687" s="343"/>
      <c r="D687" s="213"/>
      <c r="E687" s="214"/>
      <c r="F687" s="215"/>
    </row>
    <row r="688" spans="1:6" ht="21.75" customHeight="1">
      <c r="A688" s="221"/>
      <c r="B688" s="223"/>
      <c r="C688" s="343"/>
      <c r="D688" s="213"/>
      <c r="E688" s="214"/>
      <c r="F688" s="215"/>
    </row>
    <row r="689" spans="1:6" ht="21.75" customHeight="1">
      <c r="A689" s="221"/>
      <c r="B689" s="223"/>
      <c r="C689" s="343"/>
      <c r="D689" s="213"/>
      <c r="E689" s="214"/>
      <c r="F689" s="215"/>
    </row>
    <row r="690" spans="1:6" ht="21.75" customHeight="1">
      <c r="A690" s="221"/>
      <c r="B690" s="223"/>
      <c r="C690" s="343"/>
      <c r="D690" s="213"/>
      <c r="E690" s="214"/>
      <c r="F690" s="215"/>
    </row>
    <row r="691" spans="1:6" ht="21.75" customHeight="1">
      <c r="A691" s="221"/>
      <c r="B691" s="223"/>
      <c r="C691" s="343"/>
      <c r="D691" s="213"/>
      <c r="E691" s="214"/>
      <c r="F691" s="215"/>
    </row>
    <row r="692" spans="1:6" ht="21.75" customHeight="1">
      <c r="A692" s="221"/>
      <c r="B692" s="223"/>
      <c r="C692" s="343"/>
      <c r="D692" s="213"/>
      <c r="E692" s="214"/>
      <c r="F692" s="215"/>
    </row>
    <row r="693" spans="1:6" ht="21.75" customHeight="1">
      <c r="A693" s="221"/>
      <c r="B693" s="223"/>
      <c r="C693" s="343"/>
      <c r="D693" s="213"/>
      <c r="E693" s="214"/>
      <c r="F693" s="215"/>
    </row>
    <row r="694" spans="1:6" ht="21.75" customHeight="1">
      <c r="A694" s="221"/>
      <c r="B694" s="223"/>
      <c r="C694" s="343"/>
      <c r="D694" s="213"/>
      <c r="E694" s="214"/>
      <c r="F694" s="215"/>
    </row>
    <row r="695" spans="1:6" ht="21.75" customHeight="1">
      <c r="A695" s="221"/>
      <c r="B695" s="223"/>
      <c r="C695" s="343"/>
      <c r="D695" s="213"/>
      <c r="E695" s="214"/>
      <c r="F695" s="215"/>
    </row>
    <row r="696" spans="1:6" ht="21.75" customHeight="1">
      <c r="A696" s="221"/>
      <c r="B696" s="223"/>
      <c r="C696" s="343"/>
      <c r="D696" s="213"/>
      <c r="E696" s="214"/>
      <c r="F696" s="215"/>
    </row>
    <row r="697" spans="1:6" ht="21.75" customHeight="1">
      <c r="A697" s="221"/>
      <c r="B697" s="223"/>
      <c r="C697" s="343"/>
      <c r="D697" s="213"/>
      <c r="E697" s="214"/>
      <c r="F697" s="215"/>
    </row>
    <row r="698" spans="1:6" ht="21.75" customHeight="1">
      <c r="A698" s="221"/>
      <c r="B698" s="223"/>
      <c r="C698" s="343"/>
      <c r="D698" s="213"/>
      <c r="E698" s="214"/>
      <c r="F698" s="215"/>
    </row>
    <row r="699" spans="1:6" ht="21.75" customHeight="1">
      <c r="A699" s="221"/>
      <c r="B699" s="223"/>
      <c r="C699" s="343"/>
      <c r="D699" s="213"/>
      <c r="E699" s="214"/>
      <c r="F699" s="215"/>
    </row>
    <row r="700" spans="1:6" ht="21.75" customHeight="1">
      <c r="A700" s="221"/>
      <c r="B700" s="223"/>
      <c r="C700" s="343"/>
      <c r="D700" s="213"/>
      <c r="E700" s="214"/>
      <c r="F700" s="215"/>
    </row>
    <row r="701" spans="1:6" ht="21.75" customHeight="1">
      <c r="A701" s="221"/>
      <c r="B701" s="223"/>
      <c r="C701" s="343"/>
      <c r="D701" s="213"/>
      <c r="E701" s="214"/>
      <c r="F701" s="215"/>
    </row>
    <row r="702" spans="1:6" ht="21.75" customHeight="1">
      <c r="A702" s="221"/>
      <c r="B702" s="223"/>
      <c r="C702" s="343"/>
      <c r="D702" s="213"/>
      <c r="E702" s="214"/>
      <c r="F702" s="215"/>
    </row>
    <row r="703" spans="1:6" ht="21.75" customHeight="1">
      <c r="A703" s="221"/>
      <c r="B703" s="223"/>
      <c r="C703" s="343"/>
      <c r="D703" s="213"/>
      <c r="E703" s="214"/>
      <c r="F703" s="215"/>
    </row>
    <row r="704" spans="1:6" ht="21.75" customHeight="1">
      <c r="A704" s="221"/>
      <c r="B704" s="223"/>
      <c r="C704" s="343"/>
      <c r="D704" s="213"/>
      <c r="E704" s="214"/>
      <c r="F704" s="215"/>
    </row>
    <row r="705" spans="1:6" ht="21.75" customHeight="1">
      <c r="A705" s="221"/>
      <c r="B705" s="223"/>
      <c r="C705" s="343"/>
      <c r="D705" s="213"/>
      <c r="E705" s="214"/>
      <c r="F705" s="215"/>
    </row>
    <row r="706" spans="1:6" ht="21.75" customHeight="1">
      <c r="A706" s="221"/>
      <c r="B706" s="223"/>
      <c r="C706" s="343"/>
      <c r="D706" s="213"/>
      <c r="E706" s="214"/>
      <c r="F706" s="215"/>
    </row>
    <row r="707" spans="1:6" ht="21.75" customHeight="1">
      <c r="A707" s="221"/>
      <c r="B707" s="223"/>
      <c r="C707" s="343"/>
      <c r="D707" s="213"/>
      <c r="E707" s="214"/>
      <c r="F707" s="215"/>
    </row>
    <row r="708" spans="1:6" ht="21.75" customHeight="1">
      <c r="A708" s="221"/>
      <c r="B708" s="223"/>
      <c r="C708" s="343"/>
      <c r="D708" s="213"/>
      <c r="E708" s="214"/>
      <c r="F708" s="215"/>
    </row>
    <row r="709" spans="1:6" ht="21.75" customHeight="1">
      <c r="A709" s="221"/>
      <c r="B709" s="223"/>
      <c r="C709" s="343"/>
      <c r="D709" s="213"/>
      <c r="E709" s="214"/>
      <c r="F709" s="215"/>
    </row>
    <row r="710" spans="1:6" ht="21.75" customHeight="1">
      <c r="A710" s="221"/>
      <c r="B710" s="223"/>
      <c r="C710" s="343"/>
      <c r="D710" s="213"/>
      <c r="E710" s="214"/>
      <c r="F710" s="215"/>
    </row>
    <row r="711" spans="1:6" ht="21.75" customHeight="1">
      <c r="A711" s="221"/>
      <c r="B711" s="223"/>
      <c r="C711" s="343"/>
      <c r="D711" s="213"/>
      <c r="E711" s="214"/>
      <c r="F711" s="215"/>
    </row>
    <row r="712" spans="1:6" ht="21.75" customHeight="1">
      <c r="A712" s="221"/>
      <c r="B712" s="223"/>
      <c r="C712" s="343"/>
      <c r="D712" s="213"/>
      <c r="E712" s="214"/>
      <c r="F712" s="215"/>
    </row>
    <row r="713" spans="1:6" ht="21.75" customHeight="1">
      <c r="A713" s="221"/>
      <c r="B713" s="223"/>
      <c r="C713" s="343"/>
      <c r="D713" s="213"/>
      <c r="E713" s="214"/>
      <c r="F713" s="215"/>
    </row>
    <row r="714" spans="1:6" ht="21.75" customHeight="1">
      <c r="A714" s="221"/>
      <c r="B714" s="223"/>
      <c r="C714" s="343"/>
      <c r="D714" s="213"/>
      <c r="E714" s="214"/>
      <c r="F714" s="215"/>
    </row>
    <row r="715" spans="1:6" ht="21.75" customHeight="1">
      <c r="A715" s="221"/>
      <c r="B715" s="223"/>
      <c r="C715" s="343"/>
      <c r="D715" s="213"/>
      <c r="E715" s="214"/>
      <c r="F715" s="215"/>
    </row>
    <row r="716" spans="1:6" ht="21.75" customHeight="1">
      <c r="A716" s="221"/>
      <c r="B716" s="223"/>
      <c r="C716" s="343"/>
      <c r="D716" s="213"/>
      <c r="E716" s="214"/>
      <c r="F716" s="215"/>
    </row>
    <row r="717" spans="1:6" ht="21.75" customHeight="1">
      <c r="A717" s="221"/>
      <c r="B717" s="223"/>
      <c r="C717" s="343"/>
      <c r="D717" s="213"/>
      <c r="E717" s="214"/>
      <c r="F717" s="215"/>
    </row>
    <row r="718" spans="1:6" ht="21.75" customHeight="1">
      <c r="A718" s="221"/>
      <c r="B718" s="223"/>
      <c r="C718" s="343"/>
      <c r="D718" s="213"/>
      <c r="E718" s="214"/>
      <c r="F718" s="215"/>
    </row>
    <row r="719" spans="1:6" ht="21.75" customHeight="1">
      <c r="A719" s="221"/>
      <c r="B719" s="223"/>
      <c r="C719" s="343"/>
      <c r="D719" s="213"/>
      <c r="E719" s="214"/>
      <c r="F719" s="215"/>
    </row>
    <row r="720" spans="1:6" ht="21.75" customHeight="1">
      <c r="A720" s="221"/>
      <c r="B720" s="223"/>
      <c r="C720" s="343"/>
      <c r="D720" s="213"/>
      <c r="E720" s="214"/>
      <c r="F720" s="215"/>
    </row>
    <row r="721" spans="1:6" ht="21.75" customHeight="1">
      <c r="A721" s="221"/>
      <c r="B721" s="223"/>
      <c r="C721" s="343"/>
      <c r="D721" s="213"/>
      <c r="E721" s="214"/>
      <c r="F721" s="215"/>
    </row>
    <row r="722" spans="1:6" ht="21.75" customHeight="1">
      <c r="A722" s="221"/>
      <c r="B722" s="223"/>
      <c r="C722" s="343"/>
      <c r="D722" s="213"/>
      <c r="E722" s="214"/>
      <c r="F722" s="215"/>
    </row>
    <row r="723" spans="1:6" ht="21.75" customHeight="1">
      <c r="A723" s="221"/>
      <c r="B723" s="223"/>
      <c r="C723" s="343"/>
      <c r="D723" s="213"/>
      <c r="E723" s="214"/>
      <c r="F723" s="215"/>
    </row>
    <row r="724" spans="1:6" ht="21.75" customHeight="1">
      <c r="A724" s="221"/>
      <c r="B724" s="223"/>
      <c r="C724" s="343"/>
      <c r="D724" s="213"/>
      <c r="E724" s="214"/>
      <c r="F724" s="215"/>
    </row>
    <row r="725" spans="1:6" ht="21.75" customHeight="1">
      <c r="A725" s="221"/>
      <c r="B725" s="223"/>
      <c r="C725" s="343"/>
      <c r="D725" s="213"/>
      <c r="E725" s="214"/>
      <c r="F725" s="215"/>
    </row>
    <row r="726" spans="1:6" ht="21.75" customHeight="1">
      <c r="A726" s="221"/>
      <c r="B726" s="223"/>
      <c r="C726" s="343"/>
      <c r="D726" s="213"/>
      <c r="E726" s="214"/>
      <c r="F726" s="215"/>
    </row>
    <row r="727" spans="1:6" ht="21.75" customHeight="1">
      <c r="A727" s="221"/>
      <c r="B727" s="223"/>
      <c r="C727" s="343"/>
      <c r="D727" s="213"/>
      <c r="E727" s="214"/>
      <c r="F727" s="215"/>
    </row>
    <row r="728" spans="1:6" ht="21.75" customHeight="1">
      <c r="A728" s="221"/>
      <c r="B728" s="223"/>
      <c r="C728" s="343"/>
      <c r="D728" s="213"/>
      <c r="E728" s="214"/>
      <c r="F728" s="215"/>
    </row>
    <row r="729" spans="1:6" ht="21.75" customHeight="1">
      <c r="A729" s="221"/>
      <c r="B729" s="223"/>
      <c r="C729" s="343"/>
      <c r="D729" s="213"/>
      <c r="E729" s="214"/>
      <c r="F729" s="215"/>
    </row>
    <row r="730" spans="1:6" ht="21.75" customHeight="1">
      <c r="A730" s="221"/>
      <c r="B730" s="223"/>
      <c r="C730" s="343"/>
      <c r="D730" s="213"/>
      <c r="E730" s="214"/>
      <c r="F730" s="215"/>
    </row>
    <row r="731" spans="1:6" ht="21.75" customHeight="1">
      <c r="A731" s="221"/>
      <c r="B731" s="223"/>
      <c r="C731" s="343"/>
      <c r="D731" s="213"/>
      <c r="E731" s="214"/>
      <c r="F731" s="215"/>
    </row>
    <row r="732" spans="1:6" ht="21.75" customHeight="1">
      <c r="A732" s="221"/>
      <c r="B732" s="223"/>
      <c r="C732" s="343"/>
      <c r="D732" s="213"/>
      <c r="E732" s="214"/>
      <c r="F732" s="215"/>
    </row>
    <row r="733" spans="1:6" ht="21.75" customHeight="1">
      <c r="A733" s="221"/>
      <c r="B733" s="223"/>
      <c r="C733" s="343"/>
      <c r="D733" s="213"/>
      <c r="E733" s="214"/>
      <c r="F733" s="215"/>
    </row>
    <row r="734" spans="1:6" ht="21.75" customHeight="1">
      <c r="A734" s="221"/>
      <c r="B734" s="223"/>
      <c r="C734" s="343"/>
      <c r="D734" s="213"/>
      <c r="E734" s="214"/>
      <c r="F734" s="215"/>
    </row>
    <row r="735" spans="1:6" ht="21.75" customHeight="1">
      <c r="A735" s="221"/>
      <c r="B735" s="223"/>
      <c r="C735" s="343"/>
      <c r="D735" s="213"/>
      <c r="E735" s="214"/>
      <c r="F735" s="215"/>
    </row>
    <row r="736" spans="1:6" ht="21.75" customHeight="1">
      <c r="A736" s="221"/>
      <c r="B736" s="223"/>
      <c r="C736" s="343"/>
      <c r="D736" s="213"/>
      <c r="E736" s="214"/>
      <c r="F736" s="215"/>
    </row>
    <row r="737" spans="1:6" ht="21.75" customHeight="1">
      <c r="A737" s="221"/>
      <c r="B737" s="223"/>
      <c r="C737" s="343"/>
      <c r="D737" s="213"/>
      <c r="E737" s="214"/>
      <c r="F737" s="215"/>
    </row>
    <row r="738" spans="1:6" ht="21.75" customHeight="1">
      <c r="A738" s="221"/>
      <c r="B738" s="223"/>
      <c r="C738" s="343"/>
      <c r="D738" s="213"/>
      <c r="E738" s="214"/>
      <c r="F738" s="215"/>
    </row>
    <row r="739" spans="1:6" ht="21.75" customHeight="1">
      <c r="A739" s="221"/>
      <c r="B739" s="223"/>
      <c r="C739" s="343"/>
      <c r="D739" s="213"/>
      <c r="E739" s="214"/>
      <c r="F739" s="215"/>
    </row>
    <row r="740" spans="1:6" ht="21.75" customHeight="1">
      <c r="A740" s="221"/>
      <c r="B740" s="223"/>
      <c r="C740" s="343"/>
      <c r="D740" s="213"/>
      <c r="E740" s="214"/>
      <c r="F740" s="215"/>
    </row>
    <row r="741" spans="1:6" ht="21.75" customHeight="1">
      <c r="A741" s="221"/>
      <c r="B741" s="223"/>
      <c r="C741" s="343"/>
      <c r="D741" s="213"/>
      <c r="E741" s="214"/>
      <c r="F741" s="215"/>
    </row>
    <row r="742" spans="1:6" ht="21.75" customHeight="1">
      <c r="A742" s="221"/>
      <c r="B742" s="223"/>
      <c r="C742" s="343"/>
      <c r="D742" s="213"/>
      <c r="E742" s="214"/>
      <c r="F742" s="215"/>
    </row>
    <row r="743" spans="1:6" ht="21.75" customHeight="1">
      <c r="A743" s="221"/>
      <c r="B743" s="223"/>
      <c r="C743" s="343"/>
      <c r="D743" s="213"/>
      <c r="E743" s="214"/>
      <c r="F743" s="215"/>
    </row>
    <row r="744" spans="1:6" ht="21.75" customHeight="1">
      <c r="A744" s="221"/>
      <c r="B744" s="223"/>
      <c r="C744" s="343"/>
      <c r="D744" s="213"/>
      <c r="E744" s="214"/>
      <c r="F744" s="215"/>
    </row>
    <row r="745" spans="1:6" ht="21.75" customHeight="1">
      <c r="A745" s="221"/>
      <c r="B745" s="223"/>
      <c r="C745" s="343"/>
      <c r="D745" s="213"/>
      <c r="E745" s="214"/>
      <c r="F745" s="215"/>
    </row>
    <row r="746" spans="1:6" ht="21.75" customHeight="1">
      <c r="A746" s="221"/>
      <c r="B746" s="223"/>
      <c r="C746" s="343"/>
      <c r="D746" s="213"/>
      <c r="E746" s="214"/>
      <c r="F746" s="215"/>
    </row>
    <row r="747" spans="1:6" ht="21.75" customHeight="1">
      <c r="A747" s="221"/>
      <c r="B747" s="223"/>
      <c r="C747" s="343"/>
      <c r="D747" s="213"/>
      <c r="E747" s="214"/>
      <c r="F747" s="215"/>
    </row>
    <row r="748" spans="1:6" ht="21.75" customHeight="1">
      <c r="A748" s="221"/>
      <c r="B748" s="223"/>
      <c r="C748" s="343"/>
      <c r="D748" s="213"/>
      <c r="E748" s="214"/>
      <c r="F748" s="215"/>
    </row>
    <row r="749" spans="1:6" ht="21.75" customHeight="1">
      <c r="A749" s="221"/>
      <c r="B749" s="223"/>
      <c r="C749" s="343"/>
      <c r="D749" s="213"/>
      <c r="E749" s="214"/>
      <c r="F749" s="215"/>
    </row>
    <row r="750" spans="1:6" ht="21.75" customHeight="1">
      <c r="A750" s="221"/>
      <c r="B750" s="223"/>
      <c r="C750" s="343"/>
      <c r="D750" s="213"/>
      <c r="E750" s="214"/>
      <c r="F750" s="215"/>
    </row>
    <row r="751" spans="1:6" ht="21.75" customHeight="1">
      <c r="A751" s="221"/>
      <c r="B751" s="223"/>
      <c r="C751" s="343"/>
      <c r="D751" s="213"/>
      <c r="E751" s="214"/>
      <c r="F751" s="215"/>
    </row>
    <row r="752" spans="1:6" ht="21.75" customHeight="1">
      <c r="A752" s="221"/>
      <c r="B752" s="223"/>
      <c r="C752" s="343"/>
      <c r="D752" s="213"/>
      <c r="E752" s="214"/>
      <c r="F752" s="215"/>
    </row>
    <row r="753" spans="1:6" ht="21.75" customHeight="1">
      <c r="A753" s="221"/>
      <c r="B753" s="223"/>
      <c r="C753" s="343"/>
      <c r="D753" s="213"/>
      <c r="E753" s="214"/>
      <c r="F753" s="215"/>
    </row>
    <row r="754" spans="1:6" ht="21.75" customHeight="1">
      <c r="A754" s="221"/>
      <c r="B754" s="223"/>
      <c r="C754" s="343"/>
      <c r="D754" s="213"/>
      <c r="E754" s="214"/>
      <c r="F754" s="215"/>
    </row>
    <row r="755" spans="1:6" ht="21.75" customHeight="1">
      <c r="A755" s="221"/>
      <c r="B755" s="223"/>
      <c r="C755" s="343"/>
      <c r="D755" s="213"/>
      <c r="E755" s="214"/>
      <c r="F755" s="215"/>
    </row>
    <row r="756" spans="1:6" ht="21.75" customHeight="1">
      <c r="A756" s="221"/>
      <c r="B756" s="223"/>
      <c r="C756" s="343"/>
      <c r="D756" s="213"/>
      <c r="E756" s="214"/>
      <c r="F756" s="215"/>
    </row>
    <row r="757" spans="1:6" ht="21.75" customHeight="1">
      <c r="A757" s="221"/>
      <c r="B757" s="223"/>
      <c r="C757" s="343"/>
      <c r="D757" s="213"/>
      <c r="E757" s="214"/>
      <c r="F757" s="215"/>
    </row>
    <row r="758" spans="1:6" ht="21.75" customHeight="1">
      <c r="A758" s="221"/>
      <c r="B758" s="223"/>
      <c r="C758" s="343"/>
      <c r="D758" s="213"/>
      <c r="E758" s="214"/>
      <c r="F758" s="215"/>
    </row>
    <row r="759" spans="1:6" ht="21.75" customHeight="1">
      <c r="A759" s="221"/>
      <c r="B759" s="223"/>
      <c r="C759" s="343"/>
      <c r="D759" s="213"/>
      <c r="E759" s="214"/>
      <c r="F759" s="215"/>
    </row>
    <row r="760" spans="1:6" ht="21.75" customHeight="1">
      <c r="A760" s="221"/>
      <c r="B760" s="223"/>
      <c r="C760" s="343"/>
      <c r="D760" s="213"/>
      <c r="E760" s="214"/>
      <c r="F760" s="215"/>
    </row>
    <row r="761" spans="1:6" ht="21.75" customHeight="1">
      <c r="A761" s="221"/>
      <c r="B761" s="223"/>
      <c r="C761" s="343"/>
      <c r="D761" s="213"/>
      <c r="E761" s="214"/>
      <c r="F761" s="215"/>
    </row>
    <row r="762" spans="1:6" ht="21.75" customHeight="1">
      <c r="A762" s="221"/>
      <c r="B762" s="223"/>
      <c r="C762" s="343"/>
      <c r="D762" s="213"/>
      <c r="E762" s="214"/>
      <c r="F762" s="215"/>
    </row>
    <row r="763" spans="1:6" ht="21.75" customHeight="1">
      <c r="A763" s="221"/>
      <c r="B763" s="223"/>
      <c r="C763" s="343"/>
      <c r="D763" s="213"/>
      <c r="E763" s="214"/>
      <c r="F763" s="215"/>
    </row>
    <row r="764" spans="1:6" ht="21.75" customHeight="1">
      <c r="A764" s="221"/>
      <c r="B764" s="223"/>
      <c r="C764" s="343"/>
      <c r="D764" s="213"/>
      <c r="E764" s="214"/>
      <c r="F764" s="215"/>
    </row>
    <row r="765" spans="1:6" ht="21.75" customHeight="1">
      <c r="A765" s="221"/>
      <c r="B765" s="223"/>
      <c r="C765" s="343"/>
      <c r="D765" s="213"/>
      <c r="E765" s="214"/>
      <c r="F765" s="215"/>
    </row>
    <row r="766" spans="1:6" ht="21.75" customHeight="1">
      <c r="A766" s="221"/>
      <c r="B766" s="223"/>
      <c r="C766" s="343"/>
      <c r="D766" s="213"/>
      <c r="E766" s="214"/>
      <c r="F766" s="215"/>
    </row>
    <row r="767" spans="1:6" ht="21.75" customHeight="1">
      <c r="A767" s="221"/>
      <c r="B767" s="223"/>
      <c r="C767" s="343"/>
      <c r="D767" s="213"/>
      <c r="E767" s="214"/>
      <c r="F767" s="215"/>
    </row>
    <row r="768" spans="1:6" ht="21.75" customHeight="1">
      <c r="A768" s="221"/>
      <c r="B768" s="223"/>
      <c r="C768" s="343"/>
      <c r="D768" s="213"/>
      <c r="E768" s="214"/>
      <c r="F768" s="215"/>
    </row>
    <row r="769" spans="1:6" ht="21.75" customHeight="1">
      <c r="A769" s="221"/>
      <c r="B769" s="223"/>
      <c r="C769" s="343"/>
      <c r="D769" s="213"/>
      <c r="E769" s="214"/>
      <c r="F769" s="215"/>
    </row>
    <row r="770" spans="1:6" ht="21.75" customHeight="1">
      <c r="A770" s="221"/>
      <c r="B770" s="223"/>
      <c r="C770" s="343"/>
      <c r="D770" s="213"/>
      <c r="E770" s="214"/>
      <c r="F770" s="215"/>
    </row>
    <row r="771" spans="1:6" ht="21.75" customHeight="1">
      <c r="A771" s="221"/>
      <c r="B771" s="223"/>
      <c r="C771" s="343"/>
      <c r="D771" s="213"/>
      <c r="E771" s="214"/>
      <c r="F771" s="215"/>
    </row>
    <row r="772" spans="1:6" ht="21.75" customHeight="1">
      <c r="A772" s="221"/>
      <c r="B772" s="223"/>
      <c r="C772" s="343"/>
      <c r="D772" s="213"/>
      <c r="E772" s="214"/>
      <c r="F772" s="215"/>
    </row>
    <row r="773" spans="1:6" ht="21.75" customHeight="1">
      <c r="A773" s="225"/>
      <c r="B773" s="223"/>
      <c r="C773" s="343"/>
      <c r="D773" s="213"/>
      <c r="E773" s="214"/>
      <c r="F773" s="215"/>
    </row>
    <row r="774" spans="1:6" ht="21.75" customHeight="1">
      <c r="A774" s="225"/>
      <c r="B774" s="223"/>
      <c r="C774" s="343"/>
      <c r="D774" s="213"/>
      <c r="E774" s="214"/>
      <c r="F774" s="215"/>
    </row>
    <row r="775" spans="1:6" ht="21.75" customHeight="1">
      <c r="A775" s="225"/>
      <c r="B775" s="223"/>
      <c r="C775" s="343"/>
      <c r="D775" s="213"/>
      <c r="E775" s="214"/>
      <c r="F775" s="215"/>
    </row>
    <row r="776" spans="1:6" ht="21.75" customHeight="1">
      <c r="A776" s="225"/>
      <c r="B776" s="223"/>
      <c r="C776" s="343"/>
      <c r="D776" s="213"/>
      <c r="E776" s="214"/>
      <c r="F776" s="215"/>
    </row>
    <row r="777" spans="1:6" ht="21.75" customHeight="1">
      <c r="A777" s="225"/>
      <c r="B777" s="223"/>
      <c r="C777" s="343"/>
      <c r="D777" s="213"/>
      <c r="E777" s="214"/>
      <c r="F777" s="215"/>
    </row>
    <row r="778" spans="1:6" ht="21.75" customHeight="1">
      <c r="A778" s="225"/>
      <c r="B778" s="223"/>
      <c r="C778" s="343"/>
      <c r="D778" s="213"/>
      <c r="E778" s="214"/>
      <c r="F778" s="215"/>
    </row>
    <row r="779" spans="1:6" ht="21.75" customHeight="1">
      <c r="A779" s="221"/>
      <c r="B779" s="223"/>
      <c r="C779" s="343"/>
      <c r="D779" s="213"/>
      <c r="E779" s="214"/>
      <c r="F779" s="215"/>
    </row>
    <row r="780" spans="1:6" ht="21.75" customHeight="1">
      <c r="A780" s="221"/>
      <c r="B780" s="223"/>
      <c r="C780" s="343"/>
      <c r="D780" s="213"/>
      <c r="E780" s="214"/>
      <c r="F780" s="215"/>
    </row>
    <row r="781" spans="1:6" ht="21.75" customHeight="1">
      <c r="A781" s="221"/>
      <c r="B781" s="223"/>
      <c r="C781" s="343"/>
      <c r="D781" s="213"/>
      <c r="E781" s="214"/>
      <c r="F781" s="215"/>
    </row>
    <row r="782" spans="1:6" ht="21.75" customHeight="1">
      <c r="A782" s="221"/>
      <c r="B782" s="223"/>
      <c r="C782" s="343"/>
      <c r="D782" s="213"/>
      <c r="E782" s="214"/>
      <c r="F782" s="215"/>
    </row>
    <row r="783" spans="1:6" ht="21.75" customHeight="1">
      <c r="A783" s="221"/>
      <c r="B783" s="223"/>
      <c r="C783" s="343"/>
      <c r="D783" s="213"/>
      <c r="E783" s="214"/>
      <c r="F783" s="215"/>
    </row>
    <row r="784" spans="1:6" ht="21.75" customHeight="1">
      <c r="A784" s="221"/>
      <c r="B784" s="223"/>
      <c r="C784" s="343"/>
      <c r="D784" s="213"/>
      <c r="E784" s="214"/>
      <c r="F784" s="215"/>
    </row>
    <row r="785" spans="1:6" ht="21.75" customHeight="1">
      <c r="A785" s="221"/>
      <c r="B785" s="223"/>
      <c r="C785" s="343"/>
      <c r="D785" s="213"/>
      <c r="E785" s="214"/>
      <c r="F785" s="215"/>
    </row>
    <row r="786" spans="1:6" ht="21.75" customHeight="1">
      <c r="A786" s="221"/>
      <c r="B786" s="223"/>
      <c r="C786" s="343"/>
      <c r="D786" s="213"/>
      <c r="E786" s="214"/>
      <c r="F786" s="215"/>
    </row>
    <row r="787" spans="1:6" ht="21.75" customHeight="1">
      <c r="A787" s="221"/>
      <c r="B787" s="223"/>
      <c r="C787" s="343"/>
      <c r="D787" s="213"/>
      <c r="E787" s="214"/>
      <c r="F787" s="215"/>
    </row>
    <row r="788" spans="1:6" ht="21.75" customHeight="1">
      <c r="A788" s="221"/>
      <c r="B788" s="223"/>
      <c r="C788" s="343"/>
      <c r="D788" s="213"/>
      <c r="E788" s="214"/>
      <c r="F788" s="215"/>
    </row>
    <row r="789" spans="1:6" ht="21.75" customHeight="1">
      <c r="A789" s="221"/>
      <c r="B789" s="223"/>
      <c r="C789" s="343"/>
      <c r="D789" s="213"/>
      <c r="E789" s="214"/>
      <c r="F789" s="215"/>
    </row>
    <row r="790" spans="1:6" ht="21.75" customHeight="1">
      <c r="A790" s="221"/>
      <c r="B790" s="223"/>
      <c r="C790" s="343"/>
      <c r="D790" s="213"/>
      <c r="E790" s="214"/>
      <c r="F790" s="215"/>
    </row>
    <row r="791" spans="1:6" ht="21.75" customHeight="1">
      <c r="A791" s="221"/>
      <c r="B791" s="223"/>
      <c r="C791" s="343"/>
      <c r="D791" s="213"/>
      <c r="E791" s="214"/>
      <c r="F791" s="215"/>
    </row>
    <row r="792" spans="1:6" ht="21.75" customHeight="1">
      <c r="A792" s="221"/>
      <c r="B792" s="223"/>
      <c r="C792" s="343"/>
      <c r="D792" s="213"/>
      <c r="E792" s="214"/>
      <c r="F792" s="215"/>
    </row>
    <row r="793" spans="1:6" ht="21.75" customHeight="1">
      <c r="A793" s="221"/>
      <c r="B793" s="223"/>
      <c r="C793" s="343"/>
      <c r="D793" s="213"/>
      <c r="E793" s="214"/>
      <c r="F793" s="215"/>
    </row>
    <row r="794" spans="1:6" ht="21.75" customHeight="1">
      <c r="A794" s="221"/>
      <c r="B794" s="223"/>
      <c r="C794" s="343"/>
      <c r="D794" s="213"/>
      <c r="E794" s="214"/>
      <c r="F794" s="215"/>
    </row>
    <row r="795" spans="1:6" ht="21.75" customHeight="1">
      <c r="A795" s="221"/>
      <c r="B795" s="223"/>
      <c r="C795" s="343"/>
      <c r="D795" s="213"/>
      <c r="E795" s="214"/>
      <c r="F795" s="215"/>
    </row>
    <row r="796" spans="1:6" ht="21.75" customHeight="1">
      <c r="A796" s="221"/>
      <c r="B796" s="223"/>
      <c r="C796" s="343"/>
      <c r="D796" s="213"/>
      <c r="E796" s="214"/>
      <c r="F796" s="215"/>
    </row>
    <row r="797" spans="1:6" ht="21.75" customHeight="1">
      <c r="A797" s="221"/>
      <c r="B797" s="223"/>
      <c r="C797" s="343"/>
      <c r="D797" s="213"/>
      <c r="E797" s="214"/>
      <c r="F797" s="215"/>
    </row>
    <row r="798" spans="1:6" ht="21.75" customHeight="1">
      <c r="A798" s="221"/>
      <c r="B798" s="223"/>
      <c r="C798" s="343"/>
      <c r="D798" s="213"/>
      <c r="E798" s="214"/>
      <c r="F798" s="215"/>
    </row>
    <row r="799" spans="1:6" ht="21.75" customHeight="1">
      <c r="A799" s="221"/>
      <c r="B799" s="223"/>
      <c r="C799" s="343"/>
      <c r="D799" s="213"/>
      <c r="E799" s="214"/>
      <c r="F799" s="215"/>
    </row>
    <row r="800" spans="1:6" ht="21.75" customHeight="1">
      <c r="A800" s="221"/>
      <c r="B800" s="223"/>
      <c r="C800" s="343"/>
      <c r="D800" s="213"/>
      <c r="E800" s="214"/>
      <c r="F800" s="215"/>
    </row>
    <row r="801" spans="1:6" ht="21.75" customHeight="1">
      <c r="A801" s="221"/>
      <c r="B801" s="223"/>
      <c r="C801" s="343"/>
      <c r="D801" s="213"/>
      <c r="E801" s="214"/>
      <c r="F801" s="215"/>
    </row>
    <row r="802" spans="1:6" ht="21.75" customHeight="1">
      <c r="A802" s="221"/>
      <c r="B802" s="223"/>
      <c r="C802" s="343"/>
      <c r="D802" s="213"/>
      <c r="E802" s="214"/>
      <c r="F802" s="215"/>
    </row>
    <row r="803" spans="1:6" ht="21.75" customHeight="1">
      <c r="A803" s="221"/>
      <c r="B803" s="223"/>
      <c r="C803" s="343"/>
      <c r="D803" s="213"/>
      <c r="E803" s="214"/>
      <c r="F803" s="215"/>
    </row>
    <row r="804" spans="1:6" ht="21.75" customHeight="1">
      <c r="A804" s="221"/>
      <c r="B804" s="223"/>
      <c r="C804" s="343"/>
      <c r="D804" s="213"/>
      <c r="E804" s="214"/>
      <c r="F804" s="215"/>
    </row>
    <row r="805" spans="1:6" ht="21.75" customHeight="1">
      <c r="A805" s="221"/>
      <c r="B805" s="223"/>
      <c r="C805" s="343"/>
      <c r="D805" s="213"/>
      <c r="E805" s="214"/>
      <c r="F805" s="215"/>
    </row>
    <row r="806" spans="1:6" ht="21.75" customHeight="1">
      <c r="A806" s="221"/>
      <c r="B806" s="223"/>
      <c r="C806" s="343"/>
      <c r="D806" s="213"/>
      <c r="E806" s="214"/>
      <c r="F806" s="215"/>
    </row>
    <row r="807" spans="1:6" ht="21.75" customHeight="1">
      <c r="A807" s="221"/>
      <c r="B807" s="223"/>
      <c r="C807" s="343"/>
      <c r="D807" s="213"/>
      <c r="E807" s="214"/>
      <c r="F807" s="215"/>
    </row>
    <row r="808" spans="1:6" ht="21.75" customHeight="1">
      <c r="A808" s="221"/>
      <c r="B808" s="223"/>
      <c r="C808" s="343"/>
      <c r="D808" s="213"/>
      <c r="E808" s="214"/>
      <c r="F808" s="215"/>
    </row>
    <row r="809" spans="1:6" ht="21.75" customHeight="1">
      <c r="A809" s="221"/>
      <c r="B809" s="223"/>
      <c r="C809" s="343"/>
      <c r="D809" s="213"/>
      <c r="E809" s="214"/>
      <c r="F809" s="215"/>
    </row>
    <row r="810" spans="1:6" ht="21.75" customHeight="1">
      <c r="A810" s="221"/>
      <c r="B810" s="223"/>
      <c r="C810" s="343"/>
      <c r="D810" s="213"/>
      <c r="E810" s="214"/>
      <c r="F810" s="215"/>
    </row>
    <row r="811" spans="1:6" ht="21.75" customHeight="1">
      <c r="A811" s="221"/>
      <c r="B811" s="223"/>
      <c r="C811" s="343"/>
      <c r="D811" s="213"/>
      <c r="E811" s="214"/>
      <c r="F811" s="215"/>
    </row>
    <row r="812" spans="1:6" ht="21.75" customHeight="1">
      <c r="A812" s="221"/>
      <c r="B812" s="223"/>
      <c r="C812" s="343"/>
      <c r="D812" s="213"/>
      <c r="E812" s="214"/>
      <c r="F812" s="215"/>
    </row>
    <row r="813" spans="1:6" ht="21.75" customHeight="1">
      <c r="A813" s="221"/>
      <c r="B813" s="223"/>
      <c r="C813" s="343"/>
      <c r="D813" s="213"/>
      <c r="E813" s="214"/>
      <c r="F813" s="215"/>
    </row>
    <row r="814" spans="1:6" ht="21.75" customHeight="1">
      <c r="A814" s="221"/>
      <c r="B814" s="223"/>
      <c r="C814" s="343"/>
      <c r="D814" s="213"/>
      <c r="E814" s="214"/>
      <c r="F814" s="215"/>
    </row>
    <row r="815" spans="1:6" ht="21.75" customHeight="1">
      <c r="A815" s="221"/>
      <c r="B815" s="223"/>
      <c r="C815" s="343"/>
      <c r="D815" s="213"/>
      <c r="E815" s="214"/>
      <c r="F815" s="215"/>
    </row>
    <row r="816" spans="1:6" ht="21.75" customHeight="1">
      <c r="A816" s="221"/>
      <c r="B816" s="223"/>
      <c r="C816" s="343"/>
      <c r="D816" s="213"/>
      <c r="E816" s="214"/>
    </row>
    <row r="817" spans="1:6" ht="21.75" customHeight="1">
      <c r="A817" s="221"/>
      <c r="B817" s="223"/>
      <c r="C817" s="343"/>
      <c r="D817" s="213"/>
      <c r="E817" s="214"/>
      <c r="F817" s="215"/>
    </row>
    <row r="818" spans="1:6" ht="21.75" customHeight="1">
      <c r="A818" s="221"/>
      <c r="B818" s="223"/>
      <c r="C818" s="343"/>
      <c r="D818" s="213"/>
      <c r="E818" s="214"/>
      <c r="F818" s="215"/>
    </row>
    <row r="819" spans="1:6" ht="21.75" customHeight="1">
      <c r="A819" s="221"/>
      <c r="B819" s="223"/>
      <c r="C819" s="343"/>
      <c r="D819" s="213"/>
      <c r="E819" s="214"/>
      <c r="F819" s="215"/>
    </row>
    <row r="820" spans="1:6" ht="21.75" customHeight="1">
      <c r="A820" s="221"/>
      <c r="B820" s="223"/>
      <c r="C820" s="343"/>
      <c r="D820" s="213"/>
      <c r="E820" s="214"/>
      <c r="F820" s="215"/>
    </row>
    <row r="821" spans="1:6" ht="21.75" customHeight="1">
      <c r="A821" s="221"/>
      <c r="B821" s="223"/>
      <c r="C821" s="343"/>
      <c r="D821" s="213"/>
      <c r="E821" s="214"/>
      <c r="F821" s="215"/>
    </row>
    <row r="822" spans="1:6" ht="21.75" customHeight="1">
      <c r="A822" s="221"/>
      <c r="B822" s="223"/>
      <c r="C822" s="343"/>
      <c r="D822" s="213"/>
      <c r="E822" s="214"/>
      <c r="F822" s="215"/>
    </row>
    <row r="823" spans="1:6" ht="21.75" customHeight="1">
      <c r="A823" s="221"/>
      <c r="B823" s="223"/>
      <c r="C823" s="343"/>
      <c r="D823" s="213"/>
      <c r="E823" s="214"/>
      <c r="F823" s="215"/>
    </row>
    <row r="824" spans="1:6" ht="21.75" customHeight="1">
      <c r="A824" s="221"/>
      <c r="B824" s="223"/>
      <c r="C824" s="343"/>
      <c r="D824" s="213"/>
      <c r="E824" s="214"/>
      <c r="F824" s="215"/>
    </row>
    <row r="825" spans="1:6" ht="21.75" customHeight="1">
      <c r="A825" s="221"/>
      <c r="B825" s="223"/>
      <c r="C825" s="343"/>
      <c r="D825" s="213"/>
      <c r="E825" s="214"/>
      <c r="F825" s="215"/>
    </row>
    <row r="826" spans="1:6" ht="21.75" customHeight="1">
      <c r="A826" s="221"/>
      <c r="B826" s="223"/>
      <c r="C826" s="343"/>
      <c r="D826" s="213"/>
      <c r="E826" s="214"/>
      <c r="F826" s="215"/>
    </row>
    <row r="827" spans="1:6" ht="21.75" customHeight="1">
      <c r="A827" s="221"/>
      <c r="B827" s="223"/>
      <c r="C827" s="343"/>
      <c r="D827" s="213"/>
      <c r="E827" s="214"/>
      <c r="F827" s="215"/>
    </row>
    <row r="828" spans="1:6" ht="21.75" customHeight="1">
      <c r="A828" s="221"/>
      <c r="B828" s="223"/>
      <c r="C828" s="343"/>
      <c r="D828" s="213"/>
      <c r="E828" s="214"/>
      <c r="F828" s="215"/>
    </row>
    <row r="829" spans="1:6" ht="21.75" customHeight="1">
      <c r="A829" s="221"/>
      <c r="B829" s="223"/>
      <c r="C829" s="343"/>
      <c r="D829" s="213"/>
      <c r="E829" s="214"/>
      <c r="F829" s="215"/>
    </row>
    <row r="830" spans="1:6" ht="21.75" customHeight="1">
      <c r="A830" s="221"/>
      <c r="B830" s="223"/>
      <c r="C830" s="343"/>
      <c r="D830" s="213"/>
      <c r="E830" s="214"/>
      <c r="F830" s="215"/>
    </row>
    <row r="831" spans="1:6" ht="21.75" customHeight="1">
      <c r="A831" s="221"/>
      <c r="B831" s="223"/>
      <c r="C831" s="343"/>
      <c r="D831" s="213"/>
      <c r="E831" s="214"/>
      <c r="F831" s="215"/>
    </row>
    <row r="832" spans="1:6" ht="21.75" customHeight="1">
      <c r="A832" s="221"/>
      <c r="B832" s="223"/>
      <c r="C832" s="343"/>
      <c r="D832" s="213"/>
      <c r="E832" s="214"/>
      <c r="F832" s="215"/>
    </row>
    <row r="833" spans="1:6" ht="21.75" customHeight="1">
      <c r="A833" s="221"/>
      <c r="B833" s="223"/>
      <c r="C833" s="343"/>
      <c r="D833" s="213"/>
      <c r="E833" s="214"/>
      <c r="F833" s="215"/>
    </row>
    <row r="834" spans="1:6" ht="21.75" customHeight="1">
      <c r="A834" s="221"/>
      <c r="B834" s="223"/>
      <c r="C834" s="343"/>
      <c r="D834" s="213"/>
      <c r="E834" s="214"/>
      <c r="F834" s="215"/>
    </row>
    <row r="835" spans="1:6" ht="21.75" customHeight="1">
      <c r="A835" s="221"/>
      <c r="B835" s="223"/>
      <c r="C835" s="343"/>
      <c r="D835" s="213"/>
      <c r="E835" s="214"/>
      <c r="F835" s="215"/>
    </row>
    <row r="836" spans="1:6" ht="21.75" customHeight="1">
      <c r="A836" s="221"/>
      <c r="B836" s="223"/>
      <c r="C836" s="343"/>
      <c r="D836" s="213"/>
      <c r="E836" s="214"/>
      <c r="F836" s="215"/>
    </row>
    <row r="837" spans="1:6" ht="21.75" customHeight="1">
      <c r="A837" s="221"/>
      <c r="B837" s="223"/>
      <c r="C837" s="343"/>
      <c r="D837" s="213"/>
      <c r="E837" s="214"/>
      <c r="F837" s="215"/>
    </row>
    <row r="838" spans="1:6" ht="21.75" customHeight="1">
      <c r="A838" s="221"/>
      <c r="B838" s="223"/>
      <c r="C838" s="343"/>
      <c r="D838" s="213"/>
      <c r="E838" s="214"/>
      <c r="F838" s="215"/>
    </row>
    <row r="839" spans="1:6" ht="21.75" customHeight="1">
      <c r="A839" s="221"/>
      <c r="B839" s="223"/>
      <c r="C839" s="343"/>
      <c r="D839" s="213"/>
      <c r="E839" s="214"/>
      <c r="F839" s="215"/>
    </row>
    <row r="840" spans="1:6" ht="21.75" customHeight="1">
      <c r="A840" s="221"/>
      <c r="B840" s="223"/>
      <c r="C840" s="343"/>
      <c r="D840" s="213"/>
      <c r="E840" s="214"/>
      <c r="F840" s="215"/>
    </row>
    <row r="841" spans="1:6" ht="21.75" customHeight="1">
      <c r="A841" s="221"/>
      <c r="B841" s="223"/>
      <c r="C841" s="343"/>
      <c r="D841" s="213"/>
      <c r="E841" s="214"/>
      <c r="F841" s="215"/>
    </row>
    <row r="842" spans="1:6" ht="21.75" customHeight="1">
      <c r="A842" s="221"/>
      <c r="B842" s="223"/>
      <c r="C842" s="343"/>
      <c r="D842" s="213"/>
      <c r="E842" s="214"/>
      <c r="F842" s="215"/>
    </row>
    <row r="843" spans="1:6" ht="21.75" customHeight="1">
      <c r="A843" s="221"/>
      <c r="B843" s="223"/>
      <c r="C843" s="343"/>
      <c r="D843" s="213"/>
      <c r="E843" s="214"/>
      <c r="F843" s="215"/>
    </row>
    <row r="844" spans="1:6" ht="21.75" customHeight="1">
      <c r="A844" s="221"/>
      <c r="B844" s="223"/>
      <c r="C844" s="343"/>
      <c r="D844" s="213"/>
      <c r="E844" s="214"/>
      <c r="F844" s="215"/>
    </row>
    <row r="845" spans="1:6" ht="21.75" customHeight="1">
      <c r="A845" s="221"/>
      <c r="B845" s="223"/>
      <c r="C845" s="343"/>
      <c r="D845" s="213"/>
      <c r="E845" s="214"/>
      <c r="F845" s="215"/>
    </row>
    <row r="846" spans="1:6" ht="21.75" customHeight="1">
      <c r="A846" s="221"/>
      <c r="B846" s="223"/>
      <c r="C846" s="343"/>
      <c r="D846" s="213"/>
      <c r="E846" s="214"/>
      <c r="F846" s="215"/>
    </row>
    <row r="847" spans="1:6" ht="21.75" customHeight="1">
      <c r="A847" s="221"/>
      <c r="B847" s="223"/>
      <c r="C847" s="343"/>
      <c r="D847" s="213"/>
      <c r="E847" s="214"/>
      <c r="F847" s="215"/>
    </row>
    <row r="848" spans="1:6" ht="21.75" customHeight="1">
      <c r="A848" s="221"/>
      <c r="B848" s="223"/>
      <c r="C848" s="343"/>
      <c r="D848" s="213"/>
      <c r="E848" s="214"/>
      <c r="F848" s="215"/>
    </row>
    <row r="849" spans="1:6" ht="21.75" customHeight="1">
      <c r="A849" s="221"/>
      <c r="B849" s="223"/>
      <c r="C849" s="343"/>
      <c r="D849" s="213"/>
      <c r="E849" s="214"/>
      <c r="F849" s="215"/>
    </row>
    <row r="850" spans="1:6" ht="21.75" customHeight="1">
      <c r="A850" s="221"/>
      <c r="B850" s="223"/>
      <c r="C850" s="343"/>
      <c r="D850" s="213"/>
      <c r="E850" s="214"/>
      <c r="F850" s="215"/>
    </row>
    <row r="851" spans="1:6" ht="21.75" customHeight="1">
      <c r="A851" s="221"/>
      <c r="B851" s="223"/>
      <c r="C851" s="343"/>
      <c r="D851" s="213"/>
      <c r="E851" s="214"/>
      <c r="F851" s="215"/>
    </row>
    <row r="852" spans="1:6" ht="21.75" customHeight="1">
      <c r="A852" s="221"/>
      <c r="B852" s="223"/>
      <c r="C852" s="343"/>
      <c r="D852" s="213"/>
      <c r="E852" s="214"/>
      <c r="F852" s="215"/>
    </row>
    <row r="853" spans="1:6" ht="21.75" customHeight="1">
      <c r="A853" s="221"/>
      <c r="B853" s="223"/>
      <c r="C853" s="343"/>
      <c r="D853" s="213"/>
      <c r="E853" s="214"/>
      <c r="F853" s="215"/>
    </row>
    <row r="854" spans="1:6" ht="21.75" customHeight="1">
      <c r="A854" s="221"/>
      <c r="B854" s="223"/>
      <c r="C854" s="343"/>
      <c r="D854" s="213"/>
      <c r="E854" s="214"/>
      <c r="F854" s="215"/>
    </row>
    <row r="855" spans="1:6" ht="21.75" customHeight="1">
      <c r="A855" s="221"/>
      <c r="B855" s="223"/>
      <c r="C855" s="343"/>
      <c r="D855" s="213"/>
      <c r="E855" s="214"/>
      <c r="F855" s="215"/>
    </row>
    <row r="856" spans="1:6" ht="21.75" customHeight="1">
      <c r="A856" s="221"/>
      <c r="B856" s="223"/>
      <c r="C856" s="343"/>
      <c r="D856" s="213"/>
      <c r="E856" s="214"/>
      <c r="F856" s="215"/>
    </row>
    <row r="857" spans="1:6" ht="21.75" customHeight="1">
      <c r="A857" s="221"/>
      <c r="B857" s="223"/>
      <c r="C857" s="343"/>
      <c r="D857" s="213"/>
      <c r="E857" s="214"/>
      <c r="F857" s="215"/>
    </row>
    <row r="858" spans="1:6" ht="21.75" customHeight="1">
      <c r="A858" s="221"/>
      <c r="B858" s="223"/>
      <c r="C858" s="343"/>
      <c r="D858" s="213"/>
      <c r="E858" s="214"/>
      <c r="F858" s="215"/>
    </row>
    <row r="859" spans="1:6" ht="21.75" customHeight="1">
      <c r="A859" s="221"/>
      <c r="B859" s="223"/>
      <c r="C859" s="343"/>
      <c r="D859" s="213"/>
      <c r="E859" s="214"/>
      <c r="F859" s="215"/>
    </row>
    <row r="860" spans="1:6" ht="21.75" customHeight="1">
      <c r="A860" s="221"/>
      <c r="B860" s="223"/>
      <c r="C860" s="343"/>
      <c r="D860" s="213"/>
      <c r="E860" s="214"/>
      <c r="F860" s="215"/>
    </row>
    <row r="861" spans="1:6" ht="21.75" customHeight="1">
      <c r="A861" s="221"/>
      <c r="B861" s="223"/>
      <c r="C861" s="343"/>
      <c r="D861" s="213"/>
      <c r="E861" s="214"/>
      <c r="F861" s="215"/>
    </row>
    <row r="862" spans="1:6" ht="21.75" customHeight="1">
      <c r="A862" s="221"/>
      <c r="B862" s="223"/>
      <c r="C862" s="343"/>
      <c r="D862" s="213"/>
      <c r="E862" s="214"/>
      <c r="F862" s="215"/>
    </row>
    <row r="863" spans="1:6" ht="21.75" customHeight="1">
      <c r="A863" s="221"/>
      <c r="B863" s="223"/>
      <c r="C863" s="343"/>
      <c r="D863" s="213"/>
      <c r="E863" s="214"/>
      <c r="F863" s="215"/>
    </row>
    <row r="864" spans="1:6" ht="21.75" customHeight="1">
      <c r="A864" s="221"/>
      <c r="B864" s="223"/>
      <c r="C864" s="343"/>
      <c r="D864" s="213"/>
      <c r="E864" s="214"/>
      <c r="F864" s="215"/>
    </row>
    <row r="865" spans="1:6" ht="21.75" customHeight="1">
      <c r="A865" s="221"/>
      <c r="B865" s="223"/>
      <c r="C865" s="343"/>
      <c r="D865" s="213"/>
      <c r="E865" s="214"/>
      <c r="F865" s="215"/>
    </row>
    <row r="866" spans="1:6" ht="21.75" customHeight="1">
      <c r="A866" s="221"/>
      <c r="B866" s="223"/>
      <c r="C866" s="343"/>
      <c r="D866" s="213"/>
      <c r="E866" s="214"/>
      <c r="F866" s="215"/>
    </row>
    <row r="867" spans="1:6" ht="21.75" customHeight="1">
      <c r="A867" s="221"/>
      <c r="B867" s="223"/>
      <c r="C867" s="343"/>
      <c r="D867" s="213"/>
      <c r="E867" s="214"/>
      <c r="F867" s="215"/>
    </row>
    <row r="868" spans="1:6" ht="21.75" customHeight="1">
      <c r="A868" s="221"/>
      <c r="B868" s="223"/>
      <c r="C868" s="343"/>
      <c r="D868" s="213"/>
      <c r="E868" s="214"/>
      <c r="F868" s="215"/>
    </row>
    <row r="869" spans="1:6" ht="21.75" customHeight="1">
      <c r="A869" s="221"/>
      <c r="B869" s="223"/>
      <c r="C869" s="343"/>
      <c r="D869" s="213"/>
      <c r="E869" s="214"/>
      <c r="F869" s="215"/>
    </row>
    <row r="870" spans="1:6" ht="21.75" customHeight="1">
      <c r="A870" s="221"/>
      <c r="B870" s="223"/>
      <c r="C870" s="343"/>
      <c r="D870" s="213"/>
      <c r="E870" s="214"/>
      <c r="F870" s="215"/>
    </row>
    <row r="871" spans="1:6" ht="21.75" customHeight="1">
      <c r="A871" s="221"/>
      <c r="B871" s="223"/>
      <c r="C871" s="343"/>
      <c r="D871" s="213"/>
      <c r="E871" s="214"/>
      <c r="F871" s="215"/>
    </row>
    <row r="872" spans="1:6" ht="21.75" customHeight="1">
      <c r="A872" s="221"/>
      <c r="B872" s="223"/>
      <c r="C872" s="343"/>
      <c r="D872" s="213"/>
      <c r="E872" s="214"/>
      <c r="F872" s="215"/>
    </row>
    <row r="873" spans="1:6" ht="21.75" customHeight="1">
      <c r="A873" s="221"/>
      <c r="B873" s="223"/>
      <c r="C873" s="343"/>
      <c r="D873" s="213"/>
      <c r="E873" s="214"/>
      <c r="F873" s="215"/>
    </row>
    <row r="874" spans="1:6" ht="21.75" customHeight="1">
      <c r="A874" s="221"/>
      <c r="B874" s="223"/>
      <c r="C874" s="343"/>
      <c r="D874" s="213"/>
      <c r="E874" s="214"/>
      <c r="F874" s="215"/>
    </row>
    <row r="875" spans="1:6" ht="21.75" customHeight="1">
      <c r="A875" s="221"/>
      <c r="B875" s="223"/>
      <c r="C875" s="343"/>
      <c r="D875" s="213"/>
      <c r="E875" s="214"/>
      <c r="F875" s="215"/>
    </row>
    <row r="876" spans="1:6" ht="21.75" customHeight="1">
      <c r="A876" s="221"/>
      <c r="B876" s="223"/>
      <c r="C876" s="343"/>
      <c r="D876" s="213"/>
      <c r="E876" s="214"/>
      <c r="F876" s="215"/>
    </row>
    <row r="877" spans="1:6" ht="21.75" customHeight="1">
      <c r="A877" s="221"/>
      <c r="B877" s="223"/>
      <c r="C877" s="343"/>
      <c r="D877" s="213"/>
      <c r="E877" s="214"/>
      <c r="F877" s="215"/>
    </row>
    <row r="878" spans="1:6" ht="21.75" customHeight="1">
      <c r="A878" s="221"/>
      <c r="B878" s="223"/>
      <c r="C878" s="343"/>
      <c r="D878" s="213"/>
      <c r="E878" s="214"/>
      <c r="F878" s="215"/>
    </row>
    <row r="879" spans="1:6" ht="21.75" customHeight="1">
      <c r="A879" s="221"/>
      <c r="B879" s="223"/>
      <c r="C879" s="343"/>
      <c r="D879" s="213"/>
      <c r="E879" s="214"/>
      <c r="F879" s="215"/>
    </row>
    <row r="880" spans="1:6" ht="21.75" customHeight="1">
      <c r="A880" s="221"/>
      <c r="B880" s="223"/>
      <c r="C880" s="343"/>
      <c r="D880" s="222"/>
      <c r="E880" s="214"/>
      <c r="F880" s="215"/>
    </row>
    <row r="881" spans="1:6" ht="21.75" customHeight="1">
      <c r="A881" s="221"/>
      <c r="B881" s="223"/>
      <c r="C881" s="343"/>
      <c r="D881" s="213"/>
      <c r="E881" s="214"/>
      <c r="F881" s="215"/>
    </row>
    <row r="882" spans="1:6" ht="21.75" customHeight="1">
      <c r="A882" s="221"/>
      <c r="B882" s="223"/>
      <c r="C882" s="343"/>
      <c r="D882" s="213"/>
      <c r="E882" s="214"/>
      <c r="F882" s="215"/>
    </row>
    <row r="883" spans="1:6" ht="21.75" customHeight="1">
      <c r="A883" s="221"/>
      <c r="B883" s="223"/>
      <c r="C883" s="343"/>
      <c r="D883" s="213"/>
      <c r="E883" s="214"/>
      <c r="F883" s="215"/>
    </row>
    <row r="884" spans="1:6" ht="21.75" customHeight="1">
      <c r="A884" s="226"/>
      <c r="B884" s="223"/>
      <c r="C884" s="343"/>
      <c r="D884" s="213"/>
      <c r="E884" s="214"/>
      <c r="F884" s="215"/>
    </row>
    <row r="885" spans="1:6" ht="21.75" customHeight="1">
      <c r="A885" s="221"/>
      <c r="B885" s="223"/>
      <c r="C885" s="343"/>
      <c r="D885" s="213"/>
      <c r="E885" s="214"/>
      <c r="F885" s="215"/>
    </row>
    <row r="886" spans="1:6" ht="21.75" customHeight="1">
      <c r="A886" s="221"/>
      <c r="B886" s="223"/>
      <c r="C886" s="343"/>
      <c r="D886" s="213"/>
      <c r="E886" s="214"/>
      <c r="F886" s="215"/>
    </row>
    <row r="887" spans="1:6" ht="21.75" customHeight="1">
      <c r="A887" s="221"/>
      <c r="B887" s="223"/>
      <c r="C887" s="343"/>
      <c r="D887" s="213"/>
      <c r="E887" s="214"/>
      <c r="F887" s="215"/>
    </row>
    <row r="888" spans="1:6" ht="21.75" customHeight="1">
      <c r="A888" s="221"/>
      <c r="B888" s="223"/>
      <c r="C888" s="343"/>
      <c r="D888" s="213"/>
      <c r="E888" s="214"/>
      <c r="F888" s="215"/>
    </row>
    <row r="889" spans="1:6" ht="21.75" customHeight="1">
      <c r="A889" s="221"/>
      <c r="B889" s="223"/>
      <c r="C889" s="343"/>
      <c r="D889" s="213"/>
      <c r="E889" s="214"/>
      <c r="F889" s="215"/>
    </row>
    <row r="890" spans="1:6" ht="21.75" customHeight="1">
      <c r="A890" s="221"/>
      <c r="B890" s="223"/>
      <c r="C890" s="343"/>
      <c r="D890" s="213"/>
      <c r="E890" s="214"/>
      <c r="F890" s="215"/>
    </row>
    <row r="891" spans="1:6" ht="21.75" customHeight="1">
      <c r="A891" s="221"/>
      <c r="B891" s="223"/>
      <c r="C891" s="343"/>
      <c r="D891" s="213"/>
      <c r="E891" s="214"/>
      <c r="F891" s="215"/>
    </row>
    <row r="892" spans="1:6" ht="21.75" customHeight="1">
      <c r="A892" s="221"/>
      <c r="B892" s="223"/>
      <c r="C892" s="343"/>
      <c r="D892" s="213"/>
      <c r="E892" s="214"/>
      <c r="F892" s="215"/>
    </row>
    <row r="893" spans="1:6" ht="21.75" customHeight="1">
      <c r="A893" s="221"/>
      <c r="B893" s="223"/>
      <c r="C893" s="343"/>
      <c r="D893" s="213"/>
      <c r="E893" s="214"/>
      <c r="F893" s="215"/>
    </row>
    <row r="894" spans="1:6" ht="21.75" customHeight="1">
      <c r="A894" s="221"/>
      <c r="B894" s="223"/>
      <c r="C894" s="343"/>
      <c r="D894" s="213"/>
      <c r="E894" s="214"/>
      <c r="F894" s="215"/>
    </row>
    <row r="895" spans="1:6" ht="21.75" customHeight="1">
      <c r="A895" s="221"/>
      <c r="B895" s="223"/>
      <c r="C895" s="343"/>
      <c r="D895" s="213"/>
      <c r="E895" s="214"/>
      <c r="F895" s="215"/>
    </row>
    <row r="896" spans="1:6" ht="21.75" customHeight="1">
      <c r="A896" s="221"/>
      <c r="B896" s="223"/>
      <c r="C896" s="343"/>
      <c r="D896" s="227"/>
      <c r="E896" s="214"/>
      <c r="F896" s="215"/>
    </row>
    <row r="897" spans="1:6" ht="21.75" customHeight="1">
      <c r="A897" s="221"/>
      <c r="B897" s="223"/>
      <c r="C897" s="343"/>
      <c r="D897" s="227"/>
      <c r="E897" s="214"/>
      <c r="F897" s="215"/>
    </row>
    <row r="898" spans="1:6" ht="21.75" customHeight="1">
      <c r="A898" s="221"/>
      <c r="B898" s="223"/>
      <c r="C898" s="343"/>
      <c r="D898" s="213"/>
      <c r="E898" s="214"/>
      <c r="F898" s="215"/>
    </row>
    <row r="899" spans="1:6" ht="21.75" customHeight="1">
      <c r="A899" s="221"/>
      <c r="B899" s="223"/>
      <c r="C899" s="343"/>
      <c r="D899" s="213"/>
      <c r="E899" s="214"/>
      <c r="F899" s="215"/>
    </row>
    <row r="900" spans="1:6" ht="21.75" customHeight="1">
      <c r="A900" s="221"/>
      <c r="B900" s="223"/>
      <c r="C900" s="343"/>
      <c r="D900" s="213"/>
      <c r="E900" s="214"/>
      <c r="F900" s="215"/>
    </row>
    <row r="901" spans="1:6" ht="21.75" customHeight="1">
      <c r="A901" s="221"/>
      <c r="B901" s="223"/>
      <c r="C901" s="343"/>
      <c r="D901" s="213"/>
      <c r="E901" s="214"/>
      <c r="F901" s="215"/>
    </row>
    <row r="902" spans="1:6" ht="21.75" customHeight="1">
      <c r="A902" s="221"/>
      <c r="B902" s="223"/>
      <c r="C902" s="343"/>
      <c r="D902" s="213"/>
      <c r="E902" s="214"/>
      <c r="F902" s="215"/>
    </row>
    <row r="903" spans="1:6" ht="21.75" customHeight="1">
      <c r="A903" s="221"/>
      <c r="B903" s="223"/>
      <c r="C903" s="343"/>
      <c r="D903" s="213"/>
      <c r="E903" s="214"/>
      <c r="F903" s="215"/>
    </row>
    <row r="904" spans="1:6" ht="21.75" customHeight="1">
      <c r="A904" s="221"/>
      <c r="B904" s="223"/>
      <c r="C904" s="343"/>
      <c r="D904" s="213"/>
      <c r="E904" s="214"/>
      <c r="F904" s="215"/>
    </row>
    <row r="905" spans="1:6" ht="21.75" customHeight="1">
      <c r="A905" s="221"/>
      <c r="B905" s="223"/>
      <c r="C905" s="343"/>
      <c r="D905" s="213"/>
      <c r="E905" s="214"/>
      <c r="F905" s="215"/>
    </row>
    <row r="906" spans="1:6" ht="21.75" customHeight="1">
      <c r="A906" s="221"/>
      <c r="B906" s="223"/>
      <c r="C906" s="343"/>
      <c r="D906" s="213"/>
      <c r="E906" s="214"/>
      <c r="F906" s="215"/>
    </row>
    <row r="907" spans="1:6" ht="21.75" customHeight="1">
      <c r="A907" s="221"/>
      <c r="B907" s="223"/>
      <c r="C907" s="343"/>
      <c r="D907" s="213"/>
      <c r="E907" s="214"/>
      <c r="F907" s="215"/>
    </row>
    <row r="908" spans="1:6" ht="21.75" customHeight="1">
      <c r="A908" s="221"/>
      <c r="B908" s="223"/>
      <c r="C908" s="343"/>
      <c r="D908" s="213"/>
      <c r="E908" s="214"/>
      <c r="F908" s="215"/>
    </row>
    <row r="909" spans="1:6" ht="21.75" customHeight="1">
      <c r="A909" s="221"/>
      <c r="B909" s="223"/>
      <c r="C909" s="343"/>
      <c r="D909" s="213"/>
      <c r="E909" s="214"/>
      <c r="F909" s="215"/>
    </row>
    <row r="910" spans="1:6" ht="21.75" customHeight="1">
      <c r="A910" s="221"/>
      <c r="B910" s="223"/>
      <c r="C910" s="343"/>
      <c r="D910" s="213"/>
      <c r="E910" s="214"/>
      <c r="F910" s="215"/>
    </row>
    <row r="911" spans="1:6" ht="21.75" customHeight="1">
      <c r="A911" s="221"/>
      <c r="B911" s="223"/>
      <c r="C911" s="343"/>
      <c r="D911" s="213"/>
      <c r="E911" s="214"/>
      <c r="F911" s="215"/>
    </row>
    <row r="912" spans="1:6" ht="21.75" customHeight="1">
      <c r="A912" s="221"/>
      <c r="B912" s="223"/>
      <c r="C912" s="343"/>
      <c r="D912" s="213"/>
      <c r="E912" s="214"/>
      <c r="F912" s="215"/>
    </row>
    <row r="913" spans="1:6" ht="21.75" customHeight="1">
      <c r="A913" s="221"/>
      <c r="B913" s="223"/>
      <c r="C913" s="343"/>
      <c r="D913" s="213"/>
      <c r="E913" s="214"/>
      <c r="F913" s="215"/>
    </row>
    <row r="914" spans="1:6" ht="21.75" customHeight="1">
      <c r="A914" s="221"/>
      <c r="B914" s="223"/>
      <c r="C914" s="343"/>
      <c r="D914" s="213"/>
      <c r="E914" s="214"/>
      <c r="F914" s="215"/>
    </row>
    <row r="915" spans="1:6" ht="21.75" customHeight="1">
      <c r="A915" s="221"/>
      <c r="B915" s="223"/>
      <c r="C915" s="343"/>
      <c r="D915" s="213"/>
      <c r="E915" s="214"/>
      <c r="F915" s="215"/>
    </row>
    <row r="916" spans="1:6" ht="21.75" customHeight="1">
      <c r="A916" s="221"/>
      <c r="B916" s="223"/>
      <c r="C916" s="343"/>
      <c r="D916" s="213"/>
      <c r="E916" s="214"/>
      <c r="F916" s="215"/>
    </row>
    <row r="917" spans="1:6" ht="21.75" customHeight="1">
      <c r="A917" s="221"/>
      <c r="B917" s="223"/>
      <c r="C917" s="343"/>
      <c r="D917" s="213"/>
      <c r="E917" s="214"/>
      <c r="F917" s="215"/>
    </row>
    <row r="918" spans="1:6" ht="21.75" customHeight="1">
      <c r="A918" s="221"/>
      <c r="B918" s="223"/>
      <c r="C918" s="343"/>
      <c r="D918" s="213"/>
      <c r="E918" s="214"/>
      <c r="F918" s="215"/>
    </row>
    <row r="919" spans="1:6" ht="21.75" customHeight="1">
      <c r="A919" s="221"/>
      <c r="B919" s="223"/>
      <c r="C919" s="343"/>
      <c r="D919" s="213"/>
      <c r="E919" s="214"/>
      <c r="F919" s="215"/>
    </row>
    <row r="920" spans="1:6" ht="21.75" customHeight="1">
      <c r="A920" s="221"/>
      <c r="B920" s="223"/>
      <c r="C920" s="343"/>
      <c r="D920" s="213"/>
      <c r="E920" s="214"/>
      <c r="F920" s="215"/>
    </row>
    <row r="921" spans="1:6" ht="21.75" customHeight="1">
      <c r="A921" s="221"/>
      <c r="B921" s="223"/>
      <c r="C921" s="343"/>
      <c r="D921" s="213"/>
      <c r="E921" s="214"/>
      <c r="F921" s="215"/>
    </row>
    <row r="922" spans="1:6" ht="21.75" customHeight="1">
      <c r="A922" s="221"/>
      <c r="B922" s="223"/>
      <c r="C922" s="343"/>
      <c r="D922" s="213"/>
      <c r="E922" s="214"/>
      <c r="F922" s="215"/>
    </row>
    <row r="923" spans="1:6" ht="21.75" customHeight="1">
      <c r="A923" s="221"/>
      <c r="B923" s="223"/>
      <c r="C923" s="343"/>
      <c r="D923" s="213"/>
      <c r="E923" s="214"/>
      <c r="F923" s="215"/>
    </row>
    <row r="924" spans="1:6" ht="21.75" customHeight="1">
      <c r="A924" s="221"/>
      <c r="B924" s="223"/>
      <c r="C924" s="343"/>
      <c r="D924" s="213"/>
      <c r="E924" s="214"/>
      <c r="F924" s="215"/>
    </row>
    <row r="925" spans="1:6" ht="21.75" customHeight="1">
      <c r="A925" s="221"/>
      <c r="B925" s="223"/>
      <c r="C925" s="343"/>
      <c r="D925" s="213"/>
      <c r="E925" s="214"/>
      <c r="F925" s="215"/>
    </row>
    <row r="926" spans="1:6" ht="21.75" customHeight="1">
      <c r="A926" s="221"/>
      <c r="B926" s="223"/>
      <c r="C926" s="343"/>
      <c r="D926" s="213"/>
      <c r="E926" s="214"/>
      <c r="F926" s="215"/>
    </row>
    <row r="927" spans="1:6" ht="21.75" customHeight="1">
      <c r="A927" s="221"/>
      <c r="B927" s="223"/>
      <c r="C927" s="343"/>
      <c r="D927" s="213"/>
      <c r="E927" s="214"/>
      <c r="F927" s="215"/>
    </row>
    <row r="928" spans="1:6" ht="21.75" customHeight="1">
      <c r="A928" s="221"/>
      <c r="B928" s="223"/>
      <c r="C928" s="343"/>
      <c r="D928" s="213"/>
      <c r="E928" s="214"/>
      <c r="F928" s="215"/>
    </row>
    <row r="929" spans="1:6" ht="21.75" customHeight="1">
      <c r="A929" s="221"/>
      <c r="B929" s="223"/>
      <c r="C929" s="343"/>
      <c r="D929" s="213"/>
      <c r="E929" s="214"/>
      <c r="F929" s="215"/>
    </row>
    <row r="930" spans="1:6" ht="21.75" customHeight="1">
      <c r="A930" s="221"/>
      <c r="B930" s="223"/>
      <c r="C930" s="343"/>
      <c r="D930" s="213"/>
      <c r="E930" s="214"/>
      <c r="F930" s="215"/>
    </row>
    <row r="931" spans="1:6" ht="21.75" customHeight="1">
      <c r="A931" s="221"/>
      <c r="B931" s="223"/>
      <c r="C931" s="343"/>
      <c r="D931" s="213"/>
      <c r="E931" s="214"/>
      <c r="F931" s="215"/>
    </row>
    <row r="932" spans="1:6" ht="21.75" customHeight="1">
      <c r="A932" s="221"/>
      <c r="B932" s="223"/>
      <c r="C932" s="343"/>
      <c r="D932" s="213"/>
      <c r="E932" s="214"/>
      <c r="F932" s="215"/>
    </row>
    <row r="933" spans="1:6" ht="21.75" customHeight="1">
      <c r="A933" s="221"/>
      <c r="B933" s="223"/>
      <c r="C933" s="343"/>
      <c r="D933" s="213"/>
      <c r="E933" s="214"/>
      <c r="F933" s="215"/>
    </row>
    <row r="934" spans="1:6" ht="21.75" customHeight="1">
      <c r="A934" s="221"/>
      <c r="B934" s="223"/>
      <c r="C934" s="343"/>
      <c r="D934" s="213"/>
      <c r="E934" s="214"/>
      <c r="F934" s="215"/>
    </row>
    <row r="935" spans="1:6" ht="21.75" customHeight="1">
      <c r="A935" s="221"/>
      <c r="B935" s="223"/>
      <c r="C935" s="343"/>
      <c r="D935" s="213"/>
      <c r="E935" s="214"/>
      <c r="F935" s="215"/>
    </row>
    <row r="936" spans="1:6" ht="21.75" customHeight="1">
      <c r="A936" s="221"/>
      <c r="B936" s="223"/>
      <c r="C936" s="343"/>
      <c r="D936" s="213"/>
      <c r="E936" s="214"/>
      <c r="F936" s="215"/>
    </row>
    <row r="937" spans="1:6" ht="21.75" customHeight="1">
      <c r="A937" s="221"/>
      <c r="B937" s="223"/>
      <c r="C937" s="343"/>
      <c r="D937" s="213"/>
      <c r="E937" s="214"/>
      <c r="F937" s="215"/>
    </row>
    <row r="938" spans="1:6" ht="21.75" customHeight="1">
      <c r="A938" s="221"/>
      <c r="B938" s="223"/>
      <c r="C938" s="343"/>
      <c r="D938" s="213"/>
      <c r="E938" s="214"/>
      <c r="F938" s="215"/>
    </row>
    <row r="939" spans="1:6" ht="21.75" customHeight="1">
      <c r="A939" s="221"/>
      <c r="B939" s="223"/>
      <c r="C939" s="343"/>
      <c r="D939" s="213"/>
      <c r="E939" s="214"/>
      <c r="F939" s="215"/>
    </row>
    <row r="940" spans="1:6" ht="21.75" customHeight="1">
      <c r="A940" s="221"/>
      <c r="B940" s="223"/>
      <c r="C940" s="343"/>
      <c r="D940" s="213"/>
      <c r="E940" s="214"/>
      <c r="F940" s="215"/>
    </row>
    <row r="941" spans="1:6" ht="21.75" customHeight="1">
      <c r="A941" s="221"/>
      <c r="B941" s="223"/>
      <c r="C941" s="343"/>
      <c r="D941" s="213"/>
      <c r="E941" s="214"/>
      <c r="F941" s="215"/>
    </row>
    <row r="942" spans="1:6" ht="21.75" customHeight="1">
      <c r="A942" s="221"/>
      <c r="B942" s="223"/>
      <c r="C942" s="343"/>
      <c r="D942" s="228"/>
      <c r="E942" s="214"/>
      <c r="F942" s="215"/>
    </row>
    <row r="943" spans="1:6" ht="21.75" customHeight="1">
      <c r="A943" s="221"/>
      <c r="B943" s="223"/>
      <c r="C943" s="343"/>
      <c r="D943" s="228"/>
      <c r="E943" s="214"/>
      <c r="F943" s="215"/>
    </row>
    <row r="944" spans="1:6" ht="21.75" customHeight="1">
      <c r="A944" s="221"/>
      <c r="B944" s="223"/>
      <c r="C944" s="343"/>
      <c r="D944" s="213"/>
      <c r="E944" s="214"/>
      <c r="F944" s="215"/>
    </row>
    <row r="945" spans="1:6" ht="21.75" customHeight="1">
      <c r="A945" s="221"/>
      <c r="B945" s="223"/>
      <c r="C945" s="343"/>
      <c r="D945" s="213"/>
      <c r="E945" s="214"/>
      <c r="F945" s="215"/>
    </row>
    <row r="946" spans="1:6" ht="21.75" customHeight="1">
      <c r="A946" s="221"/>
      <c r="B946" s="223"/>
      <c r="C946" s="343"/>
      <c r="D946" s="213"/>
      <c r="E946" s="214"/>
      <c r="F946" s="215"/>
    </row>
    <row r="947" spans="1:6" ht="21.75" customHeight="1">
      <c r="A947" s="221"/>
      <c r="B947" s="223"/>
      <c r="C947" s="343"/>
      <c r="D947" s="213"/>
      <c r="E947" s="214"/>
      <c r="F947" s="215"/>
    </row>
    <row r="948" spans="1:6" ht="21.75" customHeight="1">
      <c r="A948" s="221"/>
      <c r="B948" s="223"/>
      <c r="C948" s="343"/>
      <c r="D948" s="213"/>
      <c r="E948" s="214"/>
      <c r="F948" s="215"/>
    </row>
    <row r="949" spans="1:6" ht="21.75" customHeight="1">
      <c r="A949" s="221"/>
      <c r="B949" s="223"/>
      <c r="C949" s="343"/>
      <c r="D949" s="213"/>
      <c r="E949" s="214"/>
      <c r="F949" s="215"/>
    </row>
    <row r="950" spans="1:6" ht="21.75" customHeight="1">
      <c r="A950" s="221"/>
      <c r="B950" s="223"/>
      <c r="C950" s="343"/>
      <c r="D950" s="213"/>
      <c r="E950" s="214"/>
      <c r="F950" s="215"/>
    </row>
    <row r="951" spans="1:6" ht="21.75" customHeight="1">
      <c r="A951" s="221"/>
      <c r="B951" s="223"/>
      <c r="C951" s="343"/>
      <c r="D951" s="213"/>
      <c r="E951" s="214"/>
      <c r="F951" s="215"/>
    </row>
    <row r="952" spans="1:6" ht="21.75" customHeight="1">
      <c r="A952" s="221"/>
      <c r="B952" s="223"/>
      <c r="C952" s="343"/>
      <c r="D952" s="213"/>
      <c r="E952" s="214"/>
      <c r="F952" s="215"/>
    </row>
    <row r="953" spans="1:6" ht="21.75" customHeight="1">
      <c r="A953" s="221"/>
      <c r="B953" s="223"/>
      <c r="C953" s="343"/>
      <c r="D953" s="213"/>
      <c r="E953" s="214"/>
      <c r="F953" s="215"/>
    </row>
    <row r="954" spans="1:6" ht="21.75" customHeight="1">
      <c r="A954" s="221"/>
      <c r="B954" s="223"/>
      <c r="C954" s="343"/>
      <c r="D954" s="213"/>
      <c r="E954" s="214"/>
      <c r="F954" s="215"/>
    </row>
    <row r="955" spans="1:6" ht="21.75" customHeight="1">
      <c r="A955" s="221"/>
      <c r="B955" s="223"/>
      <c r="C955" s="343"/>
      <c r="D955" s="213"/>
      <c r="E955" s="214"/>
      <c r="F955" s="215"/>
    </row>
    <row r="956" spans="1:6" ht="21.75" customHeight="1">
      <c r="A956" s="221"/>
      <c r="B956" s="223"/>
      <c r="C956" s="343"/>
      <c r="D956" s="213"/>
      <c r="E956" s="214"/>
      <c r="F956" s="215"/>
    </row>
    <row r="957" spans="1:6" ht="21.75" customHeight="1">
      <c r="A957" s="221"/>
      <c r="B957" s="223"/>
      <c r="C957" s="343"/>
      <c r="D957" s="213"/>
      <c r="E957" s="214"/>
      <c r="F957" s="215"/>
    </row>
    <row r="958" spans="1:6" ht="21.75" customHeight="1">
      <c r="A958" s="221"/>
      <c r="B958" s="223"/>
      <c r="C958" s="343"/>
      <c r="D958" s="213"/>
      <c r="E958" s="214"/>
      <c r="F958" s="215"/>
    </row>
    <row r="959" spans="1:6" ht="21.75" customHeight="1">
      <c r="A959" s="221"/>
      <c r="B959" s="223"/>
      <c r="C959" s="343"/>
      <c r="D959" s="213"/>
      <c r="E959" s="214"/>
      <c r="F959" s="215"/>
    </row>
    <row r="960" spans="1:6" ht="21.75" customHeight="1">
      <c r="A960" s="221"/>
      <c r="B960" s="223"/>
      <c r="C960" s="343"/>
      <c r="D960" s="213"/>
      <c r="E960" s="229"/>
      <c r="F960" s="215"/>
    </row>
    <row r="961" spans="1:6" ht="21.75" customHeight="1">
      <c r="A961" s="221"/>
      <c r="B961" s="223"/>
      <c r="C961" s="343"/>
      <c r="D961" s="213"/>
      <c r="E961" s="229"/>
      <c r="F961" s="215"/>
    </row>
    <row r="962" spans="1:6" ht="21.75" customHeight="1">
      <c r="A962" s="221"/>
      <c r="B962" s="223"/>
      <c r="C962" s="343"/>
      <c r="D962" s="213"/>
      <c r="E962" s="229"/>
      <c r="F962" s="215"/>
    </row>
    <row r="963" spans="1:6" ht="21.75" customHeight="1">
      <c r="A963" s="221"/>
      <c r="B963" s="223"/>
      <c r="C963" s="343"/>
      <c r="D963" s="213"/>
      <c r="E963" s="229"/>
      <c r="F963" s="215"/>
    </row>
    <row r="964" spans="1:6" ht="21.75" customHeight="1">
      <c r="A964" s="221"/>
      <c r="B964" s="223"/>
      <c r="C964" s="343"/>
      <c r="D964" s="213"/>
      <c r="E964" s="229"/>
      <c r="F964" s="215"/>
    </row>
    <row r="965" spans="1:6" ht="21.75" customHeight="1">
      <c r="A965" s="221"/>
      <c r="B965" s="223"/>
      <c r="C965" s="343"/>
      <c r="D965" s="213"/>
      <c r="E965" s="229"/>
      <c r="F965" s="215"/>
    </row>
    <row r="966" spans="1:6" ht="21.75" customHeight="1">
      <c r="A966" s="221"/>
      <c r="B966" s="223"/>
      <c r="C966" s="343"/>
      <c r="D966" s="213"/>
      <c r="E966" s="229"/>
      <c r="F966" s="215"/>
    </row>
    <row r="967" spans="1:6" ht="21.75" customHeight="1">
      <c r="A967" s="221"/>
      <c r="B967" s="223"/>
      <c r="C967" s="343"/>
      <c r="D967" s="213"/>
      <c r="E967" s="229"/>
      <c r="F967" s="215"/>
    </row>
    <row r="968" spans="1:6" ht="21.75" customHeight="1">
      <c r="A968" s="221"/>
      <c r="B968" s="223"/>
      <c r="C968" s="343"/>
      <c r="D968" s="213"/>
      <c r="E968" s="229"/>
      <c r="F968" s="215"/>
    </row>
    <row r="969" spans="1:6" ht="21.75" customHeight="1">
      <c r="A969" s="221"/>
      <c r="B969" s="223"/>
      <c r="C969" s="343"/>
      <c r="D969" s="213"/>
      <c r="E969" s="229"/>
      <c r="F969" s="215"/>
    </row>
    <row r="970" spans="1:6" ht="21.75" customHeight="1">
      <c r="A970" s="221"/>
      <c r="B970" s="223"/>
      <c r="C970" s="343"/>
      <c r="D970" s="213"/>
      <c r="E970" s="229"/>
      <c r="F970" s="215"/>
    </row>
    <row r="971" spans="1:6" ht="21.75" customHeight="1">
      <c r="A971" s="221"/>
      <c r="B971" s="223"/>
      <c r="C971" s="343"/>
      <c r="D971" s="213"/>
      <c r="E971" s="229"/>
      <c r="F971" s="215"/>
    </row>
    <row r="972" spans="1:6" ht="21.75" customHeight="1">
      <c r="A972" s="221"/>
      <c r="B972" s="223"/>
      <c r="C972" s="343"/>
      <c r="D972" s="213"/>
      <c r="E972" s="229"/>
      <c r="F972" s="215"/>
    </row>
    <row r="973" spans="1:6" ht="21.75" customHeight="1">
      <c r="A973" s="221"/>
      <c r="B973" s="223"/>
      <c r="C973" s="343"/>
      <c r="D973" s="213"/>
      <c r="E973" s="229"/>
      <c r="F973" s="215"/>
    </row>
    <row r="974" spans="1:6" ht="21.75" customHeight="1">
      <c r="A974" s="221"/>
      <c r="B974" s="223"/>
      <c r="C974" s="343"/>
      <c r="D974" s="213"/>
      <c r="E974" s="229"/>
      <c r="F974" s="215"/>
    </row>
    <row r="975" spans="1:6" ht="21.75" customHeight="1">
      <c r="A975" s="221"/>
      <c r="B975" s="223"/>
      <c r="C975" s="343"/>
      <c r="D975" s="213"/>
      <c r="E975" s="229"/>
      <c r="F975" s="215"/>
    </row>
    <row r="976" spans="1:6" ht="21.75" customHeight="1">
      <c r="A976" s="221"/>
      <c r="B976" s="223"/>
      <c r="C976" s="343"/>
      <c r="D976" s="213"/>
      <c r="E976" s="229"/>
      <c r="F976" s="215"/>
    </row>
    <row r="977" spans="1:6" ht="21.75" customHeight="1">
      <c r="A977" s="221"/>
      <c r="B977" s="223"/>
      <c r="C977" s="343"/>
      <c r="D977" s="213"/>
      <c r="E977" s="214"/>
      <c r="F977" s="215"/>
    </row>
    <row r="978" spans="1:6" ht="21.75" customHeight="1">
      <c r="A978" s="221"/>
      <c r="B978" s="223"/>
      <c r="C978" s="343"/>
      <c r="D978" s="213"/>
      <c r="E978" s="214"/>
      <c r="F978" s="215"/>
    </row>
    <row r="979" spans="1:6" ht="21.75" customHeight="1">
      <c r="A979" s="221"/>
      <c r="B979" s="223"/>
      <c r="C979" s="343"/>
      <c r="D979" s="213"/>
      <c r="E979" s="214"/>
      <c r="F979" s="215"/>
    </row>
    <row r="980" spans="1:6" ht="21.75" customHeight="1">
      <c r="A980" s="221"/>
      <c r="B980" s="223"/>
      <c r="C980" s="343"/>
      <c r="D980" s="213"/>
      <c r="E980" s="214"/>
      <c r="F980" s="215"/>
    </row>
    <row r="981" spans="1:6" ht="21.75" customHeight="1">
      <c r="A981" s="221"/>
      <c r="B981" s="223"/>
      <c r="C981" s="343"/>
      <c r="D981" s="213"/>
      <c r="E981" s="214"/>
      <c r="F981" s="215"/>
    </row>
    <row r="982" spans="1:6" ht="21.75" customHeight="1">
      <c r="A982" s="221"/>
      <c r="B982" s="223"/>
      <c r="C982" s="343"/>
      <c r="D982" s="213"/>
      <c r="E982" s="214"/>
      <c r="F982" s="215"/>
    </row>
    <row r="983" spans="1:6" ht="21.75" customHeight="1">
      <c r="A983" s="221"/>
      <c r="B983" s="223"/>
      <c r="C983" s="343"/>
      <c r="D983" s="213"/>
      <c r="E983" s="214"/>
      <c r="F983" s="215"/>
    </row>
    <row r="984" spans="1:6" ht="21.75" customHeight="1">
      <c r="A984" s="221"/>
      <c r="B984" s="223"/>
      <c r="C984" s="343"/>
      <c r="D984" s="213"/>
      <c r="E984" s="214"/>
      <c r="F984" s="215"/>
    </row>
    <row r="985" spans="1:6" s="200" customFormat="1" ht="21.75" customHeight="1">
      <c r="A985" s="221"/>
      <c r="B985" s="223"/>
      <c r="C985" s="343"/>
      <c r="D985" s="213"/>
      <c r="E985" s="214"/>
      <c r="F985" s="215"/>
    </row>
    <row r="986" spans="1:6" s="200" customFormat="1" ht="21.75" customHeight="1">
      <c r="A986" s="221"/>
      <c r="B986" s="223"/>
      <c r="C986" s="343"/>
      <c r="D986" s="213"/>
      <c r="E986" s="214"/>
      <c r="F986" s="215"/>
    </row>
    <row r="987" spans="1:6" s="200" customFormat="1" ht="21.75" customHeight="1">
      <c r="A987" s="221"/>
      <c r="B987" s="223"/>
      <c r="C987" s="343"/>
      <c r="D987" s="213"/>
      <c r="E987" s="214"/>
      <c r="F987" s="215"/>
    </row>
    <row r="988" spans="1:6" ht="21.75" customHeight="1">
      <c r="A988" s="221"/>
      <c r="B988" s="223"/>
      <c r="C988" s="343"/>
      <c r="D988" s="213"/>
      <c r="E988" s="214"/>
      <c r="F988" s="215"/>
    </row>
    <row r="989" spans="1:6" ht="21.75" customHeight="1">
      <c r="A989" s="221"/>
      <c r="B989" s="223"/>
      <c r="C989" s="343"/>
      <c r="D989" s="213"/>
      <c r="E989" s="214"/>
      <c r="F989" s="215"/>
    </row>
    <row r="990" spans="1:6" ht="21.75" customHeight="1">
      <c r="A990" s="221"/>
      <c r="B990" s="223"/>
      <c r="C990" s="343"/>
      <c r="D990" s="213"/>
      <c r="E990" s="214"/>
      <c r="F990" s="215"/>
    </row>
    <row r="991" spans="1:6" ht="21.75" customHeight="1">
      <c r="A991" s="221"/>
      <c r="B991" s="223"/>
      <c r="C991" s="343"/>
      <c r="D991" s="213"/>
      <c r="E991" s="214"/>
      <c r="F991" s="215"/>
    </row>
    <row r="992" spans="1:6" ht="21.75" customHeight="1">
      <c r="A992" s="221"/>
      <c r="B992" s="223"/>
      <c r="C992" s="343"/>
      <c r="D992" s="213"/>
      <c r="E992" s="214"/>
      <c r="F992" s="215"/>
    </row>
    <row r="993" spans="1:6" ht="21.75" customHeight="1">
      <c r="A993" s="221"/>
      <c r="B993" s="223"/>
      <c r="C993" s="343"/>
      <c r="D993" s="213"/>
      <c r="E993" s="214"/>
      <c r="F993" s="215"/>
    </row>
    <row r="994" spans="1:6" ht="21.75" customHeight="1">
      <c r="A994" s="221"/>
      <c r="B994" s="223"/>
      <c r="C994" s="343"/>
      <c r="D994" s="213"/>
      <c r="E994" s="214"/>
      <c r="F994" s="215"/>
    </row>
    <row r="995" spans="1:6" ht="21.75" customHeight="1">
      <c r="A995" s="221"/>
      <c r="B995" s="223"/>
      <c r="C995" s="343"/>
      <c r="D995" s="213"/>
      <c r="E995" s="214"/>
      <c r="F995" s="215"/>
    </row>
    <row r="996" spans="1:6" ht="21.75" customHeight="1">
      <c r="A996" s="221"/>
      <c r="B996" s="223"/>
      <c r="C996" s="343"/>
      <c r="D996" s="213"/>
      <c r="E996" s="214"/>
      <c r="F996" s="215"/>
    </row>
    <row r="997" spans="1:6" ht="21.75" customHeight="1">
      <c r="A997" s="221"/>
      <c r="B997" s="223"/>
      <c r="C997" s="343"/>
      <c r="D997" s="213"/>
      <c r="E997" s="214"/>
      <c r="F997" s="215"/>
    </row>
    <row r="998" spans="1:6" ht="21.75" customHeight="1">
      <c r="A998" s="221"/>
      <c r="B998" s="223"/>
      <c r="C998" s="343"/>
      <c r="D998" s="213"/>
      <c r="E998" s="214"/>
      <c r="F998" s="215"/>
    </row>
    <row r="999" spans="1:6" ht="21.75" customHeight="1">
      <c r="A999" s="221"/>
      <c r="B999" s="223"/>
      <c r="C999" s="343"/>
      <c r="D999" s="213"/>
      <c r="E999" s="214"/>
      <c r="F999" s="215"/>
    </row>
    <row r="1000" spans="1:6" ht="21.75" customHeight="1">
      <c r="A1000" s="221"/>
      <c r="B1000" s="223"/>
      <c r="C1000" s="343"/>
      <c r="D1000" s="213"/>
      <c r="E1000" s="214"/>
      <c r="F1000" s="215"/>
    </row>
    <row r="1001" spans="1:6" ht="21.75" customHeight="1">
      <c r="A1001" s="221"/>
      <c r="B1001" s="223"/>
      <c r="C1001" s="343"/>
      <c r="D1001" s="213"/>
      <c r="E1001" s="214"/>
      <c r="F1001" s="215"/>
    </row>
    <row r="1002" spans="1:6" ht="21.75" customHeight="1">
      <c r="A1002" s="221"/>
      <c r="B1002" s="223"/>
      <c r="C1002" s="343"/>
      <c r="D1002" s="213"/>
      <c r="E1002" s="214"/>
      <c r="F1002" s="215"/>
    </row>
    <row r="1003" spans="1:6" ht="21.75" customHeight="1">
      <c r="A1003" s="221"/>
      <c r="B1003" s="223"/>
      <c r="C1003" s="343"/>
      <c r="D1003" s="213"/>
      <c r="E1003" s="214"/>
      <c r="F1003" s="215"/>
    </row>
    <row r="1004" spans="1:6" ht="21.75" customHeight="1">
      <c r="A1004" s="221"/>
      <c r="B1004" s="223"/>
      <c r="C1004" s="343"/>
      <c r="D1004" s="213"/>
      <c r="E1004" s="214"/>
      <c r="F1004" s="215"/>
    </row>
    <row r="1005" spans="1:6" ht="21.75" customHeight="1">
      <c r="A1005" s="221"/>
      <c r="B1005" s="223"/>
      <c r="C1005" s="343"/>
      <c r="D1005" s="213"/>
      <c r="E1005" s="214"/>
      <c r="F1005" s="215"/>
    </row>
    <row r="1006" spans="1:6" ht="21.75" customHeight="1">
      <c r="A1006" s="221"/>
      <c r="B1006" s="223"/>
      <c r="C1006" s="343"/>
      <c r="D1006" s="213"/>
      <c r="E1006" s="214"/>
      <c r="F1006" s="215"/>
    </row>
    <row r="1007" spans="1:6" ht="21.75" customHeight="1">
      <c r="A1007" s="221"/>
      <c r="B1007" s="223"/>
      <c r="C1007" s="343"/>
      <c r="D1007" s="213"/>
      <c r="E1007" s="214"/>
      <c r="F1007" s="215"/>
    </row>
    <row r="1008" spans="1:6" ht="21.75" customHeight="1">
      <c r="A1008" s="221"/>
      <c r="B1008" s="223"/>
      <c r="C1008" s="343"/>
      <c r="D1008" s="213"/>
      <c r="E1008" s="214"/>
      <c r="F1008" s="215"/>
    </row>
    <row r="1009" spans="1:6" ht="21.75" customHeight="1">
      <c r="A1009" s="221"/>
      <c r="B1009" s="223"/>
      <c r="C1009" s="343"/>
      <c r="D1009" s="213"/>
      <c r="E1009" s="214"/>
      <c r="F1009" s="215"/>
    </row>
    <row r="1010" spans="1:6" ht="21.75" customHeight="1">
      <c r="A1010" s="221"/>
      <c r="B1010" s="223"/>
      <c r="C1010" s="343"/>
      <c r="D1010" s="213"/>
      <c r="E1010" s="214"/>
      <c r="F1010" s="215"/>
    </row>
    <row r="1011" spans="1:6" ht="21.75" customHeight="1">
      <c r="A1011" s="221"/>
      <c r="B1011" s="223"/>
      <c r="C1011" s="343"/>
      <c r="D1011" s="213"/>
      <c r="E1011" s="214"/>
      <c r="F1011" s="215"/>
    </row>
    <row r="1012" spans="1:6" ht="21.75" customHeight="1">
      <c r="A1012" s="221"/>
      <c r="B1012" s="223"/>
      <c r="C1012" s="343"/>
      <c r="D1012" s="213"/>
      <c r="E1012" s="214"/>
      <c r="F1012" s="215"/>
    </row>
    <row r="1013" spans="1:6" ht="21.75" customHeight="1">
      <c r="A1013" s="221"/>
      <c r="B1013" s="223"/>
      <c r="C1013" s="343"/>
      <c r="D1013" s="213"/>
      <c r="E1013" s="214"/>
      <c r="F1013" s="215"/>
    </row>
    <row r="1014" spans="1:6" ht="21.75" customHeight="1">
      <c r="A1014" s="221"/>
      <c r="B1014" s="223"/>
      <c r="C1014" s="343"/>
      <c r="D1014" s="213"/>
      <c r="E1014" s="214"/>
      <c r="F1014" s="215"/>
    </row>
    <row r="1015" spans="1:6" ht="21.75" customHeight="1">
      <c r="A1015" s="221"/>
      <c r="B1015" s="223"/>
      <c r="C1015" s="343"/>
      <c r="D1015" s="213"/>
      <c r="E1015" s="214"/>
      <c r="F1015" s="215"/>
    </row>
    <row r="1016" spans="1:6" ht="21.75" customHeight="1">
      <c r="A1016" s="221"/>
      <c r="B1016" s="223"/>
      <c r="C1016" s="343"/>
      <c r="D1016" s="213"/>
      <c r="E1016" s="214"/>
      <c r="F1016" s="215"/>
    </row>
    <row r="1017" spans="1:6" ht="21.75" customHeight="1">
      <c r="A1017" s="221"/>
      <c r="B1017" s="223"/>
      <c r="C1017" s="343"/>
      <c r="D1017" s="213"/>
      <c r="E1017" s="214"/>
      <c r="F1017" s="215"/>
    </row>
    <row r="1018" spans="1:6" ht="21.75" customHeight="1">
      <c r="A1018" s="221"/>
      <c r="B1018" s="223"/>
      <c r="C1018" s="343"/>
      <c r="D1018" s="213"/>
      <c r="E1018" s="214"/>
      <c r="F1018" s="215"/>
    </row>
    <row r="1019" spans="1:6" ht="21.75" customHeight="1">
      <c r="A1019" s="221"/>
      <c r="B1019" s="223"/>
      <c r="C1019" s="343"/>
      <c r="D1019" s="213"/>
      <c r="E1019" s="214"/>
      <c r="F1019" s="215"/>
    </row>
    <row r="1020" spans="1:6" ht="21.75" customHeight="1">
      <c r="A1020" s="221"/>
      <c r="B1020" s="223"/>
      <c r="C1020" s="343"/>
      <c r="D1020" s="213"/>
      <c r="E1020" s="214"/>
      <c r="F1020" s="215"/>
    </row>
    <row r="1021" spans="1:6" ht="21.75" customHeight="1">
      <c r="A1021" s="221"/>
      <c r="B1021" s="223"/>
      <c r="C1021" s="343"/>
      <c r="D1021" s="213"/>
      <c r="E1021" s="214"/>
      <c r="F1021" s="215"/>
    </row>
    <row r="1022" spans="1:6" ht="21.75" customHeight="1">
      <c r="A1022" s="221"/>
      <c r="B1022" s="223"/>
      <c r="C1022" s="343"/>
      <c r="D1022" s="213"/>
      <c r="E1022" s="214"/>
      <c r="F1022" s="215"/>
    </row>
    <row r="1023" spans="1:6" ht="21.75" customHeight="1">
      <c r="A1023" s="221"/>
      <c r="B1023" s="223"/>
      <c r="C1023" s="343"/>
      <c r="D1023" s="213"/>
      <c r="E1023" s="214"/>
      <c r="F1023" s="215"/>
    </row>
    <row r="1024" spans="1:6" ht="21.75" customHeight="1">
      <c r="A1024" s="221"/>
      <c r="B1024" s="223"/>
      <c r="C1024" s="343"/>
      <c r="D1024" s="213"/>
      <c r="E1024" s="214"/>
      <c r="F1024" s="215"/>
    </row>
    <row r="1025" spans="1:6" ht="21.75" customHeight="1">
      <c r="A1025" s="221"/>
      <c r="B1025" s="223"/>
      <c r="C1025" s="343"/>
      <c r="D1025" s="213"/>
      <c r="E1025" s="214"/>
      <c r="F1025" s="215"/>
    </row>
    <row r="1026" spans="1:6" ht="21.75" customHeight="1">
      <c r="A1026" s="221"/>
      <c r="B1026" s="223"/>
      <c r="C1026" s="343"/>
      <c r="D1026" s="213"/>
      <c r="E1026" s="214"/>
      <c r="F1026" s="215"/>
    </row>
    <row r="1027" spans="1:6" ht="21.75" customHeight="1">
      <c r="A1027" s="221"/>
      <c r="B1027" s="223"/>
      <c r="C1027" s="343"/>
      <c r="D1027" s="213"/>
      <c r="E1027" s="214"/>
      <c r="F1027" s="215"/>
    </row>
    <row r="1028" spans="1:6" ht="21.75" customHeight="1">
      <c r="A1028" s="221"/>
      <c r="B1028" s="223"/>
      <c r="C1028" s="343"/>
      <c r="D1028" s="213"/>
      <c r="E1028" s="214"/>
      <c r="F1028" s="215"/>
    </row>
    <row r="1029" spans="1:6" ht="21.75" customHeight="1">
      <c r="A1029" s="221"/>
      <c r="B1029" s="223"/>
      <c r="C1029" s="343"/>
      <c r="D1029" s="213"/>
      <c r="E1029" s="214"/>
      <c r="F1029" s="215"/>
    </row>
    <row r="1030" spans="1:6" ht="21.75" customHeight="1">
      <c r="A1030" s="221"/>
      <c r="B1030" s="223"/>
      <c r="C1030" s="343"/>
      <c r="D1030" s="213"/>
      <c r="E1030" s="214"/>
      <c r="F1030" s="215"/>
    </row>
    <row r="1031" spans="1:6" ht="21.75" customHeight="1">
      <c r="A1031" s="221"/>
      <c r="B1031" s="223"/>
      <c r="C1031" s="343"/>
      <c r="D1031" s="213"/>
      <c r="E1031" s="214"/>
      <c r="F1031" s="215"/>
    </row>
    <row r="1032" spans="1:6" ht="21.75" customHeight="1">
      <c r="A1032" s="221"/>
      <c r="B1032" s="223"/>
      <c r="C1032" s="343"/>
      <c r="D1032" s="213"/>
      <c r="E1032" s="214"/>
      <c r="F1032" s="215"/>
    </row>
    <row r="1033" spans="1:6" ht="21.75" customHeight="1">
      <c r="A1033" s="221"/>
      <c r="B1033" s="223"/>
      <c r="C1033" s="343"/>
      <c r="D1033" s="213"/>
      <c r="E1033" s="214"/>
      <c r="F1033" s="215"/>
    </row>
    <row r="1034" spans="1:6" ht="21.75" customHeight="1">
      <c r="A1034" s="221"/>
      <c r="B1034" s="223"/>
      <c r="C1034" s="343"/>
      <c r="D1034" s="213"/>
      <c r="E1034" s="214"/>
      <c r="F1034" s="215"/>
    </row>
    <row r="1035" spans="1:6" ht="21.75" customHeight="1">
      <c r="A1035" s="221"/>
      <c r="B1035" s="223"/>
      <c r="C1035" s="343"/>
      <c r="D1035" s="213"/>
      <c r="E1035" s="214"/>
      <c r="F1035" s="215"/>
    </row>
    <row r="1036" spans="1:6" ht="21.75" customHeight="1">
      <c r="A1036" s="221"/>
      <c r="B1036" s="223"/>
      <c r="C1036" s="343"/>
      <c r="D1036" s="213"/>
      <c r="E1036" s="214"/>
      <c r="F1036" s="215"/>
    </row>
    <row r="1037" spans="1:6" ht="21.75" customHeight="1">
      <c r="A1037" s="221"/>
      <c r="B1037" s="223"/>
      <c r="C1037" s="343"/>
      <c r="D1037" s="213"/>
      <c r="E1037" s="214"/>
      <c r="F1037" s="215"/>
    </row>
    <row r="1038" spans="1:6" ht="21.75" customHeight="1">
      <c r="A1038" s="221"/>
      <c r="B1038" s="223"/>
      <c r="C1038" s="343"/>
      <c r="D1038" s="213"/>
      <c r="E1038" s="214"/>
      <c r="F1038" s="215"/>
    </row>
    <row r="1039" spans="1:6" ht="21.75" customHeight="1">
      <c r="A1039" s="221"/>
      <c r="B1039" s="223"/>
      <c r="C1039" s="343"/>
      <c r="D1039" s="213"/>
      <c r="E1039" s="214"/>
      <c r="F1039" s="215"/>
    </row>
    <row r="1040" spans="1:6" ht="21.75" customHeight="1">
      <c r="A1040" s="221"/>
      <c r="B1040" s="223"/>
      <c r="C1040" s="343"/>
      <c r="D1040" s="213"/>
      <c r="E1040" s="214"/>
      <c r="F1040" s="215"/>
    </row>
    <row r="1041" spans="1:6" ht="21.75" customHeight="1">
      <c r="A1041" s="221"/>
      <c r="B1041" s="223"/>
      <c r="C1041" s="343"/>
      <c r="D1041" s="213"/>
      <c r="E1041" s="214"/>
      <c r="F1041" s="215"/>
    </row>
    <row r="1042" spans="1:6" ht="21.75" customHeight="1">
      <c r="A1042" s="221"/>
      <c r="B1042" s="223"/>
      <c r="C1042" s="343"/>
      <c r="D1042" s="213"/>
      <c r="E1042" s="214"/>
      <c r="F1042" s="215"/>
    </row>
    <row r="1043" spans="1:6" ht="21.75" customHeight="1">
      <c r="A1043" s="221"/>
      <c r="B1043" s="223"/>
      <c r="C1043" s="343"/>
      <c r="D1043" s="213"/>
      <c r="E1043" s="214"/>
      <c r="F1043" s="215"/>
    </row>
    <row r="1044" spans="1:6" ht="21.75" customHeight="1">
      <c r="A1044" s="221"/>
      <c r="B1044" s="223"/>
      <c r="C1044" s="343"/>
      <c r="D1044" s="213"/>
      <c r="E1044" s="214"/>
      <c r="F1044" s="215"/>
    </row>
    <row r="1045" spans="1:6" ht="21.75" customHeight="1">
      <c r="A1045" s="221"/>
      <c r="B1045" s="223"/>
      <c r="C1045" s="343"/>
      <c r="D1045" s="213"/>
      <c r="E1045" s="214"/>
      <c r="F1045" s="215"/>
    </row>
    <row r="1046" spans="1:6" ht="21.75" customHeight="1">
      <c r="A1046" s="221"/>
      <c r="B1046" s="223"/>
      <c r="C1046" s="343"/>
      <c r="D1046" s="213"/>
      <c r="E1046" s="214"/>
      <c r="F1046" s="215"/>
    </row>
    <row r="1047" spans="1:6" ht="21.75" customHeight="1">
      <c r="A1047" s="221"/>
      <c r="B1047" s="223"/>
      <c r="C1047" s="343"/>
      <c r="D1047" s="213"/>
      <c r="E1047" s="214"/>
      <c r="F1047" s="215"/>
    </row>
    <row r="1048" spans="1:6" ht="21.75" customHeight="1">
      <c r="A1048" s="221"/>
      <c r="B1048" s="223"/>
      <c r="C1048" s="343"/>
      <c r="D1048" s="213"/>
      <c r="E1048" s="214"/>
      <c r="F1048" s="215"/>
    </row>
    <row r="1049" spans="1:6" ht="21.75" customHeight="1">
      <c r="A1049" s="221"/>
      <c r="B1049" s="223"/>
      <c r="C1049" s="343"/>
      <c r="D1049" s="213"/>
      <c r="E1049" s="214"/>
      <c r="F1049" s="215"/>
    </row>
    <row r="1050" spans="1:6" ht="21.75" customHeight="1">
      <c r="A1050" s="221"/>
      <c r="B1050" s="223"/>
      <c r="C1050" s="343"/>
      <c r="D1050" s="213"/>
      <c r="E1050" s="214"/>
      <c r="F1050" s="215"/>
    </row>
    <row r="1051" spans="1:6" ht="21.75" customHeight="1">
      <c r="A1051" s="221"/>
      <c r="B1051" s="223"/>
      <c r="C1051" s="343"/>
      <c r="D1051" s="213"/>
      <c r="E1051" s="214"/>
      <c r="F1051" s="215"/>
    </row>
    <row r="1052" spans="1:6" ht="21.75" customHeight="1">
      <c r="A1052" s="221"/>
      <c r="B1052" s="223"/>
      <c r="C1052" s="343"/>
      <c r="D1052" s="213"/>
      <c r="E1052" s="214"/>
      <c r="F1052" s="215"/>
    </row>
    <row r="1053" spans="1:6" ht="21.75" customHeight="1">
      <c r="A1053" s="221"/>
      <c r="B1053" s="223"/>
      <c r="C1053" s="343"/>
      <c r="D1053" s="213"/>
      <c r="E1053" s="214"/>
      <c r="F1053" s="215"/>
    </row>
    <row r="1054" spans="1:6" ht="21.75" customHeight="1">
      <c r="A1054" s="221"/>
      <c r="B1054" s="223"/>
      <c r="C1054" s="343"/>
      <c r="D1054" s="213"/>
      <c r="E1054" s="214"/>
      <c r="F1054" s="215"/>
    </row>
    <row r="1055" spans="1:6" ht="21.75" customHeight="1">
      <c r="A1055" s="221"/>
      <c r="B1055" s="223"/>
      <c r="C1055" s="343"/>
      <c r="D1055" s="213"/>
      <c r="E1055" s="214"/>
      <c r="F1055" s="215"/>
    </row>
    <row r="1056" spans="1:6" ht="21.75" customHeight="1">
      <c r="A1056" s="221"/>
      <c r="B1056" s="223"/>
      <c r="C1056" s="343"/>
      <c r="D1056" s="213"/>
      <c r="E1056" s="214"/>
      <c r="F1056" s="215"/>
    </row>
    <row r="1057" spans="1:6" ht="21.75" customHeight="1">
      <c r="A1057" s="221"/>
      <c r="B1057" s="223"/>
      <c r="C1057" s="343"/>
      <c r="D1057" s="213"/>
      <c r="E1057" s="214"/>
      <c r="F1057" s="215"/>
    </row>
    <row r="1058" spans="1:6" ht="21.75" customHeight="1">
      <c r="A1058" s="221"/>
      <c r="B1058" s="223"/>
      <c r="C1058" s="343"/>
      <c r="D1058" s="213"/>
      <c r="E1058" s="214"/>
      <c r="F1058" s="215"/>
    </row>
    <row r="1059" spans="1:6" ht="21.75" customHeight="1">
      <c r="A1059" s="221"/>
      <c r="B1059" s="223"/>
      <c r="C1059" s="343"/>
      <c r="D1059" s="213"/>
      <c r="E1059" s="214"/>
      <c r="F1059" s="215"/>
    </row>
    <row r="1060" spans="1:6" ht="21.75" customHeight="1">
      <c r="A1060" s="221"/>
      <c r="B1060" s="223"/>
      <c r="C1060" s="343"/>
      <c r="D1060" s="213"/>
      <c r="E1060" s="214"/>
      <c r="F1060" s="215"/>
    </row>
    <row r="1061" spans="1:6" ht="21.75" customHeight="1">
      <c r="A1061" s="221"/>
      <c r="B1061" s="223"/>
      <c r="C1061" s="343"/>
      <c r="D1061" s="213"/>
      <c r="E1061" s="214"/>
      <c r="F1061" s="215"/>
    </row>
    <row r="1062" spans="1:6" ht="21.75" customHeight="1">
      <c r="A1062" s="221"/>
      <c r="B1062" s="223"/>
      <c r="C1062" s="343"/>
      <c r="D1062" s="213"/>
      <c r="E1062" s="214"/>
      <c r="F1062" s="215"/>
    </row>
    <row r="1063" spans="1:6" ht="21.75" customHeight="1">
      <c r="A1063" s="221"/>
      <c r="B1063" s="223"/>
      <c r="C1063" s="343"/>
      <c r="D1063" s="213"/>
      <c r="E1063" s="214"/>
      <c r="F1063" s="215"/>
    </row>
    <row r="1064" spans="1:6" ht="21.75" customHeight="1">
      <c r="A1064" s="221"/>
      <c r="B1064" s="223"/>
      <c r="C1064" s="343"/>
      <c r="D1064" s="213"/>
      <c r="E1064" s="214"/>
      <c r="F1064" s="215"/>
    </row>
    <row r="1065" spans="1:6" ht="21.75" customHeight="1">
      <c r="A1065" s="221"/>
      <c r="B1065" s="223"/>
      <c r="C1065" s="343"/>
      <c r="D1065" s="213"/>
      <c r="E1065" s="214"/>
      <c r="F1065" s="215"/>
    </row>
    <row r="1066" spans="1:6" ht="21.75" customHeight="1">
      <c r="A1066" s="221"/>
      <c r="B1066" s="223"/>
      <c r="C1066" s="343"/>
      <c r="D1066" s="213"/>
      <c r="E1066" s="214"/>
      <c r="F1066" s="215"/>
    </row>
    <row r="1067" spans="1:6" ht="21.75" customHeight="1">
      <c r="A1067" s="221"/>
      <c r="B1067" s="223"/>
      <c r="C1067" s="343"/>
      <c r="D1067" s="213"/>
      <c r="E1067" s="214"/>
      <c r="F1067" s="215"/>
    </row>
    <row r="1068" spans="1:6" ht="21.75" customHeight="1">
      <c r="A1068" s="221"/>
      <c r="B1068" s="223"/>
      <c r="C1068" s="343"/>
      <c r="D1068" s="213"/>
      <c r="E1068" s="214"/>
      <c r="F1068" s="215"/>
    </row>
    <row r="1069" spans="1:6" ht="21.75" customHeight="1">
      <c r="A1069" s="221"/>
      <c r="B1069" s="223"/>
      <c r="C1069" s="343"/>
      <c r="D1069" s="213"/>
      <c r="E1069" s="214"/>
      <c r="F1069" s="215"/>
    </row>
    <row r="1070" spans="1:6" ht="21.75" customHeight="1">
      <c r="A1070" s="221"/>
      <c r="B1070" s="223"/>
      <c r="C1070" s="343"/>
      <c r="D1070" s="213"/>
      <c r="E1070" s="214"/>
      <c r="F1070" s="215"/>
    </row>
    <row r="1071" spans="1:6" ht="21.75" customHeight="1">
      <c r="A1071" s="221"/>
      <c r="B1071" s="223"/>
      <c r="C1071" s="343"/>
      <c r="D1071" s="213"/>
      <c r="E1071" s="214"/>
      <c r="F1071" s="215"/>
    </row>
    <row r="1072" spans="1:6" ht="21.75" customHeight="1">
      <c r="A1072" s="221"/>
      <c r="B1072" s="223"/>
      <c r="C1072" s="343"/>
      <c r="D1072" s="213"/>
      <c r="E1072" s="214"/>
      <c r="F1072" s="215"/>
    </row>
    <row r="1073" spans="1:6" ht="21.75" customHeight="1">
      <c r="A1073" s="221"/>
      <c r="B1073" s="223"/>
      <c r="C1073" s="343"/>
      <c r="D1073" s="213"/>
      <c r="E1073" s="214"/>
      <c r="F1073" s="215"/>
    </row>
    <row r="1074" spans="1:6" ht="21.75" customHeight="1">
      <c r="A1074" s="221"/>
      <c r="B1074" s="223"/>
      <c r="C1074" s="343"/>
      <c r="D1074" s="213"/>
      <c r="E1074" s="214"/>
      <c r="F1074" s="215"/>
    </row>
    <row r="1075" spans="1:6" ht="21.75" customHeight="1">
      <c r="A1075" s="221"/>
      <c r="B1075" s="223"/>
      <c r="C1075" s="343"/>
      <c r="D1075" s="213"/>
      <c r="E1075" s="214"/>
      <c r="F1075" s="215"/>
    </row>
    <row r="1076" spans="1:6" ht="21.75" customHeight="1">
      <c r="A1076" s="221"/>
      <c r="B1076" s="223"/>
      <c r="C1076" s="343"/>
      <c r="D1076" s="213"/>
      <c r="E1076" s="214"/>
      <c r="F1076" s="215"/>
    </row>
    <row r="1077" spans="1:6" ht="21.75" customHeight="1">
      <c r="A1077" s="221"/>
      <c r="B1077" s="223"/>
      <c r="C1077" s="343"/>
      <c r="D1077" s="213"/>
      <c r="E1077" s="214"/>
      <c r="F1077" s="215"/>
    </row>
    <row r="1078" spans="1:6" ht="21.75" customHeight="1">
      <c r="A1078" s="221"/>
      <c r="B1078" s="223"/>
      <c r="C1078" s="343"/>
      <c r="D1078" s="213"/>
      <c r="E1078" s="214"/>
      <c r="F1078" s="215"/>
    </row>
    <row r="1079" spans="1:6" ht="21.75" customHeight="1">
      <c r="A1079" s="221"/>
      <c r="B1079" s="223"/>
      <c r="C1079" s="343"/>
      <c r="D1079" s="213"/>
      <c r="E1079" s="214"/>
      <c r="F1079" s="215"/>
    </row>
    <row r="1080" spans="1:6" ht="21.75" customHeight="1">
      <c r="A1080" s="221"/>
      <c r="B1080" s="223"/>
      <c r="C1080" s="343"/>
      <c r="D1080" s="213"/>
      <c r="E1080" s="214"/>
      <c r="F1080" s="215"/>
    </row>
    <row r="1081" spans="1:6" ht="21.75" customHeight="1">
      <c r="A1081" s="221"/>
      <c r="B1081" s="223"/>
      <c r="C1081" s="343"/>
      <c r="D1081" s="213"/>
      <c r="E1081" s="214"/>
      <c r="F1081" s="215"/>
    </row>
    <row r="1082" spans="1:6" ht="21.75" customHeight="1">
      <c r="A1082" s="221"/>
      <c r="B1082" s="223"/>
      <c r="C1082" s="343"/>
      <c r="D1082" s="213"/>
      <c r="E1082" s="214"/>
      <c r="F1082" s="215"/>
    </row>
    <row r="1083" spans="1:6" ht="21.75" customHeight="1">
      <c r="A1083" s="221"/>
      <c r="B1083" s="223"/>
      <c r="C1083" s="343"/>
      <c r="D1083" s="213"/>
      <c r="E1083" s="214"/>
      <c r="F1083" s="215"/>
    </row>
    <row r="1084" spans="1:6" ht="21.75" customHeight="1">
      <c r="A1084" s="221"/>
      <c r="B1084" s="223"/>
      <c r="C1084" s="343"/>
      <c r="D1084" s="213"/>
      <c r="E1084" s="214"/>
      <c r="F1084" s="215"/>
    </row>
    <row r="1085" spans="1:6" ht="21.75" customHeight="1">
      <c r="A1085" s="221"/>
      <c r="B1085" s="223"/>
      <c r="C1085" s="343"/>
      <c r="D1085" s="213"/>
      <c r="E1085" s="214"/>
      <c r="F1085" s="215"/>
    </row>
    <row r="1086" spans="1:6" ht="21.75" customHeight="1">
      <c r="A1086" s="221"/>
      <c r="B1086" s="223"/>
      <c r="C1086" s="343"/>
      <c r="D1086" s="213"/>
      <c r="E1086" s="214"/>
      <c r="F1086" s="215"/>
    </row>
    <row r="1087" spans="1:6" ht="21.75" customHeight="1">
      <c r="A1087" s="221"/>
      <c r="B1087" s="223"/>
      <c r="C1087" s="343"/>
      <c r="D1087" s="213"/>
      <c r="E1087" s="214"/>
      <c r="F1087" s="215"/>
    </row>
    <row r="1088" spans="1:6" ht="21.75" customHeight="1">
      <c r="A1088" s="221"/>
      <c r="B1088" s="223"/>
      <c r="C1088" s="343"/>
      <c r="D1088" s="213"/>
      <c r="E1088" s="214"/>
      <c r="F1088" s="215"/>
    </row>
    <row r="1089" spans="1:6" ht="21.75" customHeight="1">
      <c r="A1089" s="221"/>
      <c r="B1089" s="223"/>
      <c r="C1089" s="343"/>
      <c r="D1089" s="213"/>
      <c r="E1089" s="214"/>
      <c r="F1089" s="215"/>
    </row>
    <row r="1090" spans="1:6" ht="21.75" customHeight="1">
      <c r="A1090" s="221"/>
      <c r="B1090" s="223"/>
      <c r="C1090" s="343"/>
      <c r="D1090" s="213"/>
      <c r="E1090" s="214"/>
      <c r="F1090" s="215"/>
    </row>
    <row r="1091" spans="1:6" ht="21.75" customHeight="1">
      <c r="A1091" s="221"/>
      <c r="B1091" s="223"/>
      <c r="C1091" s="343"/>
      <c r="D1091" s="213"/>
      <c r="E1091" s="214"/>
      <c r="F1091" s="215"/>
    </row>
    <row r="1092" spans="1:6" ht="21.75" customHeight="1">
      <c r="A1092" s="221"/>
      <c r="B1092" s="223"/>
      <c r="C1092" s="343"/>
      <c r="D1092" s="213"/>
      <c r="E1092" s="214"/>
      <c r="F1092" s="215"/>
    </row>
    <row r="1093" spans="1:6" ht="21.75" customHeight="1">
      <c r="A1093" s="221"/>
      <c r="B1093" s="223"/>
      <c r="C1093" s="343"/>
      <c r="D1093" s="213"/>
      <c r="E1093" s="214"/>
      <c r="F1093" s="215"/>
    </row>
    <row r="1094" spans="1:6" ht="21.75" customHeight="1">
      <c r="A1094" s="221"/>
      <c r="B1094" s="223"/>
      <c r="C1094" s="343"/>
      <c r="D1094" s="213"/>
      <c r="E1094" s="214"/>
      <c r="F1094" s="215"/>
    </row>
    <row r="1095" spans="1:6" ht="21.75" customHeight="1">
      <c r="A1095" s="221"/>
      <c r="B1095" s="223"/>
      <c r="C1095" s="343"/>
      <c r="D1095" s="213"/>
      <c r="E1095" s="214"/>
      <c r="F1095" s="215"/>
    </row>
    <row r="1096" spans="1:6" ht="21.75" customHeight="1">
      <c r="A1096" s="221"/>
      <c r="B1096" s="223"/>
      <c r="C1096" s="343"/>
      <c r="D1096" s="213"/>
      <c r="E1096" s="214"/>
      <c r="F1096" s="215"/>
    </row>
    <row r="1097" spans="1:6" ht="21.75" customHeight="1">
      <c r="A1097" s="221"/>
      <c r="B1097" s="223"/>
      <c r="C1097" s="343"/>
      <c r="D1097" s="213"/>
      <c r="E1097" s="214"/>
      <c r="F1097" s="215"/>
    </row>
    <row r="1098" spans="1:6" ht="21.75" customHeight="1">
      <c r="A1098" s="221"/>
      <c r="B1098" s="223"/>
      <c r="C1098" s="343"/>
      <c r="D1098" s="213"/>
      <c r="E1098" s="214"/>
      <c r="F1098" s="215"/>
    </row>
    <row r="1099" spans="1:6" ht="21.75" customHeight="1">
      <c r="A1099" s="221"/>
      <c r="B1099" s="223"/>
      <c r="C1099" s="343"/>
      <c r="D1099" s="213"/>
      <c r="E1099" s="214"/>
      <c r="F1099" s="215"/>
    </row>
    <row r="1100" spans="1:6" ht="21.75" customHeight="1">
      <c r="A1100" s="221"/>
      <c r="B1100" s="223"/>
      <c r="C1100" s="343"/>
      <c r="D1100" s="213"/>
      <c r="E1100" s="214"/>
      <c r="F1100" s="215"/>
    </row>
    <row r="1101" spans="1:6" ht="21.75" customHeight="1">
      <c r="A1101" s="221"/>
      <c r="B1101" s="223"/>
      <c r="C1101" s="343"/>
      <c r="D1101" s="213"/>
      <c r="E1101" s="214"/>
      <c r="F1101" s="215"/>
    </row>
    <row r="1102" spans="1:6" ht="21.75" customHeight="1">
      <c r="A1102" s="221"/>
      <c r="B1102" s="223"/>
      <c r="C1102" s="343"/>
      <c r="D1102" s="213"/>
      <c r="E1102" s="214"/>
      <c r="F1102" s="215"/>
    </row>
    <row r="1103" spans="1:6" ht="21.75" customHeight="1">
      <c r="A1103" s="221"/>
      <c r="B1103" s="223"/>
      <c r="C1103" s="343"/>
      <c r="D1103" s="213"/>
      <c r="E1103" s="214"/>
      <c r="F1103" s="215"/>
    </row>
    <row r="1104" spans="1:6" ht="21.75" customHeight="1">
      <c r="A1104" s="221"/>
      <c r="B1104" s="223"/>
      <c r="C1104" s="343"/>
      <c r="D1104" s="213"/>
      <c r="E1104" s="214"/>
      <c r="F1104" s="215"/>
    </row>
    <row r="1105" spans="1:6" ht="21.75" customHeight="1">
      <c r="A1105" s="221"/>
      <c r="B1105" s="223"/>
      <c r="C1105" s="343"/>
      <c r="D1105" s="213"/>
      <c r="E1105" s="214"/>
      <c r="F1105" s="215"/>
    </row>
    <row r="1106" spans="1:6" ht="21.75" customHeight="1">
      <c r="A1106" s="221"/>
      <c r="B1106" s="223"/>
      <c r="C1106" s="343"/>
      <c r="D1106" s="213"/>
      <c r="E1106" s="214"/>
      <c r="F1106" s="215"/>
    </row>
    <row r="1107" spans="1:6" ht="21.75" customHeight="1">
      <c r="A1107" s="221"/>
      <c r="B1107" s="223"/>
      <c r="C1107" s="343"/>
      <c r="D1107" s="213"/>
      <c r="E1107" s="214"/>
      <c r="F1107" s="215"/>
    </row>
    <row r="1108" spans="1:6" ht="21.75" customHeight="1">
      <c r="A1108" s="221"/>
      <c r="B1108" s="223"/>
      <c r="C1108" s="343"/>
      <c r="D1108" s="213"/>
      <c r="E1108" s="214"/>
      <c r="F1108" s="215"/>
    </row>
    <row r="1109" spans="1:6" ht="21.75" customHeight="1">
      <c r="A1109" s="221"/>
      <c r="B1109" s="223"/>
      <c r="C1109" s="343"/>
      <c r="D1109" s="213"/>
      <c r="E1109" s="214"/>
      <c r="F1109" s="215"/>
    </row>
    <row r="1110" spans="1:6" ht="21.75" customHeight="1">
      <c r="A1110" s="221"/>
      <c r="B1110" s="223"/>
      <c r="C1110" s="343"/>
      <c r="D1110" s="213"/>
      <c r="E1110" s="214"/>
      <c r="F1110" s="215"/>
    </row>
    <row r="1111" spans="1:6" ht="21.75" customHeight="1">
      <c r="A1111" s="221"/>
      <c r="B1111" s="223"/>
      <c r="C1111" s="343"/>
      <c r="D1111" s="213"/>
      <c r="E1111" s="214"/>
      <c r="F1111" s="215"/>
    </row>
    <row r="1112" spans="1:6" ht="21.75" customHeight="1">
      <c r="A1112" s="221"/>
      <c r="B1112" s="223"/>
      <c r="C1112" s="343"/>
      <c r="D1112" s="213"/>
      <c r="E1112" s="214"/>
      <c r="F1112" s="215"/>
    </row>
    <row r="1113" spans="1:6" ht="21.75" customHeight="1">
      <c r="A1113" s="221"/>
      <c r="B1113" s="223"/>
      <c r="C1113" s="343"/>
      <c r="D1113" s="213"/>
      <c r="E1113" s="214"/>
      <c r="F1113" s="215"/>
    </row>
    <row r="1114" spans="1:6" ht="21.75" customHeight="1">
      <c r="A1114" s="221"/>
      <c r="B1114" s="223"/>
      <c r="C1114" s="343"/>
      <c r="D1114" s="213"/>
      <c r="E1114" s="214"/>
      <c r="F1114" s="215"/>
    </row>
    <row r="1115" spans="1:6" ht="21.75" customHeight="1">
      <c r="A1115" s="221"/>
      <c r="B1115" s="223"/>
      <c r="C1115" s="343"/>
      <c r="D1115" s="213"/>
      <c r="E1115" s="214"/>
      <c r="F1115" s="215"/>
    </row>
    <row r="1116" spans="1:6" ht="21.75" customHeight="1">
      <c r="A1116" s="221"/>
      <c r="B1116" s="223"/>
      <c r="C1116" s="343"/>
      <c r="D1116" s="213"/>
      <c r="E1116" s="214"/>
      <c r="F1116" s="215"/>
    </row>
    <row r="1117" spans="1:6" ht="21.75" customHeight="1">
      <c r="A1117" s="221"/>
      <c r="B1117" s="223"/>
      <c r="C1117" s="343"/>
      <c r="D1117" s="213"/>
      <c r="E1117" s="214"/>
      <c r="F1117" s="215"/>
    </row>
    <row r="1118" spans="1:6" ht="21.75" customHeight="1">
      <c r="A1118" s="221"/>
      <c r="B1118" s="223"/>
      <c r="C1118" s="343"/>
      <c r="D1118" s="213"/>
      <c r="E1118" s="214"/>
      <c r="F1118" s="215"/>
    </row>
    <row r="1119" spans="1:6" ht="21.75" customHeight="1">
      <c r="A1119" s="221"/>
      <c r="B1119" s="223"/>
      <c r="C1119" s="343"/>
      <c r="D1119" s="213"/>
      <c r="E1119" s="214"/>
      <c r="F1119" s="215"/>
    </row>
    <row r="1120" spans="1:6" ht="21.75" customHeight="1">
      <c r="A1120" s="221"/>
      <c r="B1120" s="223"/>
      <c r="C1120" s="343"/>
      <c r="D1120" s="213"/>
      <c r="E1120" s="214"/>
      <c r="F1120" s="215"/>
    </row>
    <row r="1121" spans="1:6" ht="21.75" customHeight="1">
      <c r="A1121" s="221"/>
      <c r="B1121" s="223"/>
      <c r="C1121" s="343"/>
      <c r="D1121" s="213"/>
      <c r="E1121" s="214"/>
      <c r="F1121" s="215"/>
    </row>
    <row r="1122" spans="1:6" ht="21.75" customHeight="1">
      <c r="A1122" s="221"/>
      <c r="B1122" s="223"/>
      <c r="C1122" s="343"/>
      <c r="D1122" s="213"/>
      <c r="E1122" s="214"/>
      <c r="F1122" s="215"/>
    </row>
    <row r="1123" spans="1:6" ht="21.75" customHeight="1">
      <c r="A1123" s="221"/>
      <c r="B1123" s="223"/>
      <c r="C1123" s="343"/>
      <c r="D1123" s="213"/>
      <c r="E1123" s="214"/>
      <c r="F1123" s="215"/>
    </row>
    <row r="1124" spans="1:6" ht="21.75" customHeight="1">
      <c r="A1124" s="221"/>
      <c r="B1124" s="223"/>
      <c r="C1124" s="343"/>
      <c r="D1124" s="213"/>
      <c r="E1124" s="214"/>
      <c r="F1124" s="215"/>
    </row>
    <row r="1125" spans="1:6" ht="21.75" customHeight="1">
      <c r="A1125" s="221"/>
      <c r="B1125" s="223"/>
      <c r="C1125" s="343"/>
      <c r="D1125" s="213"/>
      <c r="E1125" s="214"/>
      <c r="F1125" s="215"/>
    </row>
    <row r="1126" spans="1:6" ht="21.75" customHeight="1">
      <c r="A1126" s="221"/>
      <c r="B1126" s="223"/>
      <c r="C1126" s="343"/>
      <c r="D1126" s="213"/>
      <c r="E1126" s="214"/>
      <c r="F1126" s="215"/>
    </row>
    <row r="1127" spans="1:6" ht="21.75" customHeight="1">
      <c r="A1127" s="221"/>
      <c r="B1127" s="223"/>
      <c r="C1127" s="343"/>
      <c r="D1127" s="213"/>
      <c r="E1127" s="214"/>
      <c r="F1127" s="215"/>
    </row>
    <row r="1128" spans="1:6" ht="21.75" customHeight="1">
      <c r="A1128" s="221"/>
      <c r="B1128" s="223"/>
      <c r="C1128" s="343"/>
      <c r="D1128" s="213"/>
      <c r="E1128" s="214"/>
      <c r="F1128" s="215"/>
    </row>
    <row r="1129" spans="1:6" ht="21.75" customHeight="1">
      <c r="A1129" s="221"/>
      <c r="B1129" s="223"/>
      <c r="C1129" s="343"/>
      <c r="D1129" s="213"/>
      <c r="E1129" s="214"/>
      <c r="F1129" s="215"/>
    </row>
    <row r="1130" spans="1:6" ht="21.75" customHeight="1">
      <c r="A1130" s="221"/>
      <c r="B1130" s="223"/>
      <c r="C1130" s="343"/>
      <c r="D1130" s="213"/>
      <c r="E1130" s="214"/>
      <c r="F1130" s="215"/>
    </row>
    <row r="1131" spans="1:6" ht="21.75" customHeight="1">
      <c r="A1131" s="221"/>
      <c r="B1131" s="223"/>
      <c r="C1131" s="343"/>
      <c r="D1131" s="213"/>
      <c r="E1131" s="214"/>
      <c r="F1131" s="215"/>
    </row>
    <row r="1132" spans="1:6" ht="21.75" customHeight="1">
      <c r="A1132" s="221"/>
      <c r="B1132" s="223"/>
      <c r="C1132" s="343"/>
      <c r="D1132" s="213"/>
      <c r="E1132" s="214"/>
      <c r="F1132" s="215"/>
    </row>
    <row r="1133" spans="1:6" ht="21.75" customHeight="1">
      <c r="A1133" s="221"/>
      <c r="B1133" s="223"/>
      <c r="C1133" s="343"/>
      <c r="D1133" s="213"/>
      <c r="E1133" s="214"/>
      <c r="F1133" s="215"/>
    </row>
    <row r="1134" spans="1:6" ht="21.75" customHeight="1">
      <c r="A1134" s="221"/>
      <c r="B1134" s="223"/>
      <c r="C1134" s="343"/>
      <c r="D1134" s="213"/>
      <c r="E1134" s="214"/>
      <c r="F1134" s="215"/>
    </row>
    <row r="1135" spans="1:6" ht="21.75" customHeight="1">
      <c r="A1135" s="221"/>
      <c r="B1135" s="223"/>
      <c r="C1135" s="343"/>
      <c r="D1135" s="213"/>
      <c r="E1135" s="214"/>
      <c r="F1135" s="215"/>
    </row>
    <row r="1136" spans="1:6" ht="21.75" customHeight="1">
      <c r="A1136" s="221"/>
      <c r="B1136" s="223"/>
      <c r="C1136" s="343"/>
      <c r="D1136" s="213"/>
      <c r="E1136" s="214"/>
      <c r="F1136" s="215"/>
    </row>
    <row r="1137" spans="1:6" ht="21.75" customHeight="1">
      <c r="A1137" s="221"/>
      <c r="B1137" s="223"/>
      <c r="C1137" s="343"/>
      <c r="D1137" s="213"/>
      <c r="E1137" s="214"/>
      <c r="F1137" s="215"/>
    </row>
    <row r="1138" spans="1:6" ht="21.75" customHeight="1">
      <c r="A1138" s="221"/>
      <c r="B1138" s="223"/>
      <c r="C1138" s="343"/>
      <c r="D1138" s="213"/>
      <c r="E1138" s="214"/>
      <c r="F1138" s="215"/>
    </row>
    <row r="1139" spans="1:6" ht="21.75" customHeight="1">
      <c r="A1139" s="221"/>
      <c r="B1139" s="223"/>
      <c r="C1139" s="343"/>
      <c r="D1139" s="213"/>
      <c r="E1139" s="214"/>
      <c r="F1139" s="215"/>
    </row>
    <row r="1140" spans="1:6" ht="21.75" customHeight="1">
      <c r="A1140" s="221"/>
      <c r="B1140" s="223"/>
      <c r="C1140" s="343"/>
      <c r="D1140" s="213"/>
      <c r="E1140" s="214"/>
      <c r="F1140" s="215"/>
    </row>
    <row r="1141" spans="1:6" ht="21.75" customHeight="1">
      <c r="A1141" s="221"/>
      <c r="B1141" s="223"/>
      <c r="C1141" s="343"/>
      <c r="D1141" s="213"/>
      <c r="E1141" s="214"/>
      <c r="F1141" s="215"/>
    </row>
    <row r="1142" spans="1:6" ht="21.75" customHeight="1">
      <c r="A1142" s="221"/>
      <c r="B1142" s="223"/>
      <c r="C1142" s="343"/>
      <c r="D1142" s="229"/>
      <c r="E1142" s="214"/>
      <c r="F1142" s="215"/>
    </row>
    <row r="1143" spans="1:6" ht="21.75" customHeight="1">
      <c r="A1143" s="221"/>
      <c r="B1143" s="223"/>
      <c r="C1143" s="343"/>
      <c r="D1143" s="229"/>
      <c r="E1143" s="214"/>
      <c r="F1143" s="215"/>
    </row>
    <row r="1144" spans="1:6" ht="21.75" customHeight="1">
      <c r="A1144" s="221"/>
      <c r="B1144" s="223"/>
      <c r="C1144" s="343"/>
      <c r="D1144" s="213"/>
      <c r="E1144" s="214"/>
      <c r="F1144" s="215"/>
    </row>
    <row r="1145" spans="1:6" ht="21.75" customHeight="1">
      <c r="A1145" s="221"/>
      <c r="B1145" s="223"/>
      <c r="C1145" s="343"/>
      <c r="D1145" s="213"/>
      <c r="E1145" s="214"/>
      <c r="F1145" s="215"/>
    </row>
    <row r="1146" spans="1:6" ht="21.75" customHeight="1">
      <c r="A1146" s="221"/>
      <c r="B1146" s="223"/>
      <c r="C1146" s="343"/>
      <c r="D1146" s="213"/>
      <c r="E1146" s="214"/>
      <c r="F1146" s="215"/>
    </row>
    <row r="1147" spans="1:6" ht="21.75" customHeight="1">
      <c r="A1147" s="221"/>
      <c r="B1147" s="223"/>
      <c r="C1147" s="343"/>
      <c r="D1147" s="213"/>
      <c r="E1147" s="214"/>
      <c r="F1147" s="215"/>
    </row>
    <row r="1148" spans="1:6" ht="21.75" customHeight="1">
      <c r="A1148" s="221"/>
      <c r="B1148" s="223"/>
      <c r="C1148" s="343"/>
      <c r="D1148" s="213"/>
      <c r="E1148" s="214"/>
      <c r="F1148" s="215"/>
    </row>
    <row r="1149" spans="1:6" ht="21.75" customHeight="1">
      <c r="A1149" s="221"/>
      <c r="B1149" s="223"/>
      <c r="C1149" s="343"/>
      <c r="D1149" s="213"/>
      <c r="E1149" s="214"/>
      <c r="F1149" s="215"/>
    </row>
    <row r="1150" spans="1:6" ht="21.75" customHeight="1">
      <c r="A1150" s="221"/>
      <c r="B1150" s="223"/>
      <c r="C1150" s="343"/>
      <c r="D1150" s="213"/>
      <c r="E1150" s="214"/>
      <c r="F1150" s="215"/>
    </row>
    <row r="1151" spans="1:6" ht="21.75" customHeight="1">
      <c r="A1151" s="221"/>
      <c r="B1151" s="223"/>
      <c r="C1151" s="343"/>
      <c r="D1151" s="213"/>
      <c r="E1151" s="214"/>
      <c r="F1151" s="215"/>
    </row>
    <row r="1152" spans="1:6" ht="21.75" customHeight="1">
      <c r="A1152" s="221"/>
      <c r="B1152" s="223"/>
      <c r="C1152" s="343"/>
      <c r="D1152" s="213"/>
      <c r="E1152" s="214"/>
      <c r="F1152" s="215"/>
    </row>
    <row r="1153" spans="1:6" ht="21.75" customHeight="1">
      <c r="A1153" s="221"/>
      <c r="B1153" s="223"/>
      <c r="C1153" s="343"/>
      <c r="D1153" s="213"/>
      <c r="E1153" s="214"/>
      <c r="F1153" s="215"/>
    </row>
    <row r="1154" spans="1:6" ht="21.75" customHeight="1">
      <c r="A1154" s="221"/>
      <c r="B1154" s="223"/>
      <c r="C1154" s="343"/>
      <c r="D1154" s="213"/>
      <c r="E1154" s="214"/>
      <c r="F1154" s="215"/>
    </row>
    <row r="1155" spans="1:6" ht="21.75" customHeight="1">
      <c r="A1155" s="221"/>
      <c r="B1155" s="223"/>
      <c r="C1155" s="343"/>
      <c r="D1155" s="213"/>
      <c r="E1155" s="214"/>
      <c r="F1155" s="215"/>
    </row>
    <row r="1156" spans="1:6" ht="21.75" customHeight="1">
      <c r="A1156" s="221"/>
      <c r="B1156" s="223"/>
      <c r="C1156" s="343"/>
      <c r="D1156" s="213"/>
      <c r="E1156" s="214"/>
      <c r="F1156" s="215"/>
    </row>
    <row r="1157" spans="1:6" ht="21.75" customHeight="1">
      <c r="A1157" s="221"/>
      <c r="B1157" s="223"/>
      <c r="C1157" s="343"/>
      <c r="D1157" s="213"/>
      <c r="E1157" s="214"/>
      <c r="F1157" s="215"/>
    </row>
    <row r="1158" spans="1:6" ht="21.75" customHeight="1">
      <c r="A1158" s="221"/>
      <c r="B1158" s="223"/>
      <c r="C1158" s="343"/>
      <c r="D1158" s="213"/>
      <c r="E1158" s="214"/>
      <c r="F1158" s="215"/>
    </row>
    <row r="1159" spans="1:6" ht="21.75" customHeight="1">
      <c r="A1159" s="221"/>
      <c r="B1159" s="223"/>
      <c r="C1159" s="343"/>
      <c r="D1159" s="213"/>
      <c r="E1159" s="214"/>
      <c r="F1159" s="215"/>
    </row>
    <row r="1160" spans="1:6" ht="21.75" customHeight="1">
      <c r="A1160" s="221"/>
      <c r="B1160" s="223"/>
      <c r="C1160" s="343"/>
      <c r="D1160" s="213"/>
      <c r="E1160" s="214"/>
      <c r="F1160" s="215"/>
    </row>
    <row r="1161" spans="1:6" ht="21.75" customHeight="1">
      <c r="A1161" s="221"/>
      <c r="B1161" s="223"/>
      <c r="C1161" s="343"/>
      <c r="D1161" s="213"/>
      <c r="E1161" s="214"/>
      <c r="F1161" s="215"/>
    </row>
    <row r="1162" spans="1:6" ht="21.75" customHeight="1">
      <c r="A1162" s="221"/>
      <c r="B1162" s="223"/>
      <c r="C1162" s="343"/>
      <c r="D1162" s="213"/>
      <c r="E1162" s="214"/>
      <c r="F1162" s="215"/>
    </row>
    <row r="1163" spans="1:6" ht="21.75" customHeight="1">
      <c r="A1163" s="221"/>
      <c r="B1163" s="223"/>
      <c r="C1163" s="343"/>
      <c r="D1163" s="213"/>
      <c r="E1163" s="214"/>
      <c r="F1163" s="215"/>
    </row>
    <row r="1164" spans="1:6" ht="21.75" customHeight="1">
      <c r="A1164" s="221"/>
      <c r="B1164" s="223"/>
      <c r="C1164" s="343"/>
      <c r="D1164" s="213"/>
      <c r="E1164" s="214"/>
      <c r="F1164" s="215"/>
    </row>
    <row r="1165" spans="1:6" ht="21.75" customHeight="1">
      <c r="A1165" s="221"/>
      <c r="B1165" s="223"/>
      <c r="C1165" s="343"/>
      <c r="D1165" s="213"/>
      <c r="E1165" s="214"/>
      <c r="F1165" s="215"/>
    </row>
    <row r="1166" spans="1:6" ht="21.75" customHeight="1">
      <c r="A1166" s="221"/>
      <c r="B1166" s="223"/>
      <c r="C1166" s="343"/>
      <c r="D1166" s="213"/>
      <c r="E1166" s="214"/>
      <c r="F1166" s="215"/>
    </row>
    <row r="1167" spans="1:6" ht="21.75" customHeight="1">
      <c r="A1167" s="221"/>
      <c r="B1167" s="223"/>
      <c r="C1167" s="343"/>
      <c r="D1167" s="213"/>
      <c r="E1167" s="214"/>
      <c r="F1167" s="215"/>
    </row>
    <row r="1168" spans="1:6" ht="21.75" customHeight="1">
      <c r="A1168" s="221"/>
      <c r="B1168" s="223"/>
      <c r="C1168" s="343"/>
      <c r="D1168" s="213"/>
      <c r="E1168" s="214"/>
      <c r="F1168" s="215"/>
    </row>
    <row r="1169" spans="1:6" ht="21.75" customHeight="1">
      <c r="A1169" s="221"/>
      <c r="B1169" s="223"/>
      <c r="C1169" s="343"/>
      <c r="D1169" s="213"/>
      <c r="E1169" s="214"/>
      <c r="F1169" s="215"/>
    </row>
    <row r="1170" spans="1:6" ht="21.75" customHeight="1">
      <c r="A1170" s="221"/>
      <c r="B1170" s="223"/>
      <c r="C1170" s="343"/>
      <c r="D1170" s="213"/>
      <c r="E1170" s="214"/>
      <c r="F1170" s="215"/>
    </row>
    <row r="1171" spans="1:6" ht="21.75" customHeight="1">
      <c r="A1171" s="221"/>
      <c r="B1171" s="223"/>
      <c r="C1171" s="343"/>
      <c r="D1171" s="213"/>
      <c r="E1171" s="214"/>
      <c r="F1171" s="215"/>
    </row>
    <row r="1172" spans="1:6" ht="21.75" customHeight="1">
      <c r="A1172" s="221"/>
      <c r="B1172" s="223"/>
      <c r="C1172" s="343"/>
      <c r="D1172" s="213"/>
      <c r="E1172" s="214"/>
      <c r="F1172" s="215"/>
    </row>
    <row r="1173" spans="1:6" ht="21.75" customHeight="1">
      <c r="A1173" s="221"/>
      <c r="B1173" s="223"/>
      <c r="C1173" s="343"/>
      <c r="D1173" s="213"/>
      <c r="E1173" s="214"/>
      <c r="F1173" s="215"/>
    </row>
    <row r="1174" spans="1:6" ht="21.75" customHeight="1">
      <c r="A1174" s="221"/>
      <c r="B1174" s="223"/>
      <c r="C1174" s="343"/>
      <c r="D1174" s="213"/>
      <c r="E1174" s="214"/>
      <c r="F1174" s="215"/>
    </row>
    <row r="1175" spans="1:6" ht="21.75" customHeight="1">
      <c r="A1175" s="221"/>
      <c r="B1175" s="223"/>
      <c r="C1175" s="343"/>
      <c r="D1175" s="213"/>
      <c r="E1175" s="214"/>
      <c r="F1175" s="215"/>
    </row>
    <row r="1176" spans="1:6" ht="21.75" customHeight="1">
      <c r="A1176" s="221"/>
      <c r="B1176" s="223"/>
      <c r="C1176" s="343"/>
      <c r="D1176" s="213"/>
      <c r="E1176" s="214"/>
      <c r="F1176" s="215"/>
    </row>
    <row r="1177" spans="1:6" ht="21.75" customHeight="1">
      <c r="A1177" s="221"/>
      <c r="B1177" s="223"/>
      <c r="C1177" s="343"/>
      <c r="D1177" s="213"/>
      <c r="E1177" s="214"/>
      <c r="F1177" s="215"/>
    </row>
    <row r="1178" spans="1:6" ht="21.75" customHeight="1">
      <c r="A1178" s="221"/>
      <c r="B1178" s="223"/>
      <c r="C1178" s="343"/>
      <c r="D1178" s="213"/>
      <c r="E1178" s="214"/>
      <c r="F1178" s="215"/>
    </row>
    <row r="1179" spans="1:6" ht="21.75" customHeight="1">
      <c r="A1179" s="221"/>
      <c r="B1179" s="223"/>
      <c r="C1179" s="343"/>
      <c r="D1179" s="213"/>
      <c r="E1179" s="214"/>
      <c r="F1179" s="215"/>
    </row>
    <row r="1180" spans="1:6" ht="21.75" customHeight="1">
      <c r="A1180" s="221"/>
      <c r="B1180" s="223"/>
      <c r="C1180" s="343"/>
      <c r="D1180" s="213"/>
      <c r="E1180" s="214"/>
      <c r="F1180" s="215"/>
    </row>
    <row r="1181" spans="1:6" ht="21.75" customHeight="1">
      <c r="A1181" s="221"/>
      <c r="B1181" s="223"/>
      <c r="C1181" s="343"/>
      <c r="D1181" s="213"/>
      <c r="E1181" s="214"/>
      <c r="F1181" s="215"/>
    </row>
    <row r="1182" spans="1:6" ht="21.75" customHeight="1">
      <c r="A1182" s="221"/>
      <c r="B1182" s="223"/>
      <c r="C1182" s="343"/>
      <c r="D1182" s="213"/>
      <c r="E1182" s="214"/>
      <c r="F1182" s="215"/>
    </row>
    <row r="1183" spans="1:6" ht="21.75" customHeight="1">
      <c r="A1183" s="221"/>
      <c r="B1183" s="223"/>
      <c r="C1183" s="343"/>
      <c r="D1183" s="213"/>
      <c r="E1183" s="214"/>
      <c r="F1183" s="215"/>
    </row>
    <row r="1184" spans="1:6" ht="21.75" customHeight="1">
      <c r="A1184" s="221"/>
      <c r="B1184" s="223"/>
      <c r="C1184" s="343"/>
      <c r="D1184" s="213"/>
      <c r="E1184" s="214"/>
      <c r="F1184" s="215"/>
    </row>
    <row r="1185" spans="1:6" ht="21.75" customHeight="1">
      <c r="A1185" s="221"/>
      <c r="B1185" s="223"/>
      <c r="C1185" s="343"/>
      <c r="D1185" s="213"/>
      <c r="E1185" s="214"/>
      <c r="F1185" s="215"/>
    </row>
    <row r="1186" spans="1:6" ht="21.75" customHeight="1">
      <c r="A1186" s="221"/>
      <c r="B1186" s="223"/>
      <c r="C1186" s="343"/>
      <c r="D1186" s="213"/>
      <c r="E1186" s="214"/>
      <c r="F1186" s="215"/>
    </row>
    <row r="1187" spans="1:6" ht="21.75" customHeight="1">
      <c r="A1187" s="221"/>
      <c r="B1187" s="223"/>
      <c r="C1187" s="343"/>
      <c r="D1187" s="213"/>
      <c r="E1187" s="214"/>
      <c r="F1187" s="215"/>
    </row>
    <row r="1188" spans="1:6" ht="21.75" customHeight="1">
      <c r="A1188" s="221"/>
      <c r="B1188" s="223"/>
      <c r="C1188" s="343"/>
      <c r="D1188" s="213"/>
      <c r="E1188" s="214"/>
      <c r="F1188" s="215"/>
    </row>
    <row r="1189" spans="1:6" ht="21.75" customHeight="1">
      <c r="A1189" s="221"/>
      <c r="B1189" s="223"/>
      <c r="C1189" s="343"/>
      <c r="D1189" s="213"/>
      <c r="E1189" s="214"/>
      <c r="F1189" s="215"/>
    </row>
    <row r="1190" spans="1:6" ht="21.75" customHeight="1">
      <c r="A1190" s="221"/>
      <c r="B1190" s="223"/>
      <c r="C1190" s="343"/>
      <c r="D1190" s="213"/>
      <c r="E1190" s="214"/>
      <c r="F1190" s="215"/>
    </row>
    <row r="1191" spans="1:6" ht="21.75" customHeight="1">
      <c r="A1191" s="221"/>
      <c r="B1191" s="223"/>
      <c r="C1191" s="343"/>
      <c r="D1191" s="213"/>
      <c r="E1191" s="214"/>
      <c r="F1191" s="215"/>
    </row>
    <row r="1192" spans="1:6" ht="21.75" customHeight="1">
      <c r="A1192" s="221"/>
      <c r="B1192" s="223"/>
      <c r="C1192" s="343"/>
      <c r="D1192" s="213"/>
      <c r="E1192" s="214"/>
      <c r="F1192" s="215"/>
    </row>
    <row r="1193" spans="1:6" ht="21.75" customHeight="1">
      <c r="A1193" s="221"/>
      <c r="B1193" s="223"/>
      <c r="C1193" s="343"/>
      <c r="D1193" s="213"/>
      <c r="E1193" s="214"/>
      <c r="F1193" s="215"/>
    </row>
    <row r="1194" spans="1:6" ht="21.75" customHeight="1">
      <c r="A1194" s="221"/>
      <c r="B1194" s="223"/>
      <c r="C1194" s="343"/>
      <c r="D1194" s="213"/>
      <c r="E1194" s="214"/>
      <c r="F1194" s="215"/>
    </row>
    <row r="1195" spans="1:6" ht="21.75" customHeight="1">
      <c r="A1195" s="221"/>
      <c r="B1195" s="223"/>
      <c r="C1195" s="343"/>
      <c r="D1195" s="213"/>
      <c r="E1195" s="214"/>
      <c r="F1195" s="215"/>
    </row>
    <row r="1196" spans="1:6" ht="21.75" customHeight="1">
      <c r="A1196" s="221"/>
      <c r="B1196" s="223"/>
      <c r="C1196" s="343"/>
      <c r="D1196" s="213"/>
      <c r="E1196" s="214"/>
      <c r="F1196" s="215"/>
    </row>
    <row r="1197" spans="1:6" ht="21.75" customHeight="1">
      <c r="A1197" s="221"/>
      <c r="B1197" s="223"/>
      <c r="C1197" s="343"/>
      <c r="D1197" s="213"/>
      <c r="E1197" s="214"/>
      <c r="F1197" s="215"/>
    </row>
    <row r="1198" spans="1:6" ht="21.75" customHeight="1">
      <c r="A1198" s="221"/>
      <c r="B1198" s="223"/>
      <c r="C1198" s="343"/>
      <c r="D1198" s="213"/>
      <c r="E1198" s="214"/>
      <c r="F1198" s="215"/>
    </row>
    <row r="1199" spans="1:6" ht="21.75" customHeight="1">
      <c r="A1199" s="221"/>
      <c r="B1199" s="223"/>
      <c r="C1199" s="343"/>
      <c r="D1199" s="213"/>
      <c r="E1199" s="214"/>
      <c r="F1199" s="215"/>
    </row>
    <row r="1200" spans="1:6" ht="21.75" customHeight="1">
      <c r="A1200" s="221"/>
      <c r="B1200" s="223"/>
      <c r="C1200" s="343"/>
      <c r="D1200" s="213"/>
      <c r="E1200" s="214"/>
      <c r="F1200" s="215"/>
    </row>
    <row r="1201" spans="1:6" ht="21.75" customHeight="1">
      <c r="A1201" s="221"/>
      <c r="B1201" s="223"/>
      <c r="C1201" s="343"/>
      <c r="D1201" s="213"/>
      <c r="E1201" s="214"/>
      <c r="F1201" s="215"/>
    </row>
    <row r="1202" spans="1:6" ht="21.75" customHeight="1">
      <c r="A1202" s="221"/>
      <c r="B1202" s="223"/>
      <c r="C1202" s="343"/>
      <c r="D1202" s="213"/>
      <c r="E1202" s="214"/>
      <c r="F1202" s="215"/>
    </row>
    <row r="1203" spans="1:6" ht="21.75" customHeight="1">
      <c r="A1203" s="221"/>
      <c r="B1203" s="223"/>
      <c r="C1203" s="343"/>
      <c r="D1203" s="213"/>
      <c r="E1203" s="214"/>
      <c r="F1203" s="215"/>
    </row>
    <row r="1204" spans="1:6" ht="21.75" customHeight="1">
      <c r="A1204" s="221"/>
      <c r="B1204" s="223"/>
      <c r="C1204" s="343"/>
      <c r="D1204" s="213"/>
      <c r="E1204" s="214"/>
      <c r="F1204" s="215"/>
    </row>
    <row r="1205" spans="1:6" ht="21.75" customHeight="1">
      <c r="A1205" s="221"/>
      <c r="B1205" s="223"/>
      <c r="C1205" s="343"/>
      <c r="D1205" s="213"/>
      <c r="E1205" s="214"/>
      <c r="F1205" s="215"/>
    </row>
    <row r="1206" spans="1:6" ht="21.75" customHeight="1">
      <c r="A1206" s="221"/>
      <c r="B1206" s="223"/>
      <c r="C1206" s="343"/>
      <c r="D1206" s="213"/>
      <c r="E1206" s="214"/>
      <c r="F1206" s="215"/>
    </row>
    <row r="1207" spans="1:6" ht="21.75" customHeight="1">
      <c r="A1207" s="221"/>
      <c r="B1207" s="223"/>
      <c r="C1207" s="343"/>
      <c r="D1207" s="213"/>
      <c r="E1207" s="214"/>
      <c r="F1207" s="215"/>
    </row>
    <row r="1208" spans="1:6" ht="21.75" customHeight="1">
      <c r="A1208" s="221"/>
      <c r="B1208" s="223"/>
      <c r="C1208" s="343"/>
      <c r="D1208" s="213"/>
      <c r="E1208" s="214"/>
      <c r="F1208" s="215"/>
    </row>
    <row r="1209" spans="1:6" ht="21.75" customHeight="1">
      <c r="A1209" s="221"/>
      <c r="B1209" s="223"/>
      <c r="C1209" s="343"/>
      <c r="D1209" s="213"/>
      <c r="E1209" s="214"/>
      <c r="F1209" s="215"/>
    </row>
    <row r="1210" spans="1:6" ht="21.75" customHeight="1">
      <c r="A1210" s="221"/>
      <c r="B1210" s="223"/>
      <c r="C1210" s="343"/>
      <c r="D1210" s="213"/>
      <c r="E1210" s="214"/>
      <c r="F1210" s="215"/>
    </row>
    <row r="1211" spans="1:6" ht="21.75" customHeight="1">
      <c r="A1211" s="221"/>
      <c r="B1211" s="223"/>
      <c r="C1211" s="343"/>
      <c r="D1211" s="213"/>
      <c r="E1211" s="214"/>
      <c r="F1211" s="215"/>
    </row>
    <row r="1212" spans="1:6" ht="21.75" customHeight="1">
      <c r="A1212" s="221"/>
      <c r="B1212" s="223"/>
      <c r="C1212" s="343"/>
      <c r="D1212" s="213"/>
      <c r="E1212" s="214"/>
      <c r="F1212" s="215"/>
    </row>
    <row r="1213" spans="1:6" ht="21.75" customHeight="1">
      <c r="A1213" s="221"/>
      <c r="B1213" s="223"/>
      <c r="C1213" s="343"/>
      <c r="D1213" s="213"/>
      <c r="E1213" s="214"/>
      <c r="F1213" s="215"/>
    </row>
    <row r="1214" spans="1:6" ht="21.75" customHeight="1">
      <c r="A1214" s="221"/>
      <c r="B1214" s="223"/>
      <c r="C1214" s="343"/>
      <c r="D1214" s="213"/>
      <c r="E1214" s="214"/>
      <c r="F1214" s="215"/>
    </row>
    <row r="1215" spans="1:6" ht="21.75" customHeight="1">
      <c r="A1215" s="221"/>
      <c r="B1215" s="223"/>
      <c r="C1215" s="343"/>
      <c r="D1215" s="213"/>
      <c r="E1215" s="214"/>
      <c r="F1215" s="215"/>
    </row>
    <row r="1216" spans="1:6" ht="21.75" customHeight="1">
      <c r="A1216" s="221"/>
      <c r="B1216" s="223"/>
      <c r="C1216" s="343"/>
      <c r="D1216" s="213"/>
      <c r="E1216" s="214"/>
      <c r="F1216" s="215"/>
    </row>
    <row r="1217" spans="1:6" ht="21.75" customHeight="1">
      <c r="A1217" s="221"/>
      <c r="B1217" s="223"/>
      <c r="C1217" s="343"/>
      <c r="D1217" s="213"/>
      <c r="E1217" s="214"/>
      <c r="F1217" s="215"/>
    </row>
    <row r="1218" spans="1:6" ht="21.75" customHeight="1">
      <c r="A1218" s="221"/>
      <c r="B1218" s="223"/>
      <c r="C1218" s="343"/>
      <c r="D1218" s="213"/>
      <c r="E1218" s="214"/>
      <c r="F1218" s="215"/>
    </row>
    <row r="1219" spans="1:6" ht="21.75" customHeight="1">
      <c r="A1219" s="221"/>
      <c r="B1219" s="223"/>
      <c r="C1219" s="343"/>
      <c r="D1219" s="213"/>
      <c r="E1219" s="214"/>
      <c r="F1219" s="215"/>
    </row>
    <row r="1220" spans="1:6" ht="21.75" customHeight="1">
      <c r="A1220" s="221"/>
      <c r="B1220" s="223"/>
      <c r="C1220" s="343"/>
      <c r="D1220" s="213"/>
      <c r="E1220" s="214"/>
      <c r="F1220" s="215"/>
    </row>
    <row r="1221" spans="1:6" ht="21.75" customHeight="1">
      <c r="A1221" s="221"/>
      <c r="B1221" s="223"/>
      <c r="C1221" s="343"/>
      <c r="D1221" s="213"/>
      <c r="E1221" s="214"/>
      <c r="F1221" s="215"/>
    </row>
    <row r="1222" spans="1:6" ht="21.75" customHeight="1">
      <c r="A1222" s="221"/>
      <c r="B1222" s="223"/>
      <c r="C1222" s="343"/>
      <c r="D1222" s="213"/>
      <c r="E1222" s="214"/>
      <c r="F1222" s="215"/>
    </row>
    <row r="1223" spans="1:6" ht="21.75" customHeight="1">
      <c r="A1223" s="221"/>
      <c r="B1223" s="223"/>
      <c r="C1223" s="343"/>
      <c r="D1223" s="213"/>
      <c r="E1223" s="214"/>
      <c r="F1223" s="215"/>
    </row>
    <row r="1224" spans="1:6" ht="21.75" customHeight="1">
      <c r="A1224" s="221"/>
      <c r="B1224" s="223"/>
      <c r="C1224" s="343"/>
      <c r="D1224" s="213"/>
      <c r="E1224" s="214"/>
      <c r="F1224" s="215"/>
    </row>
    <row r="1225" spans="1:6" ht="21.75" customHeight="1">
      <c r="A1225" s="221"/>
      <c r="B1225" s="223"/>
      <c r="C1225" s="343"/>
      <c r="D1225" s="213"/>
      <c r="E1225" s="214"/>
      <c r="F1225" s="215"/>
    </row>
    <row r="1226" spans="1:6" ht="21.75" customHeight="1">
      <c r="A1226" s="221"/>
      <c r="B1226" s="223"/>
      <c r="C1226" s="343"/>
      <c r="D1226" s="213"/>
      <c r="E1226" s="214"/>
      <c r="F1226" s="215"/>
    </row>
    <row r="1227" spans="1:6" ht="21.75" customHeight="1">
      <c r="A1227" s="221"/>
      <c r="B1227" s="223"/>
      <c r="C1227" s="343"/>
      <c r="D1227" s="213"/>
      <c r="E1227" s="214"/>
      <c r="F1227" s="230"/>
    </row>
    <row r="1228" spans="1:6" ht="21.75" customHeight="1">
      <c r="A1228" s="221"/>
      <c r="B1228" s="223"/>
      <c r="C1228" s="343"/>
      <c r="D1228" s="213"/>
      <c r="E1228" s="214"/>
      <c r="F1228" s="230"/>
    </row>
    <row r="1229" spans="1:6" ht="21.75" customHeight="1">
      <c r="A1229" s="221"/>
      <c r="B1229" s="223"/>
      <c r="C1229" s="343"/>
      <c r="D1229" s="213"/>
      <c r="E1229" s="214"/>
      <c r="F1229" s="230"/>
    </row>
    <row r="1230" spans="1:6" ht="21.75" customHeight="1">
      <c r="A1230" s="221"/>
      <c r="B1230" s="223"/>
      <c r="C1230" s="343"/>
      <c r="D1230" s="213"/>
      <c r="E1230" s="214"/>
      <c r="F1230" s="230"/>
    </row>
    <row r="1231" spans="1:6" ht="21.75" customHeight="1">
      <c r="A1231" s="221"/>
      <c r="B1231" s="223"/>
      <c r="C1231" s="343"/>
      <c r="D1231" s="213"/>
      <c r="E1231" s="214"/>
      <c r="F1231" s="230"/>
    </row>
    <row r="1232" spans="1:6" ht="21.75" customHeight="1">
      <c r="A1232" s="221"/>
      <c r="B1232" s="223"/>
      <c r="C1232" s="343"/>
      <c r="D1232" s="213"/>
      <c r="E1232" s="214"/>
      <c r="F1232" s="230"/>
    </row>
    <row r="1233" spans="1:6" ht="21.75" customHeight="1">
      <c r="A1233" s="221"/>
      <c r="B1233" s="223"/>
      <c r="C1233" s="343"/>
      <c r="D1233" s="213"/>
      <c r="E1233" s="214"/>
      <c r="F1233" s="230"/>
    </row>
    <row r="1234" spans="1:6" ht="21.75" customHeight="1">
      <c r="A1234" s="221"/>
      <c r="B1234" s="223"/>
      <c r="C1234" s="343"/>
      <c r="D1234" s="213"/>
      <c r="E1234" s="214"/>
      <c r="F1234" s="230"/>
    </row>
    <row r="1235" spans="1:6" ht="21.75" customHeight="1">
      <c r="A1235" s="221"/>
      <c r="B1235" s="223"/>
      <c r="C1235" s="343"/>
      <c r="D1235" s="213"/>
      <c r="E1235" s="214"/>
      <c r="F1235" s="230"/>
    </row>
    <row r="1236" spans="1:6" ht="21.75" customHeight="1">
      <c r="A1236" s="221"/>
      <c r="B1236" s="223"/>
      <c r="C1236" s="343"/>
      <c r="D1236" s="213"/>
      <c r="E1236" s="214"/>
      <c r="F1236" s="230"/>
    </row>
    <row r="1237" spans="1:6" ht="21.75" customHeight="1">
      <c r="A1237" s="221"/>
      <c r="B1237" s="223"/>
      <c r="C1237" s="343"/>
      <c r="D1237" s="213"/>
      <c r="E1237" s="214"/>
      <c r="F1237" s="230"/>
    </row>
    <row r="1238" spans="1:6" ht="21.75" customHeight="1">
      <c r="A1238" s="221"/>
      <c r="B1238" s="223"/>
      <c r="C1238" s="343"/>
      <c r="D1238" s="213"/>
      <c r="E1238" s="214"/>
      <c r="F1238" s="230"/>
    </row>
    <row r="1239" spans="1:6" ht="21.75" customHeight="1">
      <c r="A1239" s="221"/>
      <c r="B1239" s="223"/>
      <c r="C1239" s="343"/>
      <c r="D1239" s="213"/>
      <c r="E1239" s="214"/>
      <c r="F1239" s="230"/>
    </row>
    <row r="1240" spans="1:6" ht="21.75" customHeight="1">
      <c r="A1240" s="221"/>
      <c r="B1240" s="223"/>
      <c r="C1240" s="343"/>
      <c r="D1240" s="213"/>
      <c r="E1240" s="214"/>
      <c r="F1240" s="230"/>
    </row>
    <row r="1241" spans="1:6" ht="21.75" customHeight="1">
      <c r="A1241" s="221"/>
      <c r="B1241" s="223"/>
      <c r="C1241" s="343"/>
      <c r="D1241" s="213"/>
      <c r="E1241" s="214"/>
      <c r="F1241" s="230"/>
    </row>
    <row r="1242" spans="1:6" ht="21.75" customHeight="1">
      <c r="A1242" s="221"/>
      <c r="B1242" s="223"/>
      <c r="C1242" s="343"/>
      <c r="D1242" s="213"/>
      <c r="E1242" s="214"/>
      <c r="F1242" s="230"/>
    </row>
    <row r="1243" spans="1:6" ht="21.75" customHeight="1">
      <c r="A1243" s="221"/>
      <c r="B1243" s="223"/>
      <c r="C1243" s="343"/>
      <c r="D1243" s="213"/>
      <c r="E1243" s="214"/>
      <c r="F1243" s="230"/>
    </row>
    <row r="1244" spans="1:6" ht="21.75" customHeight="1">
      <c r="A1244" s="221"/>
      <c r="B1244" s="223"/>
      <c r="C1244" s="343"/>
      <c r="D1244" s="213"/>
      <c r="E1244" s="214"/>
      <c r="F1244" s="230"/>
    </row>
    <row r="1245" spans="1:6" ht="21.75" customHeight="1">
      <c r="A1245" s="221"/>
      <c r="B1245" s="223"/>
      <c r="C1245" s="343"/>
      <c r="D1245" s="213"/>
      <c r="E1245" s="214"/>
      <c r="F1245" s="230"/>
    </row>
    <row r="1246" spans="1:6" ht="21.75" customHeight="1">
      <c r="A1246" s="221"/>
      <c r="B1246" s="223"/>
      <c r="C1246" s="343"/>
      <c r="D1246" s="213"/>
      <c r="E1246" s="214"/>
      <c r="F1246" s="230"/>
    </row>
    <row r="1247" spans="1:6" ht="21.75" customHeight="1">
      <c r="A1247" s="221"/>
      <c r="B1247" s="223"/>
      <c r="C1247" s="343"/>
      <c r="D1247" s="213"/>
      <c r="E1247" s="214"/>
      <c r="F1247" s="230"/>
    </row>
    <row r="1248" spans="1:6" ht="21.75" customHeight="1">
      <c r="A1248" s="221"/>
      <c r="B1248" s="223"/>
      <c r="C1248" s="343"/>
      <c r="D1248" s="213"/>
      <c r="E1248" s="214"/>
      <c r="F1248" s="230"/>
    </row>
    <row r="1249" spans="1:6" ht="21.75" customHeight="1">
      <c r="A1249" s="221"/>
      <c r="B1249" s="223"/>
      <c r="C1249" s="343"/>
      <c r="D1249" s="213"/>
      <c r="E1249" s="214"/>
      <c r="F1249" s="230"/>
    </row>
    <row r="1250" spans="1:6" ht="21.75" customHeight="1">
      <c r="A1250" s="221"/>
      <c r="B1250" s="223"/>
      <c r="C1250" s="343"/>
      <c r="D1250" s="213"/>
      <c r="E1250" s="214"/>
      <c r="F1250" s="230"/>
    </row>
    <row r="1251" spans="1:6" ht="21.75" customHeight="1">
      <c r="A1251" s="221"/>
      <c r="B1251" s="223"/>
      <c r="C1251" s="343"/>
      <c r="D1251" s="213"/>
      <c r="E1251" s="214"/>
      <c r="F1251" s="230"/>
    </row>
    <row r="1252" spans="1:6" ht="21.75" customHeight="1">
      <c r="A1252" s="221"/>
      <c r="B1252" s="223"/>
      <c r="C1252" s="343"/>
      <c r="D1252" s="213"/>
      <c r="E1252" s="214"/>
      <c r="F1252" s="231"/>
    </row>
    <row r="1253" spans="1:6" ht="21.75" customHeight="1">
      <c r="A1253" s="232"/>
      <c r="B1253" s="223"/>
      <c r="C1253" s="343"/>
      <c r="D1253" s="213"/>
      <c r="E1253" s="214"/>
      <c r="F1253" s="231"/>
    </row>
    <row r="1254" spans="1:6" ht="21.75" customHeight="1">
      <c r="A1254" s="232"/>
      <c r="B1254" s="223"/>
      <c r="C1254" s="343"/>
      <c r="D1254" s="213"/>
      <c r="E1254" s="214"/>
      <c r="F1254" s="231"/>
    </row>
    <row r="1255" spans="1:6" ht="21.75" customHeight="1">
      <c r="A1255" s="232"/>
      <c r="B1255" s="223"/>
      <c r="C1255" s="343"/>
      <c r="D1255" s="213"/>
      <c r="E1255" s="214"/>
      <c r="F1255" s="231"/>
    </row>
    <row r="1256" spans="1:6" ht="21.75" customHeight="1">
      <c r="A1256" s="232"/>
      <c r="B1256" s="223"/>
      <c r="C1256" s="343"/>
      <c r="D1256" s="213"/>
      <c r="E1256" s="214"/>
      <c r="F1256" s="231"/>
    </row>
    <row r="1257" spans="1:6" ht="21.75" customHeight="1">
      <c r="A1257" s="232"/>
      <c r="B1257" s="223"/>
      <c r="C1257" s="343"/>
      <c r="D1257" s="213"/>
      <c r="E1257" s="214"/>
      <c r="F1257" s="231"/>
    </row>
    <row r="1258" spans="1:6" ht="21.75" customHeight="1">
      <c r="A1258" s="232"/>
      <c r="B1258" s="223"/>
      <c r="C1258" s="343"/>
      <c r="D1258" s="213"/>
      <c r="E1258" s="214"/>
      <c r="F1258" s="231"/>
    </row>
    <row r="1259" spans="1:6" ht="21.75" customHeight="1">
      <c r="A1259" s="232"/>
      <c r="B1259" s="223"/>
      <c r="C1259" s="343"/>
      <c r="D1259" s="213"/>
      <c r="E1259" s="214"/>
      <c r="F1259" s="231"/>
    </row>
    <row r="1260" spans="1:6" ht="21.75" customHeight="1">
      <c r="A1260" s="232"/>
      <c r="B1260" s="223"/>
      <c r="C1260" s="343"/>
      <c r="D1260" s="213"/>
      <c r="E1260" s="214"/>
      <c r="F1260" s="231"/>
    </row>
    <row r="1261" spans="1:6" ht="21.75" customHeight="1">
      <c r="A1261" s="232"/>
      <c r="B1261" s="223"/>
      <c r="C1261" s="343"/>
      <c r="D1261" s="213"/>
      <c r="E1261" s="214"/>
      <c r="F1261" s="231"/>
    </row>
    <row r="1262" spans="1:6" ht="21.75" customHeight="1">
      <c r="A1262" s="232"/>
      <c r="B1262" s="223"/>
      <c r="C1262" s="344"/>
      <c r="D1262" s="213"/>
      <c r="E1262" s="214"/>
      <c r="F1262" s="231"/>
    </row>
    <row r="1263" spans="1:6" ht="21.75" customHeight="1">
      <c r="A1263" s="232"/>
      <c r="B1263" s="223"/>
      <c r="C1263" s="344"/>
      <c r="D1263" s="213"/>
      <c r="E1263" s="214"/>
      <c r="F1263" s="231"/>
    </row>
    <row r="1264" spans="1:6" ht="21.75" customHeight="1">
      <c r="A1264" s="232"/>
      <c r="B1264" s="223"/>
      <c r="C1264" s="344"/>
      <c r="D1264" s="213"/>
      <c r="E1264" s="214"/>
      <c r="F1264" s="231"/>
    </row>
    <row r="1265" spans="1:6" ht="21.75" customHeight="1">
      <c r="A1265" s="232"/>
      <c r="B1265" s="223"/>
      <c r="C1265" s="344"/>
      <c r="D1265" s="213"/>
      <c r="E1265" s="214"/>
      <c r="F1265" s="231"/>
    </row>
    <row r="1266" spans="1:6" ht="21.75" customHeight="1">
      <c r="A1266" s="232"/>
      <c r="B1266" s="223"/>
      <c r="C1266" s="344"/>
      <c r="D1266" s="213"/>
      <c r="E1266" s="214"/>
      <c r="F1266" s="231"/>
    </row>
    <row r="1267" spans="1:6" ht="21.75" customHeight="1">
      <c r="A1267" s="232"/>
      <c r="B1267" s="223"/>
      <c r="C1267" s="344"/>
      <c r="D1267" s="213"/>
      <c r="E1267" s="214"/>
      <c r="F1267" s="231"/>
    </row>
    <row r="1268" spans="1:6" ht="21.75" customHeight="1">
      <c r="A1268" s="232"/>
      <c r="B1268" s="212" t="e">
        <f>VLOOKUP(A1268,[1]Daily!$A$1:$C$65536,3,FALSE)</f>
        <v>#N/A</v>
      </c>
      <c r="C1268" s="343"/>
      <c r="D1268" s="233"/>
      <c r="E1268" s="234"/>
      <c r="F1268" s="235"/>
    </row>
    <row r="1269" spans="1:6" ht="21.75" customHeight="1">
      <c r="A1269" s="232"/>
      <c r="B1269" s="212" t="e">
        <f>VLOOKUP(A1269,[1]Daily!$A$1:$C$65536,3,FALSE)</f>
        <v>#N/A</v>
      </c>
      <c r="C1269" s="343"/>
      <c r="D1269" s="213"/>
      <c r="E1269" s="214"/>
      <c r="F1269" s="231"/>
    </row>
    <row r="1270" spans="1:6" ht="21.75" customHeight="1">
      <c r="A1270" s="232"/>
      <c r="B1270" s="212" t="e">
        <f>VLOOKUP(A1270,[1]Daily!$A$1:$C$65536,3,FALSE)</f>
        <v>#N/A</v>
      </c>
      <c r="C1270" s="343"/>
      <c r="D1270" s="213"/>
      <c r="E1270" s="214"/>
      <c r="F1270" s="231"/>
    </row>
    <row r="1271" spans="1:6" ht="21.75" customHeight="1">
      <c r="A1271" s="232"/>
      <c r="B1271" s="212" t="e">
        <f>VLOOKUP(A1271,[1]Daily!$A$1:$C$65536,3,FALSE)</f>
        <v>#N/A</v>
      </c>
      <c r="C1271" s="343"/>
      <c r="D1271" s="213"/>
      <c r="E1271" s="214"/>
      <c r="F1271" s="231"/>
    </row>
    <row r="1272" spans="1:6" ht="21.75" customHeight="1">
      <c r="A1272" s="232"/>
      <c r="B1272" s="212" t="e">
        <f>VLOOKUP(A1272,[1]Daily!$A$1:$C$65536,3,FALSE)</f>
        <v>#N/A</v>
      </c>
      <c r="C1272" s="343"/>
      <c r="D1272" s="213"/>
      <c r="E1272" s="214"/>
      <c r="F1272" s="231"/>
    </row>
    <row r="1273" spans="1:6" ht="21.75" customHeight="1">
      <c r="A1273" s="232"/>
      <c r="B1273" s="212" t="e">
        <f>VLOOKUP(A1273,[1]Daily!$A$1:$C$65536,3,FALSE)</f>
        <v>#N/A</v>
      </c>
      <c r="C1273" s="343"/>
      <c r="D1273" s="213"/>
      <c r="E1273" s="214"/>
      <c r="F1273" s="231"/>
    </row>
    <row r="1274" spans="1:6" ht="21.75" customHeight="1">
      <c r="A1274" s="232"/>
      <c r="B1274" s="212" t="e">
        <f>VLOOKUP(A1274,[1]Daily!$A$1:$C$65536,3,FALSE)</f>
        <v>#N/A</v>
      </c>
      <c r="C1274" s="343"/>
      <c r="D1274" s="213"/>
      <c r="E1274" s="214"/>
      <c r="F1274" s="231"/>
    </row>
    <row r="1275" spans="1:6" ht="21.75" customHeight="1">
      <c r="A1275" s="232"/>
      <c r="B1275" s="212" t="e">
        <f>VLOOKUP(A1275,[1]Daily!$A$1:$C$65536,3,FALSE)</f>
        <v>#N/A</v>
      </c>
      <c r="C1275" s="343"/>
      <c r="D1275" s="213"/>
      <c r="E1275" s="214"/>
      <c r="F1275" s="231"/>
    </row>
    <row r="1276" spans="1:6" ht="21.75" customHeight="1">
      <c r="A1276" s="232"/>
      <c r="B1276" s="212" t="e">
        <f>VLOOKUP(A1276,[1]Daily!$A$1:$C$65536,3,FALSE)</f>
        <v>#N/A</v>
      </c>
      <c r="C1276" s="343"/>
      <c r="D1276" s="213"/>
      <c r="E1276" s="214"/>
      <c r="F1276" s="231"/>
    </row>
    <row r="1277" spans="1:6" ht="21.75" customHeight="1">
      <c r="A1277" s="232"/>
      <c r="B1277" s="212" t="e">
        <f>VLOOKUP(A1277,[1]Daily!$A$1:$C$65536,3,FALSE)</f>
        <v>#N/A</v>
      </c>
      <c r="C1277" s="343"/>
      <c r="D1277" s="213"/>
      <c r="E1277" s="214"/>
      <c r="F1277" s="231"/>
    </row>
    <row r="1278" spans="1:6" ht="21.75" customHeight="1">
      <c r="A1278" s="232"/>
      <c r="B1278" s="212" t="e">
        <f>VLOOKUP(A1278,[1]Daily!$A$1:$C$65536,3,FALSE)</f>
        <v>#N/A</v>
      </c>
      <c r="C1278" s="343"/>
      <c r="D1278" s="213"/>
      <c r="E1278" s="214"/>
      <c r="F1278" s="231"/>
    </row>
    <row r="1279" spans="1:6" ht="21.75" customHeight="1">
      <c r="A1279" s="232"/>
      <c r="B1279" s="212" t="e">
        <f>VLOOKUP(A1279,[1]Daily!$A$1:$C$65536,3,FALSE)</f>
        <v>#N/A</v>
      </c>
      <c r="C1279" s="343"/>
      <c r="D1279" s="213"/>
      <c r="E1279" s="214"/>
      <c r="F1279" s="231"/>
    </row>
    <row r="1280" spans="1:6" ht="21.75" customHeight="1">
      <c r="A1280" s="232"/>
      <c r="B1280" s="212" t="e">
        <f>VLOOKUP(A1280,[1]Daily!$A$1:$C$65536,3,FALSE)</f>
        <v>#N/A</v>
      </c>
      <c r="C1280" s="343"/>
      <c r="D1280" s="213"/>
      <c r="E1280" s="214"/>
      <c r="F1280" s="231"/>
    </row>
    <row r="1281" spans="1:6" ht="21.75" customHeight="1">
      <c r="A1281" s="232"/>
      <c r="B1281" s="212" t="e">
        <f>VLOOKUP(A1281,[1]Daily!$A$1:$C$65536,3,FALSE)</f>
        <v>#N/A</v>
      </c>
      <c r="C1281" s="343"/>
      <c r="D1281" s="213"/>
      <c r="E1281" s="214"/>
      <c r="F1281" s="231"/>
    </row>
    <row r="1282" spans="1:6" ht="21.75" customHeight="1">
      <c r="A1282" s="232"/>
      <c r="B1282" s="212" t="e">
        <f>VLOOKUP(A1282,[1]Daily!$A$1:$C$65536,3,FALSE)</f>
        <v>#N/A</v>
      </c>
      <c r="C1282" s="343"/>
      <c r="D1282" s="213"/>
      <c r="E1282" s="214"/>
      <c r="F1282" s="236"/>
    </row>
  </sheetData>
  <autoFilter ref="A5:U203"/>
  <mergeCells count="5">
    <mergeCell ref="A4:A5"/>
    <mergeCell ref="B4:B5"/>
    <mergeCell ref="C4:C5"/>
    <mergeCell ref="D4:D5"/>
    <mergeCell ref="F4:F5"/>
  </mergeCells>
  <phoneticPr fontId="73" type="noConversion"/>
  <printOptions horizontalCentered="1"/>
  <pageMargins left="0.15748031496063" right="0.39370078740157499" top="0.78740157480314998" bottom="0.39370078740157499" header="0.31496062992126" footer="0"/>
  <pageSetup paperSize="9" scale="10" orientation="landscape"/>
  <headerFooter alignWithMargins="0">
    <oddFooter>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 filterMode="1">
    <pageSetUpPr fitToPage="1"/>
  </sheetPr>
  <dimension ref="A1:XEN313"/>
  <sheetViews>
    <sheetView showGridLines="0" tabSelected="1" zoomScaleSheetLayoutView="90" workbookViewId="0">
      <pane ySplit="4" topLeftCell="A224" activePane="bottomLeft" state="frozen"/>
      <selection pane="bottomLeft" activeCell="U278" sqref="U278"/>
    </sheetView>
  </sheetViews>
  <sheetFormatPr defaultColWidth="9" defaultRowHeight="16.5"/>
  <cols>
    <col min="1" max="1" width="2.25" style="95" customWidth="1"/>
    <col min="2" max="2" width="8" style="96" customWidth="1"/>
    <col min="3" max="3" width="11.375" style="96" customWidth="1"/>
    <col min="4" max="4" width="13.625" style="97" customWidth="1"/>
    <col min="5" max="5" width="11.375" style="96" customWidth="1"/>
    <col min="6" max="6" width="11.375" style="96" hidden="1" customWidth="1"/>
    <col min="7" max="7" width="9" style="96" customWidth="1"/>
    <col min="8" max="8" width="7.75" style="96" customWidth="1"/>
    <col min="9" max="9" width="7.75" style="96" hidden="1" customWidth="1"/>
    <col min="10" max="10" width="11.25" style="98" customWidth="1"/>
    <col min="11" max="11" width="11" style="98" customWidth="1"/>
    <col min="12" max="12" width="13.875" style="98" customWidth="1"/>
    <col min="13" max="13" width="10.25" style="98" customWidth="1"/>
    <col min="14" max="14" width="15.875" style="98" customWidth="1"/>
    <col min="15" max="15" width="9.25" style="98" hidden="1" customWidth="1"/>
    <col min="16" max="16" width="14.75" style="98" hidden="1" customWidth="1"/>
    <col min="17" max="17" width="14.375" style="99" customWidth="1"/>
    <col min="18" max="18" width="31.25" style="100" hidden="1" customWidth="1"/>
    <col min="19" max="19" width="12.375" style="100" hidden="1" customWidth="1"/>
    <col min="20" max="20" width="9.25" style="101" hidden="1" customWidth="1"/>
    <col min="21" max="21" width="8.25" style="102" customWidth="1"/>
    <col min="22" max="22" width="3.375" style="103" customWidth="1"/>
    <col min="23" max="24" width="9" style="103" customWidth="1"/>
    <col min="25" max="233" width="8.875" style="103"/>
    <col min="234" max="234" width="0.75" style="103" customWidth="1"/>
    <col min="235" max="236" width="8.875" style="103"/>
    <col min="237" max="237" width="13.25" style="103" customWidth="1"/>
    <col min="238" max="238" width="8.875" style="103"/>
    <col min="239" max="239" width="8.75" style="103" customWidth="1"/>
    <col min="240" max="240" width="10" style="103" customWidth="1"/>
    <col min="241" max="241" width="5.75" style="103" customWidth="1"/>
    <col min="242" max="242" width="9.125" style="103" customWidth="1"/>
    <col min="243" max="244" width="8.875" style="103"/>
    <col min="245" max="245" width="20.25" style="103" customWidth="1"/>
    <col min="246" max="246" width="36.75" style="103" customWidth="1"/>
    <col min="247" max="247" width="43.125" style="103" customWidth="1"/>
    <col min="248" max="489" width="8.875" style="103"/>
    <col min="490" max="490" width="0.75" style="103" customWidth="1"/>
    <col min="491" max="492" width="8.875" style="103"/>
    <col min="493" max="493" width="13.25" style="103" customWidth="1"/>
    <col min="494" max="494" width="8.875" style="103"/>
    <col min="495" max="495" width="8.75" style="103" customWidth="1"/>
    <col min="496" max="496" width="10" style="103" customWidth="1"/>
    <col min="497" max="497" width="5.75" style="103" customWidth="1"/>
    <col min="498" max="498" width="9.125" style="103" customWidth="1"/>
    <col min="499" max="500" width="8.875" style="103"/>
    <col min="501" max="501" width="20.25" style="103" customWidth="1"/>
    <col min="502" max="502" width="36.75" style="103" customWidth="1"/>
    <col min="503" max="503" width="43.125" style="103" customWidth="1"/>
    <col min="504" max="745" width="8.875" style="103"/>
    <col min="746" max="746" width="0.75" style="103" customWidth="1"/>
    <col min="747" max="748" width="8.875" style="103"/>
    <col min="749" max="749" width="13.25" style="103" customWidth="1"/>
    <col min="750" max="750" width="8.875" style="103"/>
    <col min="751" max="751" width="8.75" style="103" customWidth="1"/>
    <col min="752" max="752" width="10" style="103" customWidth="1"/>
    <col min="753" max="753" width="5.75" style="103" customWidth="1"/>
    <col min="754" max="754" width="9.125" style="103" customWidth="1"/>
    <col min="755" max="756" width="8.875" style="103"/>
    <col min="757" max="757" width="20.25" style="103" customWidth="1"/>
    <col min="758" max="758" width="36.75" style="103" customWidth="1"/>
    <col min="759" max="759" width="43.125" style="103" customWidth="1"/>
    <col min="760" max="1001" width="8.875" style="103"/>
    <col min="1002" max="1002" width="0.75" style="103" customWidth="1"/>
    <col min="1003" max="1004" width="8.875" style="103"/>
    <col min="1005" max="1005" width="13.25" style="103" customWidth="1"/>
    <col min="1006" max="1006" width="8.875" style="103"/>
    <col min="1007" max="1007" width="8.75" style="103" customWidth="1"/>
    <col min="1008" max="1008" width="10" style="103" customWidth="1"/>
    <col min="1009" max="1009" width="5.75" style="103" customWidth="1"/>
    <col min="1010" max="1010" width="9.125" style="103" customWidth="1"/>
    <col min="1011" max="1012" width="8.875" style="103"/>
    <col min="1013" max="1013" width="20.25" style="103" customWidth="1"/>
    <col min="1014" max="1014" width="36.75" style="103" customWidth="1"/>
    <col min="1015" max="1015" width="43.125" style="103" customWidth="1"/>
    <col min="1016" max="1257" width="8.875" style="103"/>
    <col min="1258" max="1258" width="0.75" style="103" customWidth="1"/>
    <col min="1259" max="1260" width="8.875" style="103"/>
    <col min="1261" max="1261" width="13.25" style="103" customWidth="1"/>
    <col min="1262" max="1262" width="8.875" style="103"/>
    <col min="1263" max="1263" width="8.75" style="103" customWidth="1"/>
    <col min="1264" max="1264" width="10" style="103" customWidth="1"/>
    <col min="1265" max="1265" width="5.75" style="103" customWidth="1"/>
    <col min="1266" max="1266" width="9.125" style="103" customWidth="1"/>
    <col min="1267" max="1268" width="8.875" style="103"/>
    <col min="1269" max="1269" width="20.25" style="103" customWidth="1"/>
    <col min="1270" max="1270" width="36.75" style="103" customWidth="1"/>
    <col min="1271" max="1271" width="43.125" style="103" customWidth="1"/>
    <col min="1272" max="1513" width="8.875" style="103"/>
    <col min="1514" max="1514" width="0.75" style="103" customWidth="1"/>
    <col min="1515" max="1516" width="8.875" style="103"/>
    <col min="1517" max="1517" width="13.25" style="103" customWidth="1"/>
    <col min="1518" max="1518" width="8.875" style="103"/>
    <col min="1519" max="1519" width="8.75" style="103" customWidth="1"/>
    <col min="1520" max="1520" width="10" style="103" customWidth="1"/>
    <col min="1521" max="1521" width="5.75" style="103" customWidth="1"/>
    <col min="1522" max="1522" width="9.125" style="103" customWidth="1"/>
    <col min="1523" max="1524" width="8.875" style="103"/>
    <col min="1525" max="1525" width="20.25" style="103" customWidth="1"/>
    <col min="1526" max="1526" width="36.75" style="103" customWidth="1"/>
    <col min="1527" max="1527" width="43.125" style="103" customWidth="1"/>
    <col min="1528" max="1769" width="8.875" style="103"/>
    <col min="1770" max="1770" width="0.75" style="103" customWidth="1"/>
    <col min="1771" max="1772" width="8.875" style="103"/>
    <col min="1773" max="1773" width="13.25" style="103" customWidth="1"/>
    <col min="1774" max="1774" width="8.875" style="103"/>
    <col min="1775" max="1775" width="8.75" style="103" customWidth="1"/>
    <col min="1776" max="1776" width="10" style="103" customWidth="1"/>
    <col min="1777" max="1777" width="5.75" style="103" customWidth="1"/>
    <col min="1778" max="1778" width="9.125" style="103" customWidth="1"/>
    <col min="1779" max="1780" width="8.875" style="103"/>
    <col min="1781" max="1781" width="20.25" style="103" customWidth="1"/>
    <col min="1782" max="1782" width="36.75" style="103" customWidth="1"/>
    <col min="1783" max="1783" width="43.125" style="103" customWidth="1"/>
    <col min="1784" max="2025" width="8.875" style="103"/>
    <col min="2026" max="2026" width="0.75" style="103" customWidth="1"/>
    <col min="2027" max="2028" width="8.875" style="103"/>
    <col min="2029" max="2029" width="13.25" style="103" customWidth="1"/>
    <col min="2030" max="2030" width="8.875" style="103"/>
    <col min="2031" max="2031" width="8.75" style="103" customWidth="1"/>
    <col min="2032" max="2032" width="10" style="103" customWidth="1"/>
    <col min="2033" max="2033" width="5.75" style="103" customWidth="1"/>
    <col min="2034" max="2034" width="9.125" style="103" customWidth="1"/>
    <col min="2035" max="2036" width="8.875" style="103"/>
    <col min="2037" max="2037" width="20.25" style="103" customWidth="1"/>
    <col min="2038" max="2038" width="36.75" style="103" customWidth="1"/>
    <col min="2039" max="2039" width="43.125" style="103" customWidth="1"/>
    <col min="2040" max="2281" width="8.875" style="103"/>
    <col min="2282" max="2282" width="0.75" style="103" customWidth="1"/>
    <col min="2283" max="2284" width="8.875" style="103"/>
    <col min="2285" max="2285" width="13.25" style="103" customWidth="1"/>
    <col min="2286" max="2286" width="8.875" style="103"/>
    <col min="2287" max="2287" width="8.75" style="103" customWidth="1"/>
    <col min="2288" max="2288" width="10" style="103" customWidth="1"/>
    <col min="2289" max="2289" width="5.75" style="103" customWidth="1"/>
    <col min="2290" max="2290" width="9.125" style="103" customWidth="1"/>
    <col min="2291" max="2292" width="8.875" style="103"/>
    <col min="2293" max="2293" width="20.25" style="103" customWidth="1"/>
    <col min="2294" max="2294" width="36.75" style="103" customWidth="1"/>
    <col min="2295" max="2295" width="43.125" style="103" customWidth="1"/>
    <col min="2296" max="2537" width="8.875" style="103"/>
    <col min="2538" max="2538" width="0.75" style="103" customWidth="1"/>
    <col min="2539" max="2540" width="8.875" style="103"/>
    <col min="2541" max="2541" width="13.25" style="103" customWidth="1"/>
    <col min="2542" max="2542" width="8.875" style="103"/>
    <col min="2543" max="2543" width="8.75" style="103" customWidth="1"/>
    <col min="2544" max="2544" width="10" style="103" customWidth="1"/>
    <col min="2545" max="2545" width="5.75" style="103" customWidth="1"/>
    <col min="2546" max="2546" width="9.125" style="103" customWidth="1"/>
    <col min="2547" max="2548" width="8.875" style="103"/>
    <col min="2549" max="2549" width="20.25" style="103" customWidth="1"/>
    <col min="2550" max="2550" width="36.75" style="103" customWidth="1"/>
    <col min="2551" max="2551" width="43.125" style="103" customWidth="1"/>
    <col min="2552" max="2793" width="8.875" style="103"/>
    <col min="2794" max="2794" width="0.75" style="103" customWidth="1"/>
    <col min="2795" max="2796" width="8.875" style="103"/>
    <col min="2797" max="2797" width="13.25" style="103" customWidth="1"/>
    <col min="2798" max="2798" width="8.875" style="103"/>
    <col min="2799" max="2799" width="8.75" style="103" customWidth="1"/>
    <col min="2800" max="2800" width="10" style="103" customWidth="1"/>
    <col min="2801" max="2801" width="5.75" style="103" customWidth="1"/>
    <col min="2802" max="2802" width="9.125" style="103" customWidth="1"/>
    <col min="2803" max="2804" width="8.875" style="103"/>
    <col min="2805" max="2805" width="20.25" style="103" customWidth="1"/>
    <col min="2806" max="2806" width="36.75" style="103" customWidth="1"/>
    <col min="2807" max="2807" width="43.125" style="103" customWidth="1"/>
    <col min="2808" max="3049" width="8.875" style="103"/>
    <col min="3050" max="3050" width="0.75" style="103" customWidth="1"/>
    <col min="3051" max="3052" width="8.875" style="103"/>
    <col min="3053" max="3053" width="13.25" style="103" customWidth="1"/>
    <col min="3054" max="3054" width="8.875" style="103"/>
    <col min="3055" max="3055" width="8.75" style="103" customWidth="1"/>
    <col min="3056" max="3056" width="10" style="103" customWidth="1"/>
    <col min="3057" max="3057" width="5.75" style="103" customWidth="1"/>
    <col min="3058" max="3058" width="9.125" style="103" customWidth="1"/>
    <col min="3059" max="3060" width="8.875" style="103"/>
    <col min="3061" max="3061" width="20.25" style="103" customWidth="1"/>
    <col min="3062" max="3062" width="36.75" style="103" customWidth="1"/>
    <col min="3063" max="3063" width="43.125" style="103" customWidth="1"/>
    <col min="3064" max="3305" width="8.875" style="103"/>
    <col min="3306" max="3306" width="0.75" style="103" customWidth="1"/>
    <col min="3307" max="3308" width="8.875" style="103"/>
    <col min="3309" max="3309" width="13.25" style="103" customWidth="1"/>
    <col min="3310" max="3310" width="8.875" style="103"/>
    <col min="3311" max="3311" width="8.75" style="103" customWidth="1"/>
    <col min="3312" max="3312" width="10" style="103" customWidth="1"/>
    <col min="3313" max="3313" width="5.75" style="103" customWidth="1"/>
    <col min="3314" max="3314" width="9.125" style="103" customWidth="1"/>
    <col min="3315" max="3316" width="8.875" style="103"/>
    <col min="3317" max="3317" width="20.25" style="103" customWidth="1"/>
    <col min="3318" max="3318" width="36.75" style="103" customWidth="1"/>
    <col min="3319" max="3319" width="43.125" style="103" customWidth="1"/>
    <col min="3320" max="3561" width="8.875" style="103"/>
    <col min="3562" max="3562" width="0.75" style="103" customWidth="1"/>
    <col min="3563" max="3564" width="8.875" style="103"/>
    <col min="3565" max="3565" width="13.25" style="103" customWidth="1"/>
    <col min="3566" max="3566" width="8.875" style="103"/>
    <col min="3567" max="3567" width="8.75" style="103" customWidth="1"/>
    <col min="3568" max="3568" width="10" style="103" customWidth="1"/>
    <col min="3569" max="3569" width="5.75" style="103" customWidth="1"/>
    <col min="3570" max="3570" width="9.125" style="103" customWidth="1"/>
    <col min="3571" max="3572" width="8.875" style="103"/>
    <col min="3573" max="3573" width="20.25" style="103" customWidth="1"/>
    <col min="3574" max="3574" width="36.75" style="103" customWidth="1"/>
    <col min="3575" max="3575" width="43.125" style="103" customWidth="1"/>
    <col min="3576" max="3817" width="8.875" style="103"/>
    <col min="3818" max="3818" width="0.75" style="103" customWidth="1"/>
    <col min="3819" max="3820" width="8.875" style="103"/>
    <col min="3821" max="3821" width="13.25" style="103" customWidth="1"/>
    <col min="3822" max="3822" width="8.875" style="103"/>
    <col min="3823" max="3823" width="8.75" style="103" customWidth="1"/>
    <col min="3824" max="3824" width="10" style="103" customWidth="1"/>
    <col min="3825" max="3825" width="5.75" style="103" customWidth="1"/>
    <col min="3826" max="3826" width="9.125" style="103" customWidth="1"/>
    <col min="3827" max="3828" width="8.875" style="103"/>
    <col min="3829" max="3829" width="20.25" style="103" customWidth="1"/>
    <col min="3830" max="3830" width="36.75" style="103" customWidth="1"/>
    <col min="3831" max="3831" width="43.125" style="103" customWidth="1"/>
    <col min="3832" max="4073" width="8.875" style="103"/>
    <col min="4074" max="4074" width="0.75" style="103" customWidth="1"/>
    <col min="4075" max="4076" width="8.875" style="103"/>
    <col min="4077" max="4077" width="13.25" style="103" customWidth="1"/>
    <col min="4078" max="4078" width="8.875" style="103"/>
    <col min="4079" max="4079" width="8.75" style="103" customWidth="1"/>
    <col min="4080" max="4080" width="10" style="103" customWidth="1"/>
    <col min="4081" max="4081" width="5.75" style="103" customWidth="1"/>
    <col min="4082" max="4082" width="9.125" style="103" customWidth="1"/>
    <col min="4083" max="4084" width="8.875" style="103"/>
    <col min="4085" max="4085" width="20.25" style="103" customWidth="1"/>
    <col min="4086" max="4086" width="36.75" style="103" customWidth="1"/>
    <col min="4087" max="4087" width="43.125" style="103" customWidth="1"/>
    <col min="4088" max="4329" width="8.875" style="103"/>
    <col min="4330" max="4330" width="0.75" style="103" customWidth="1"/>
    <col min="4331" max="4332" width="8.875" style="103"/>
    <col min="4333" max="4333" width="13.25" style="103" customWidth="1"/>
    <col min="4334" max="4334" width="8.875" style="103"/>
    <col min="4335" max="4335" width="8.75" style="103" customWidth="1"/>
    <col min="4336" max="4336" width="10" style="103" customWidth="1"/>
    <col min="4337" max="4337" width="5.75" style="103" customWidth="1"/>
    <col min="4338" max="4338" width="9.125" style="103" customWidth="1"/>
    <col min="4339" max="4340" width="8.875" style="103"/>
    <col min="4341" max="4341" width="20.25" style="103" customWidth="1"/>
    <col min="4342" max="4342" width="36.75" style="103" customWidth="1"/>
    <col min="4343" max="4343" width="43.125" style="103" customWidth="1"/>
    <col min="4344" max="4585" width="8.875" style="103"/>
    <col min="4586" max="4586" width="0.75" style="103" customWidth="1"/>
    <col min="4587" max="4588" width="8.875" style="103"/>
    <col min="4589" max="4589" width="13.25" style="103" customWidth="1"/>
    <col min="4590" max="4590" width="8.875" style="103"/>
    <col min="4591" max="4591" width="8.75" style="103" customWidth="1"/>
    <col min="4592" max="4592" width="10" style="103" customWidth="1"/>
    <col min="4593" max="4593" width="5.75" style="103" customWidth="1"/>
    <col min="4594" max="4594" width="9.125" style="103" customWidth="1"/>
    <col min="4595" max="4596" width="8.875" style="103"/>
    <col min="4597" max="4597" width="20.25" style="103" customWidth="1"/>
    <col min="4598" max="4598" width="36.75" style="103" customWidth="1"/>
    <col min="4599" max="4599" width="43.125" style="103" customWidth="1"/>
    <col min="4600" max="4841" width="8.875" style="103"/>
    <col min="4842" max="4842" width="0.75" style="103" customWidth="1"/>
    <col min="4843" max="4844" width="8.875" style="103"/>
    <col min="4845" max="4845" width="13.25" style="103" customWidth="1"/>
    <col min="4846" max="4846" width="8.875" style="103"/>
    <col min="4847" max="4847" width="8.75" style="103" customWidth="1"/>
    <col min="4848" max="4848" width="10" style="103" customWidth="1"/>
    <col min="4849" max="4849" width="5.75" style="103" customWidth="1"/>
    <col min="4850" max="4850" width="9.125" style="103" customWidth="1"/>
    <col min="4851" max="4852" width="8.875" style="103"/>
    <col min="4853" max="4853" width="20.25" style="103" customWidth="1"/>
    <col min="4854" max="4854" width="36.75" style="103" customWidth="1"/>
    <col min="4855" max="4855" width="43.125" style="103" customWidth="1"/>
    <col min="4856" max="5097" width="8.875" style="103"/>
    <col min="5098" max="5098" width="0.75" style="103" customWidth="1"/>
    <col min="5099" max="5100" width="8.875" style="103"/>
    <col min="5101" max="5101" width="13.25" style="103" customWidth="1"/>
    <col min="5102" max="5102" width="8.875" style="103"/>
    <col min="5103" max="5103" width="8.75" style="103" customWidth="1"/>
    <col min="5104" max="5104" width="10" style="103" customWidth="1"/>
    <col min="5105" max="5105" width="5.75" style="103" customWidth="1"/>
    <col min="5106" max="5106" width="9.125" style="103" customWidth="1"/>
    <col min="5107" max="5108" width="8.875" style="103"/>
    <col min="5109" max="5109" width="20.25" style="103" customWidth="1"/>
    <col min="5110" max="5110" width="36.75" style="103" customWidth="1"/>
    <col min="5111" max="5111" width="43.125" style="103" customWidth="1"/>
    <col min="5112" max="5353" width="8.875" style="103"/>
    <col min="5354" max="5354" width="0.75" style="103" customWidth="1"/>
    <col min="5355" max="5356" width="8.875" style="103"/>
    <col min="5357" max="5357" width="13.25" style="103" customWidth="1"/>
    <col min="5358" max="5358" width="8.875" style="103"/>
    <col min="5359" max="5359" width="8.75" style="103" customWidth="1"/>
    <col min="5360" max="5360" width="10" style="103" customWidth="1"/>
    <col min="5361" max="5361" width="5.75" style="103" customWidth="1"/>
    <col min="5362" max="5362" width="9.125" style="103" customWidth="1"/>
    <col min="5363" max="5364" width="8.875" style="103"/>
    <col min="5365" max="5365" width="20.25" style="103" customWidth="1"/>
    <col min="5366" max="5366" width="36.75" style="103" customWidth="1"/>
    <col min="5367" max="5367" width="43.125" style="103" customWidth="1"/>
    <col min="5368" max="5609" width="8.875" style="103"/>
    <col min="5610" max="5610" width="0.75" style="103" customWidth="1"/>
    <col min="5611" max="5612" width="8.875" style="103"/>
    <col min="5613" max="5613" width="13.25" style="103" customWidth="1"/>
    <col min="5614" max="5614" width="8.875" style="103"/>
    <col min="5615" max="5615" width="8.75" style="103" customWidth="1"/>
    <col min="5616" max="5616" width="10" style="103" customWidth="1"/>
    <col min="5617" max="5617" width="5.75" style="103" customWidth="1"/>
    <col min="5618" max="5618" width="9.125" style="103" customWidth="1"/>
    <col min="5619" max="5620" width="8.875" style="103"/>
    <col min="5621" max="5621" width="20.25" style="103" customWidth="1"/>
    <col min="5622" max="5622" width="36.75" style="103" customWidth="1"/>
    <col min="5623" max="5623" width="43.125" style="103" customWidth="1"/>
    <col min="5624" max="5865" width="8.875" style="103"/>
    <col min="5866" max="5866" width="0.75" style="103" customWidth="1"/>
    <col min="5867" max="5868" width="8.875" style="103"/>
    <col min="5869" max="5869" width="13.25" style="103" customWidth="1"/>
    <col min="5870" max="5870" width="8.875" style="103"/>
    <col min="5871" max="5871" width="8.75" style="103" customWidth="1"/>
    <col min="5872" max="5872" width="10" style="103" customWidth="1"/>
    <col min="5873" max="5873" width="5.75" style="103" customWidth="1"/>
    <col min="5874" max="5874" width="9.125" style="103" customWidth="1"/>
    <col min="5875" max="5876" width="8.875" style="103"/>
    <col min="5877" max="5877" width="20.25" style="103" customWidth="1"/>
    <col min="5878" max="5878" width="36.75" style="103" customWidth="1"/>
    <col min="5879" max="5879" width="43.125" style="103" customWidth="1"/>
    <col min="5880" max="6121" width="8.875" style="103"/>
    <col min="6122" max="6122" width="0.75" style="103" customWidth="1"/>
    <col min="6123" max="6124" width="8.875" style="103"/>
    <col min="6125" max="6125" width="13.25" style="103" customWidth="1"/>
    <col min="6126" max="6126" width="8.875" style="103"/>
    <col min="6127" max="6127" width="8.75" style="103" customWidth="1"/>
    <col min="6128" max="6128" width="10" style="103" customWidth="1"/>
    <col min="6129" max="6129" width="5.75" style="103" customWidth="1"/>
    <col min="6130" max="6130" width="9.125" style="103" customWidth="1"/>
    <col min="6131" max="6132" width="8.875" style="103"/>
    <col min="6133" max="6133" width="20.25" style="103" customWidth="1"/>
    <col min="6134" max="6134" width="36.75" style="103" customWidth="1"/>
    <col min="6135" max="6135" width="43.125" style="103" customWidth="1"/>
    <col min="6136" max="6377" width="8.875" style="103"/>
    <col min="6378" max="6378" width="0.75" style="103" customWidth="1"/>
    <col min="6379" max="6380" width="8.875" style="103"/>
    <col min="6381" max="6381" width="13.25" style="103" customWidth="1"/>
    <col min="6382" max="6382" width="8.875" style="103"/>
    <col min="6383" max="6383" width="8.75" style="103" customWidth="1"/>
    <col min="6384" max="6384" width="10" style="103" customWidth="1"/>
    <col min="6385" max="6385" width="5.75" style="103" customWidth="1"/>
    <col min="6386" max="6386" width="9.125" style="103" customWidth="1"/>
    <col min="6387" max="6388" width="8.875" style="103"/>
    <col min="6389" max="6389" width="20.25" style="103" customWidth="1"/>
    <col min="6390" max="6390" width="36.75" style="103" customWidth="1"/>
    <col min="6391" max="6391" width="43.125" style="103" customWidth="1"/>
    <col min="6392" max="6633" width="8.875" style="103"/>
    <col min="6634" max="6634" width="0.75" style="103" customWidth="1"/>
    <col min="6635" max="6636" width="8.875" style="103"/>
    <col min="6637" max="6637" width="13.25" style="103" customWidth="1"/>
    <col min="6638" max="6638" width="8.875" style="103"/>
    <col min="6639" max="6639" width="8.75" style="103" customWidth="1"/>
    <col min="6640" max="6640" width="10" style="103" customWidth="1"/>
    <col min="6641" max="6641" width="5.75" style="103" customWidth="1"/>
    <col min="6642" max="6642" width="9.125" style="103" customWidth="1"/>
    <col min="6643" max="6644" width="8.875" style="103"/>
    <col min="6645" max="6645" width="20.25" style="103" customWidth="1"/>
    <col min="6646" max="6646" width="36.75" style="103" customWidth="1"/>
    <col min="6647" max="6647" width="43.125" style="103" customWidth="1"/>
    <col min="6648" max="6889" width="8.875" style="103"/>
    <col min="6890" max="6890" width="0.75" style="103" customWidth="1"/>
    <col min="6891" max="6892" width="8.875" style="103"/>
    <col min="6893" max="6893" width="13.25" style="103" customWidth="1"/>
    <col min="6894" max="6894" width="8.875" style="103"/>
    <col min="6895" max="6895" width="8.75" style="103" customWidth="1"/>
    <col min="6896" max="6896" width="10" style="103" customWidth="1"/>
    <col min="6897" max="6897" width="5.75" style="103" customWidth="1"/>
    <col min="6898" max="6898" width="9.125" style="103" customWidth="1"/>
    <col min="6899" max="6900" width="8.875" style="103"/>
    <col min="6901" max="6901" width="20.25" style="103" customWidth="1"/>
    <col min="6902" max="6902" width="36.75" style="103" customWidth="1"/>
    <col min="6903" max="6903" width="43.125" style="103" customWidth="1"/>
    <col min="6904" max="7145" width="8.875" style="103"/>
    <col min="7146" max="7146" width="0.75" style="103" customWidth="1"/>
    <col min="7147" max="7148" width="8.875" style="103"/>
    <col min="7149" max="7149" width="13.25" style="103" customWidth="1"/>
    <col min="7150" max="7150" width="8.875" style="103"/>
    <col min="7151" max="7151" width="8.75" style="103" customWidth="1"/>
    <col min="7152" max="7152" width="10" style="103" customWidth="1"/>
    <col min="7153" max="7153" width="5.75" style="103" customWidth="1"/>
    <col min="7154" max="7154" width="9.125" style="103" customWidth="1"/>
    <col min="7155" max="7156" width="8.875" style="103"/>
    <col min="7157" max="7157" width="20.25" style="103" customWidth="1"/>
    <col min="7158" max="7158" width="36.75" style="103" customWidth="1"/>
    <col min="7159" max="7159" width="43.125" style="103" customWidth="1"/>
    <col min="7160" max="7401" width="8.875" style="103"/>
    <col min="7402" max="7402" width="0.75" style="103" customWidth="1"/>
    <col min="7403" max="7404" width="8.875" style="103"/>
    <col min="7405" max="7405" width="13.25" style="103" customWidth="1"/>
    <col min="7406" max="7406" width="8.875" style="103"/>
    <col min="7407" max="7407" width="8.75" style="103" customWidth="1"/>
    <col min="7408" max="7408" width="10" style="103" customWidth="1"/>
    <col min="7409" max="7409" width="5.75" style="103" customWidth="1"/>
    <col min="7410" max="7410" width="9.125" style="103" customWidth="1"/>
    <col min="7411" max="7412" width="8.875" style="103"/>
    <col min="7413" max="7413" width="20.25" style="103" customWidth="1"/>
    <col min="7414" max="7414" width="36.75" style="103" customWidth="1"/>
    <col min="7415" max="7415" width="43.125" style="103" customWidth="1"/>
    <col min="7416" max="7657" width="8.875" style="103"/>
    <col min="7658" max="7658" width="0.75" style="103" customWidth="1"/>
    <col min="7659" max="7660" width="8.875" style="103"/>
    <col min="7661" max="7661" width="13.25" style="103" customWidth="1"/>
    <col min="7662" max="7662" width="8.875" style="103"/>
    <col min="7663" max="7663" width="8.75" style="103" customWidth="1"/>
    <col min="7664" max="7664" width="10" style="103" customWidth="1"/>
    <col min="7665" max="7665" width="5.75" style="103" customWidth="1"/>
    <col min="7666" max="7666" width="9.125" style="103" customWidth="1"/>
    <col min="7667" max="7668" width="8.875" style="103"/>
    <col min="7669" max="7669" width="20.25" style="103" customWidth="1"/>
    <col min="7670" max="7670" width="36.75" style="103" customWidth="1"/>
    <col min="7671" max="7671" width="43.125" style="103" customWidth="1"/>
    <col min="7672" max="7913" width="8.875" style="103"/>
    <col min="7914" max="7914" width="0.75" style="103" customWidth="1"/>
    <col min="7915" max="7916" width="8.875" style="103"/>
    <col min="7917" max="7917" width="13.25" style="103" customWidth="1"/>
    <col min="7918" max="7918" width="8.875" style="103"/>
    <col min="7919" max="7919" width="8.75" style="103" customWidth="1"/>
    <col min="7920" max="7920" width="10" style="103" customWidth="1"/>
    <col min="7921" max="7921" width="5.75" style="103" customWidth="1"/>
    <col min="7922" max="7922" width="9.125" style="103" customWidth="1"/>
    <col min="7923" max="7924" width="8.875" style="103"/>
    <col min="7925" max="7925" width="20.25" style="103" customWidth="1"/>
    <col min="7926" max="7926" width="36.75" style="103" customWidth="1"/>
    <col min="7927" max="7927" width="43.125" style="103" customWidth="1"/>
    <col min="7928" max="8169" width="8.875" style="103"/>
    <col min="8170" max="8170" width="0.75" style="103" customWidth="1"/>
    <col min="8171" max="8172" width="8.875" style="103"/>
    <col min="8173" max="8173" width="13.25" style="103" customWidth="1"/>
    <col min="8174" max="8174" width="8.875" style="103"/>
    <col min="8175" max="8175" width="8.75" style="103" customWidth="1"/>
    <col min="8176" max="8176" width="10" style="103" customWidth="1"/>
    <col min="8177" max="8177" width="5.75" style="103" customWidth="1"/>
    <col min="8178" max="8178" width="9.125" style="103" customWidth="1"/>
    <col min="8179" max="8180" width="8.875" style="103"/>
    <col min="8181" max="8181" width="20.25" style="103" customWidth="1"/>
    <col min="8182" max="8182" width="36.75" style="103" customWidth="1"/>
    <col min="8183" max="8183" width="43.125" style="103" customWidth="1"/>
    <col min="8184" max="8425" width="8.875" style="103"/>
    <col min="8426" max="8426" width="0.75" style="103" customWidth="1"/>
    <col min="8427" max="8428" width="8.875" style="103"/>
    <col min="8429" max="8429" width="13.25" style="103" customWidth="1"/>
    <col min="8430" max="8430" width="8.875" style="103"/>
    <col min="8431" max="8431" width="8.75" style="103" customWidth="1"/>
    <col min="8432" max="8432" width="10" style="103" customWidth="1"/>
    <col min="8433" max="8433" width="5.75" style="103" customWidth="1"/>
    <col min="8434" max="8434" width="9.125" style="103" customWidth="1"/>
    <col min="8435" max="8436" width="8.875" style="103"/>
    <col min="8437" max="8437" width="20.25" style="103" customWidth="1"/>
    <col min="8438" max="8438" width="36.75" style="103" customWidth="1"/>
    <col min="8439" max="8439" width="43.125" style="103" customWidth="1"/>
    <col min="8440" max="8681" width="8.875" style="103"/>
    <col min="8682" max="8682" width="0.75" style="103" customWidth="1"/>
    <col min="8683" max="8684" width="8.875" style="103"/>
    <col min="8685" max="8685" width="13.25" style="103" customWidth="1"/>
    <col min="8686" max="8686" width="8.875" style="103"/>
    <col min="8687" max="8687" width="8.75" style="103" customWidth="1"/>
    <col min="8688" max="8688" width="10" style="103" customWidth="1"/>
    <col min="8689" max="8689" width="5.75" style="103" customWidth="1"/>
    <col min="8690" max="8690" width="9.125" style="103" customWidth="1"/>
    <col min="8691" max="8692" width="8.875" style="103"/>
    <col min="8693" max="8693" width="20.25" style="103" customWidth="1"/>
    <col min="8694" max="8694" width="36.75" style="103" customWidth="1"/>
    <col min="8695" max="8695" width="43.125" style="103" customWidth="1"/>
    <col min="8696" max="8937" width="8.875" style="103"/>
    <col min="8938" max="8938" width="0.75" style="103" customWidth="1"/>
    <col min="8939" max="8940" width="8.875" style="103"/>
    <col min="8941" max="8941" width="13.25" style="103" customWidth="1"/>
    <col min="8942" max="8942" width="8.875" style="103"/>
    <col min="8943" max="8943" width="8.75" style="103" customWidth="1"/>
    <col min="8944" max="8944" width="10" style="103" customWidth="1"/>
    <col min="8945" max="8945" width="5.75" style="103" customWidth="1"/>
    <col min="8946" max="8946" width="9.125" style="103" customWidth="1"/>
    <col min="8947" max="8948" width="8.875" style="103"/>
    <col min="8949" max="8949" width="20.25" style="103" customWidth="1"/>
    <col min="8950" max="8950" width="36.75" style="103" customWidth="1"/>
    <col min="8951" max="8951" width="43.125" style="103" customWidth="1"/>
    <col min="8952" max="9193" width="8.875" style="103"/>
    <col min="9194" max="9194" width="0.75" style="103" customWidth="1"/>
    <col min="9195" max="9196" width="8.875" style="103"/>
    <col min="9197" max="9197" width="13.25" style="103" customWidth="1"/>
    <col min="9198" max="9198" width="8.875" style="103"/>
    <col min="9199" max="9199" width="8.75" style="103" customWidth="1"/>
    <col min="9200" max="9200" width="10" style="103" customWidth="1"/>
    <col min="9201" max="9201" width="5.75" style="103" customWidth="1"/>
    <col min="9202" max="9202" width="9.125" style="103" customWidth="1"/>
    <col min="9203" max="9204" width="8.875" style="103"/>
    <col min="9205" max="9205" width="20.25" style="103" customWidth="1"/>
    <col min="9206" max="9206" width="36.75" style="103" customWidth="1"/>
    <col min="9207" max="9207" width="43.125" style="103" customWidth="1"/>
    <col min="9208" max="9449" width="8.875" style="103"/>
    <col min="9450" max="9450" width="0.75" style="103" customWidth="1"/>
    <col min="9451" max="9452" width="8.875" style="103"/>
    <col min="9453" max="9453" width="13.25" style="103" customWidth="1"/>
    <col min="9454" max="9454" width="8.875" style="103"/>
    <col min="9455" max="9455" width="8.75" style="103" customWidth="1"/>
    <col min="9456" max="9456" width="10" style="103" customWidth="1"/>
    <col min="9457" max="9457" width="5.75" style="103" customWidth="1"/>
    <col min="9458" max="9458" width="9.125" style="103" customWidth="1"/>
    <col min="9459" max="9460" width="8.875" style="103"/>
    <col min="9461" max="9461" width="20.25" style="103" customWidth="1"/>
    <col min="9462" max="9462" width="36.75" style="103" customWidth="1"/>
    <col min="9463" max="9463" width="43.125" style="103" customWidth="1"/>
    <col min="9464" max="9705" width="8.875" style="103"/>
    <col min="9706" max="9706" width="0.75" style="103" customWidth="1"/>
    <col min="9707" max="9708" width="8.875" style="103"/>
    <col min="9709" max="9709" width="13.25" style="103" customWidth="1"/>
    <col min="9710" max="9710" width="8.875" style="103"/>
    <col min="9711" max="9711" width="8.75" style="103" customWidth="1"/>
    <col min="9712" max="9712" width="10" style="103" customWidth="1"/>
    <col min="9713" max="9713" width="5.75" style="103" customWidth="1"/>
    <col min="9714" max="9714" width="9.125" style="103" customWidth="1"/>
    <col min="9715" max="9716" width="8.875" style="103"/>
    <col min="9717" max="9717" width="20.25" style="103" customWidth="1"/>
    <col min="9718" max="9718" width="36.75" style="103" customWidth="1"/>
    <col min="9719" max="9719" width="43.125" style="103" customWidth="1"/>
    <col min="9720" max="9961" width="8.875" style="103"/>
    <col min="9962" max="9962" width="0.75" style="103" customWidth="1"/>
    <col min="9963" max="9964" width="8.875" style="103"/>
    <col min="9965" max="9965" width="13.25" style="103" customWidth="1"/>
    <col min="9966" max="9966" width="8.875" style="103"/>
    <col min="9967" max="9967" width="8.75" style="103" customWidth="1"/>
    <col min="9968" max="9968" width="10" style="103" customWidth="1"/>
    <col min="9969" max="9969" width="5.75" style="103" customWidth="1"/>
    <col min="9970" max="9970" width="9.125" style="103" customWidth="1"/>
    <col min="9971" max="9972" width="8.875" style="103"/>
    <col min="9973" max="9973" width="20.25" style="103" customWidth="1"/>
    <col min="9974" max="9974" width="36.75" style="103" customWidth="1"/>
    <col min="9975" max="9975" width="43.125" style="103" customWidth="1"/>
    <col min="9976" max="10217" width="8.875" style="103"/>
    <col min="10218" max="10218" width="0.75" style="103" customWidth="1"/>
    <col min="10219" max="10220" width="8.875" style="103"/>
    <col min="10221" max="10221" width="13.25" style="103" customWidth="1"/>
    <col min="10222" max="10222" width="8.875" style="103"/>
    <col min="10223" max="10223" width="8.75" style="103" customWidth="1"/>
    <col min="10224" max="10224" width="10" style="103" customWidth="1"/>
    <col min="10225" max="10225" width="5.75" style="103" customWidth="1"/>
    <col min="10226" max="10226" width="9.125" style="103" customWidth="1"/>
    <col min="10227" max="10228" width="8.875" style="103"/>
    <col min="10229" max="10229" width="20.25" style="103" customWidth="1"/>
    <col min="10230" max="10230" width="36.75" style="103" customWidth="1"/>
    <col min="10231" max="10231" width="43.125" style="103" customWidth="1"/>
    <col min="10232" max="10473" width="8.875" style="103"/>
    <col min="10474" max="10474" width="0.75" style="103" customWidth="1"/>
    <col min="10475" max="10476" width="8.875" style="103"/>
    <col min="10477" max="10477" width="13.25" style="103" customWidth="1"/>
    <col min="10478" max="10478" width="8.875" style="103"/>
    <col min="10479" max="10479" width="8.75" style="103" customWidth="1"/>
    <col min="10480" max="10480" width="10" style="103" customWidth="1"/>
    <col min="10481" max="10481" width="5.75" style="103" customWidth="1"/>
    <col min="10482" max="10482" width="9.125" style="103" customWidth="1"/>
    <col min="10483" max="10484" width="8.875" style="103"/>
    <col min="10485" max="10485" width="20.25" style="103" customWidth="1"/>
    <col min="10486" max="10486" width="36.75" style="103" customWidth="1"/>
    <col min="10487" max="10487" width="43.125" style="103" customWidth="1"/>
    <col min="10488" max="10729" width="8.875" style="103"/>
    <col min="10730" max="10730" width="0.75" style="103" customWidth="1"/>
    <col min="10731" max="10732" width="8.875" style="103"/>
    <col min="10733" max="10733" width="13.25" style="103" customWidth="1"/>
    <col min="10734" max="10734" width="8.875" style="103"/>
    <col min="10735" max="10735" width="8.75" style="103" customWidth="1"/>
    <col min="10736" max="10736" width="10" style="103" customWidth="1"/>
    <col min="10737" max="10737" width="5.75" style="103" customWidth="1"/>
    <col min="10738" max="10738" width="9.125" style="103" customWidth="1"/>
    <col min="10739" max="10740" width="8.875" style="103"/>
    <col min="10741" max="10741" width="20.25" style="103" customWidth="1"/>
    <col min="10742" max="10742" width="36.75" style="103" customWidth="1"/>
    <col min="10743" max="10743" width="43.125" style="103" customWidth="1"/>
    <col min="10744" max="10985" width="8.875" style="103"/>
    <col min="10986" max="10986" width="0.75" style="103" customWidth="1"/>
    <col min="10987" max="10988" width="8.875" style="103"/>
    <col min="10989" max="10989" width="13.25" style="103" customWidth="1"/>
    <col min="10990" max="10990" width="8.875" style="103"/>
    <col min="10991" max="10991" width="8.75" style="103" customWidth="1"/>
    <col min="10992" max="10992" width="10" style="103" customWidth="1"/>
    <col min="10993" max="10993" width="5.75" style="103" customWidth="1"/>
    <col min="10994" max="10994" width="9.125" style="103" customWidth="1"/>
    <col min="10995" max="10996" width="8.875" style="103"/>
    <col min="10997" max="10997" width="20.25" style="103" customWidth="1"/>
    <col min="10998" max="10998" width="36.75" style="103" customWidth="1"/>
    <col min="10999" max="10999" width="43.125" style="103" customWidth="1"/>
    <col min="11000" max="11241" width="8.875" style="103"/>
    <col min="11242" max="11242" width="0.75" style="103" customWidth="1"/>
    <col min="11243" max="11244" width="8.875" style="103"/>
    <col min="11245" max="11245" width="13.25" style="103" customWidth="1"/>
    <col min="11246" max="11246" width="8.875" style="103"/>
    <col min="11247" max="11247" width="8.75" style="103" customWidth="1"/>
    <col min="11248" max="11248" width="10" style="103" customWidth="1"/>
    <col min="11249" max="11249" width="5.75" style="103" customWidth="1"/>
    <col min="11250" max="11250" width="9.125" style="103" customWidth="1"/>
    <col min="11251" max="11252" width="8.875" style="103"/>
    <col min="11253" max="11253" width="20.25" style="103" customWidth="1"/>
    <col min="11254" max="11254" width="36.75" style="103" customWidth="1"/>
    <col min="11255" max="11255" width="43.125" style="103" customWidth="1"/>
    <col min="11256" max="11497" width="8.875" style="103"/>
    <col min="11498" max="11498" width="0.75" style="103" customWidth="1"/>
    <col min="11499" max="11500" width="8.875" style="103"/>
    <col min="11501" max="11501" width="13.25" style="103" customWidth="1"/>
    <col min="11502" max="11502" width="8.875" style="103"/>
    <col min="11503" max="11503" width="8.75" style="103" customWidth="1"/>
    <col min="11504" max="11504" width="10" style="103" customWidth="1"/>
    <col min="11505" max="11505" width="5.75" style="103" customWidth="1"/>
    <col min="11506" max="11506" width="9.125" style="103" customWidth="1"/>
    <col min="11507" max="11508" width="8.875" style="103"/>
    <col min="11509" max="11509" width="20.25" style="103" customWidth="1"/>
    <col min="11510" max="11510" width="36.75" style="103" customWidth="1"/>
    <col min="11511" max="11511" width="43.125" style="103" customWidth="1"/>
    <col min="11512" max="11753" width="8.875" style="103"/>
    <col min="11754" max="11754" width="0.75" style="103" customWidth="1"/>
    <col min="11755" max="11756" width="8.875" style="103"/>
    <col min="11757" max="11757" width="13.25" style="103" customWidth="1"/>
    <col min="11758" max="11758" width="8.875" style="103"/>
    <col min="11759" max="11759" width="8.75" style="103" customWidth="1"/>
    <col min="11760" max="11760" width="10" style="103" customWidth="1"/>
    <col min="11761" max="11761" width="5.75" style="103" customWidth="1"/>
    <col min="11762" max="11762" width="9.125" style="103" customWidth="1"/>
    <col min="11763" max="11764" width="8.875" style="103"/>
    <col min="11765" max="11765" width="20.25" style="103" customWidth="1"/>
    <col min="11766" max="11766" width="36.75" style="103" customWidth="1"/>
    <col min="11767" max="11767" width="43.125" style="103" customWidth="1"/>
    <col min="11768" max="12009" width="8.875" style="103"/>
    <col min="12010" max="12010" width="0.75" style="103" customWidth="1"/>
    <col min="12011" max="12012" width="8.875" style="103"/>
    <col min="12013" max="12013" width="13.25" style="103" customWidth="1"/>
    <col min="12014" max="12014" width="8.875" style="103"/>
    <col min="12015" max="12015" width="8.75" style="103" customWidth="1"/>
    <col min="12016" max="12016" width="10" style="103" customWidth="1"/>
    <col min="12017" max="12017" width="5.75" style="103" customWidth="1"/>
    <col min="12018" max="12018" width="9.125" style="103" customWidth="1"/>
    <col min="12019" max="12020" width="8.875" style="103"/>
    <col min="12021" max="12021" width="20.25" style="103" customWidth="1"/>
    <col min="12022" max="12022" width="36.75" style="103" customWidth="1"/>
    <col min="12023" max="12023" width="43.125" style="103" customWidth="1"/>
    <col min="12024" max="12265" width="8.875" style="103"/>
    <col min="12266" max="12266" width="0.75" style="103" customWidth="1"/>
    <col min="12267" max="12268" width="8.875" style="103"/>
    <col min="12269" max="12269" width="13.25" style="103" customWidth="1"/>
    <col min="12270" max="12270" width="8.875" style="103"/>
    <col min="12271" max="12271" width="8.75" style="103" customWidth="1"/>
    <col min="12272" max="12272" width="10" style="103" customWidth="1"/>
    <col min="12273" max="12273" width="5.75" style="103" customWidth="1"/>
    <col min="12274" max="12274" width="9.125" style="103" customWidth="1"/>
    <col min="12275" max="12276" width="8.875" style="103"/>
    <col min="12277" max="12277" width="20.25" style="103" customWidth="1"/>
    <col min="12278" max="12278" width="36.75" style="103" customWidth="1"/>
    <col min="12279" max="12279" width="43.125" style="103" customWidth="1"/>
    <col min="12280" max="12521" width="8.875" style="103"/>
    <col min="12522" max="12522" width="0.75" style="103" customWidth="1"/>
    <col min="12523" max="12524" width="8.875" style="103"/>
    <col min="12525" max="12525" width="13.25" style="103" customWidth="1"/>
    <col min="12526" max="12526" width="8.875" style="103"/>
    <col min="12527" max="12527" width="8.75" style="103" customWidth="1"/>
    <col min="12528" max="12528" width="10" style="103" customWidth="1"/>
    <col min="12529" max="12529" width="5.75" style="103" customWidth="1"/>
    <col min="12530" max="12530" width="9.125" style="103" customWidth="1"/>
    <col min="12531" max="12532" width="8.875" style="103"/>
    <col min="12533" max="12533" width="20.25" style="103" customWidth="1"/>
    <col min="12534" max="12534" width="36.75" style="103" customWidth="1"/>
    <col min="12535" max="12535" width="43.125" style="103" customWidth="1"/>
    <col min="12536" max="12777" width="8.875" style="103"/>
    <col min="12778" max="12778" width="0.75" style="103" customWidth="1"/>
    <col min="12779" max="12780" width="8.875" style="103"/>
    <col min="12781" max="12781" width="13.25" style="103" customWidth="1"/>
    <col min="12782" max="12782" width="8.875" style="103"/>
    <col min="12783" max="12783" width="8.75" style="103" customWidth="1"/>
    <col min="12784" max="12784" width="10" style="103" customWidth="1"/>
    <col min="12785" max="12785" width="5.75" style="103" customWidth="1"/>
    <col min="12786" max="12786" width="9.125" style="103" customWidth="1"/>
    <col min="12787" max="12788" width="8.875" style="103"/>
    <col min="12789" max="12789" width="20.25" style="103" customWidth="1"/>
    <col min="12790" max="12790" width="36.75" style="103" customWidth="1"/>
    <col min="12791" max="12791" width="43.125" style="103" customWidth="1"/>
    <col min="12792" max="13033" width="8.875" style="103"/>
    <col min="13034" max="13034" width="0.75" style="103" customWidth="1"/>
    <col min="13035" max="13036" width="8.875" style="103"/>
    <col min="13037" max="13037" width="13.25" style="103" customWidth="1"/>
    <col min="13038" max="13038" width="8.875" style="103"/>
    <col min="13039" max="13039" width="8.75" style="103" customWidth="1"/>
    <col min="13040" max="13040" width="10" style="103" customWidth="1"/>
    <col min="13041" max="13041" width="5.75" style="103" customWidth="1"/>
    <col min="13042" max="13042" width="9.125" style="103" customWidth="1"/>
    <col min="13043" max="13044" width="8.875" style="103"/>
    <col min="13045" max="13045" width="20.25" style="103" customWidth="1"/>
    <col min="13046" max="13046" width="36.75" style="103" customWidth="1"/>
    <col min="13047" max="13047" width="43.125" style="103" customWidth="1"/>
    <col min="13048" max="13289" width="8.875" style="103"/>
    <col min="13290" max="13290" width="0.75" style="103" customWidth="1"/>
    <col min="13291" max="13292" width="8.875" style="103"/>
    <col min="13293" max="13293" width="13.25" style="103" customWidth="1"/>
    <col min="13294" max="13294" width="8.875" style="103"/>
    <col min="13295" max="13295" width="8.75" style="103" customWidth="1"/>
    <col min="13296" max="13296" width="10" style="103" customWidth="1"/>
    <col min="13297" max="13297" width="5.75" style="103" customWidth="1"/>
    <col min="13298" max="13298" width="9.125" style="103" customWidth="1"/>
    <col min="13299" max="13300" width="8.875" style="103"/>
    <col min="13301" max="13301" width="20.25" style="103" customWidth="1"/>
    <col min="13302" max="13302" width="36.75" style="103" customWidth="1"/>
    <col min="13303" max="13303" width="43.125" style="103" customWidth="1"/>
    <col min="13304" max="13545" width="8.875" style="103"/>
    <col min="13546" max="13546" width="0.75" style="103" customWidth="1"/>
    <col min="13547" max="13548" width="8.875" style="103"/>
    <col min="13549" max="13549" width="13.25" style="103" customWidth="1"/>
    <col min="13550" max="13550" width="8.875" style="103"/>
    <col min="13551" max="13551" width="8.75" style="103" customWidth="1"/>
    <col min="13552" max="13552" width="10" style="103" customWidth="1"/>
    <col min="13553" max="13553" width="5.75" style="103" customWidth="1"/>
    <col min="13554" max="13554" width="9.125" style="103" customWidth="1"/>
    <col min="13555" max="13556" width="8.875" style="103"/>
    <col min="13557" max="13557" width="20.25" style="103" customWidth="1"/>
    <col min="13558" max="13558" width="36.75" style="103" customWidth="1"/>
    <col min="13559" max="13559" width="43.125" style="103" customWidth="1"/>
    <col min="13560" max="13801" width="8.875" style="103"/>
    <col min="13802" max="13802" width="0.75" style="103" customWidth="1"/>
    <col min="13803" max="13804" width="8.875" style="103"/>
    <col min="13805" max="13805" width="13.25" style="103" customWidth="1"/>
    <col min="13806" max="13806" width="8.875" style="103"/>
    <col min="13807" max="13807" width="8.75" style="103" customWidth="1"/>
    <col min="13808" max="13808" width="10" style="103" customWidth="1"/>
    <col min="13809" max="13809" width="5.75" style="103" customWidth="1"/>
    <col min="13810" max="13810" width="9.125" style="103" customWidth="1"/>
    <col min="13811" max="13812" width="8.875" style="103"/>
    <col min="13813" max="13813" width="20.25" style="103" customWidth="1"/>
    <col min="13814" max="13814" width="36.75" style="103" customWidth="1"/>
    <col min="13815" max="13815" width="43.125" style="103" customWidth="1"/>
    <col min="13816" max="14057" width="8.875" style="103"/>
    <col min="14058" max="14058" width="0.75" style="103" customWidth="1"/>
    <col min="14059" max="14060" width="8.875" style="103"/>
    <col min="14061" max="14061" width="13.25" style="103" customWidth="1"/>
    <col min="14062" max="14062" width="8.875" style="103"/>
    <col min="14063" max="14063" width="8.75" style="103" customWidth="1"/>
    <col min="14064" max="14064" width="10" style="103" customWidth="1"/>
    <col min="14065" max="14065" width="5.75" style="103" customWidth="1"/>
    <col min="14066" max="14066" width="9.125" style="103" customWidth="1"/>
    <col min="14067" max="14068" width="8.875" style="103"/>
    <col min="14069" max="14069" width="20.25" style="103" customWidth="1"/>
    <col min="14070" max="14070" width="36.75" style="103" customWidth="1"/>
    <col min="14071" max="14071" width="43.125" style="103" customWidth="1"/>
    <col min="14072" max="14313" width="8.875" style="103"/>
    <col min="14314" max="14314" width="0.75" style="103" customWidth="1"/>
    <col min="14315" max="14316" width="8.875" style="103"/>
    <col min="14317" max="14317" width="13.25" style="103" customWidth="1"/>
    <col min="14318" max="14318" width="8.875" style="103"/>
    <col min="14319" max="14319" width="8.75" style="103" customWidth="1"/>
    <col min="14320" max="14320" width="10" style="103" customWidth="1"/>
    <col min="14321" max="14321" width="5.75" style="103" customWidth="1"/>
    <col min="14322" max="14322" width="9.125" style="103" customWidth="1"/>
    <col min="14323" max="14324" width="8.875" style="103"/>
    <col min="14325" max="14325" width="20.25" style="103" customWidth="1"/>
    <col min="14326" max="14326" width="36.75" style="103" customWidth="1"/>
    <col min="14327" max="14327" width="43.125" style="103" customWidth="1"/>
    <col min="14328" max="14569" width="8.875" style="103"/>
    <col min="14570" max="14570" width="0.75" style="103" customWidth="1"/>
    <col min="14571" max="14572" width="8.875" style="103"/>
    <col min="14573" max="14573" width="13.25" style="103" customWidth="1"/>
    <col min="14574" max="14574" width="8.875" style="103"/>
    <col min="14575" max="14575" width="8.75" style="103" customWidth="1"/>
    <col min="14576" max="14576" width="10" style="103" customWidth="1"/>
    <col min="14577" max="14577" width="5.75" style="103" customWidth="1"/>
    <col min="14578" max="14578" width="9.125" style="103" customWidth="1"/>
    <col min="14579" max="14580" width="8.875" style="103"/>
    <col min="14581" max="14581" width="20.25" style="103" customWidth="1"/>
    <col min="14582" max="14582" width="36.75" style="103" customWidth="1"/>
    <col min="14583" max="14583" width="43.125" style="103" customWidth="1"/>
    <col min="14584" max="14825" width="8.875" style="103"/>
    <col min="14826" max="14826" width="0.75" style="103" customWidth="1"/>
    <col min="14827" max="14828" width="8.875" style="103"/>
    <col min="14829" max="14829" width="13.25" style="103" customWidth="1"/>
    <col min="14830" max="14830" width="8.875" style="103"/>
    <col min="14831" max="14831" width="8.75" style="103" customWidth="1"/>
    <col min="14832" max="14832" width="10" style="103" customWidth="1"/>
    <col min="14833" max="14833" width="5.75" style="103" customWidth="1"/>
    <col min="14834" max="14834" width="9.125" style="103" customWidth="1"/>
    <col min="14835" max="14836" width="8.875" style="103"/>
    <col min="14837" max="14837" width="20.25" style="103" customWidth="1"/>
    <col min="14838" max="14838" width="36.75" style="103" customWidth="1"/>
    <col min="14839" max="14839" width="43.125" style="103" customWidth="1"/>
    <col min="14840" max="15081" width="8.875" style="103"/>
    <col min="15082" max="15082" width="0.75" style="103" customWidth="1"/>
    <col min="15083" max="15084" width="8.875" style="103"/>
    <col min="15085" max="15085" width="13.25" style="103" customWidth="1"/>
    <col min="15086" max="15086" width="8.875" style="103"/>
    <col min="15087" max="15087" width="8.75" style="103" customWidth="1"/>
    <col min="15088" max="15088" width="10" style="103" customWidth="1"/>
    <col min="15089" max="15089" width="5.75" style="103" customWidth="1"/>
    <col min="15090" max="15090" width="9.125" style="103" customWidth="1"/>
    <col min="15091" max="15092" width="8.875" style="103"/>
    <col min="15093" max="15093" width="20.25" style="103" customWidth="1"/>
    <col min="15094" max="15094" width="36.75" style="103" customWidth="1"/>
    <col min="15095" max="15095" width="43.125" style="103" customWidth="1"/>
    <col min="15096" max="15337" width="8.875" style="103"/>
    <col min="15338" max="15338" width="0.75" style="103" customWidth="1"/>
    <col min="15339" max="15340" width="8.875" style="103"/>
    <col min="15341" max="15341" width="13.25" style="103" customWidth="1"/>
    <col min="15342" max="15342" width="8.875" style="103"/>
    <col min="15343" max="15343" width="8.75" style="103" customWidth="1"/>
    <col min="15344" max="15344" width="10" style="103" customWidth="1"/>
    <col min="15345" max="15345" width="5.75" style="103" customWidth="1"/>
    <col min="15346" max="15346" width="9.125" style="103" customWidth="1"/>
    <col min="15347" max="15348" width="8.875" style="103"/>
    <col min="15349" max="15349" width="20.25" style="103" customWidth="1"/>
    <col min="15350" max="15350" width="36.75" style="103" customWidth="1"/>
    <col min="15351" max="15351" width="43.125" style="103" customWidth="1"/>
    <col min="15352" max="15593" width="8.875" style="103"/>
    <col min="15594" max="15594" width="0.75" style="103" customWidth="1"/>
    <col min="15595" max="15596" width="8.875" style="103"/>
    <col min="15597" max="15597" width="13.25" style="103" customWidth="1"/>
    <col min="15598" max="15598" width="8.875" style="103"/>
    <col min="15599" max="15599" width="8.75" style="103" customWidth="1"/>
    <col min="15600" max="15600" width="10" style="103" customWidth="1"/>
    <col min="15601" max="15601" width="5.75" style="103" customWidth="1"/>
    <col min="15602" max="15602" width="9.125" style="103" customWidth="1"/>
    <col min="15603" max="15604" width="8.875" style="103"/>
    <col min="15605" max="15605" width="20.25" style="103" customWidth="1"/>
    <col min="15606" max="15606" width="36.75" style="103" customWidth="1"/>
    <col min="15607" max="15607" width="43.125" style="103" customWidth="1"/>
    <col min="15608" max="15849" width="8.875" style="103"/>
    <col min="15850" max="15850" width="0.75" style="103" customWidth="1"/>
    <col min="15851" max="15852" width="8.875" style="103"/>
    <col min="15853" max="15853" width="13.25" style="103" customWidth="1"/>
    <col min="15854" max="15854" width="8.875" style="103"/>
    <col min="15855" max="15855" width="8.75" style="103" customWidth="1"/>
    <col min="15856" max="15856" width="10" style="103" customWidth="1"/>
    <col min="15857" max="15857" width="5.75" style="103" customWidth="1"/>
    <col min="15858" max="15858" width="9.125" style="103" customWidth="1"/>
    <col min="15859" max="15860" width="8.875" style="103"/>
    <col min="15861" max="15861" width="20.25" style="103" customWidth="1"/>
    <col min="15862" max="15862" width="36.75" style="103" customWidth="1"/>
    <col min="15863" max="15863" width="43.125" style="103" customWidth="1"/>
    <col min="15864" max="16105" width="8.875" style="103"/>
    <col min="16106" max="16106" width="0.75" style="103" customWidth="1"/>
    <col min="16107" max="16108" width="8.875" style="103"/>
    <col min="16109" max="16109" width="13.25" style="103" customWidth="1"/>
    <col min="16110" max="16110" width="8.875" style="103"/>
    <col min="16111" max="16111" width="8.75" style="103" customWidth="1"/>
    <col min="16112" max="16112" width="10" style="103" customWidth="1"/>
    <col min="16113" max="16113" width="5.75" style="103" customWidth="1"/>
    <col min="16114" max="16114" width="9.125" style="103" customWidth="1"/>
    <col min="16115" max="16116" width="8.875" style="103"/>
    <col min="16117" max="16117" width="20.25" style="103" customWidth="1"/>
    <col min="16118" max="16118" width="36.75" style="103" customWidth="1"/>
    <col min="16119" max="16119" width="43.125" style="103" customWidth="1"/>
    <col min="16120" max="16383" width="8.875" style="103"/>
    <col min="16384" max="16384" width="8.875" style="103" customWidth="1"/>
  </cols>
  <sheetData>
    <row r="1" spans="1:38" ht="56.25" customHeight="1">
      <c r="B1" s="401" t="s">
        <v>1084</v>
      </c>
      <c r="C1" s="402"/>
      <c r="D1" s="403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104"/>
      <c r="T1" s="105"/>
    </row>
    <row r="2" spans="1:38" ht="20.25" customHeight="1">
      <c r="B2" s="404">
        <v>46316</v>
      </c>
      <c r="C2" s="404"/>
      <c r="D2" s="106"/>
      <c r="E2" s="107"/>
      <c r="F2" s="108"/>
      <c r="G2" s="108"/>
      <c r="H2" s="108"/>
      <c r="I2" s="108"/>
      <c r="J2" s="94"/>
      <c r="K2" s="94"/>
      <c r="L2" s="94"/>
      <c r="M2" s="94"/>
      <c r="N2" s="94"/>
      <c r="O2" s="94"/>
      <c r="P2" s="94"/>
    </row>
    <row r="3" spans="1:38" s="90" customFormat="1" ht="18" customHeight="1">
      <c r="A3" s="95"/>
      <c r="B3" s="411" t="s">
        <v>516</v>
      </c>
      <c r="C3" s="413" t="s">
        <v>517</v>
      </c>
      <c r="D3" s="422" t="s">
        <v>518</v>
      </c>
      <c r="E3" s="413" t="s">
        <v>519</v>
      </c>
      <c r="F3" s="413" t="s">
        <v>520</v>
      </c>
      <c r="G3" s="413" t="s">
        <v>521</v>
      </c>
      <c r="H3" s="429" t="s">
        <v>522</v>
      </c>
      <c r="I3" s="429" t="s">
        <v>523</v>
      </c>
      <c r="J3" s="431" t="s">
        <v>1136</v>
      </c>
      <c r="K3" s="415" t="s">
        <v>524</v>
      </c>
      <c r="L3" s="405" t="s">
        <v>525</v>
      </c>
      <c r="M3" s="406"/>
      <c r="N3" s="406"/>
      <c r="O3" s="406"/>
      <c r="P3" s="407"/>
      <c r="Q3" s="417" t="s">
        <v>526</v>
      </c>
      <c r="R3" s="419"/>
      <c r="S3" s="424" t="s">
        <v>527</v>
      </c>
      <c r="T3" s="426"/>
      <c r="U3" s="109"/>
    </row>
    <row r="4" spans="1:38" s="90" customFormat="1" ht="42.75" customHeight="1">
      <c r="A4" s="95"/>
      <c r="B4" s="412"/>
      <c r="C4" s="414"/>
      <c r="D4" s="423"/>
      <c r="E4" s="414"/>
      <c r="F4" s="414"/>
      <c r="G4" s="414"/>
      <c r="H4" s="430"/>
      <c r="I4" s="430"/>
      <c r="J4" s="432"/>
      <c r="K4" s="416"/>
      <c r="L4" s="110" t="s">
        <v>528</v>
      </c>
      <c r="M4" s="110" t="s">
        <v>529</v>
      </c>
      <c r="N4" s="110" t="s">
        <v>530</v>
      </c>
      <c r="O4" s="110" t="s">
        <v>531</v>
      </c>
      <c r="P4" s="111"/>
      <c r="Q4" s="418"/>
      <c r="R4" s="420"/>
      <c r="S4" s="425"/>
      <c r="T4" s="426"/>
      <c r="U4" s="112"/>
      <c r="V4" s="427"/>
      <c r="W4" s="90" t="s">
        <v>532</v>
      </c>
    </row>
    <row r="5" spans="1:38" s="90" customFormat="1" ht="25.5" hidden="1" customHeight="1">
      <c r="A5" s="95"/>
      <c r="B5" s="113" t="s">
        <v>533</v>
      </c>
      <c r="C5" s="114" t="s">
        <v>169</v>
      </c>
      <c r="D5" s="115" t="s">
        <v>170</v>
      </c>
      <c r="E5" s="114"/>
      <c r="F5" s="116">
        <v>125140</v>
      </c>
      <c r="G5" s="114" t="s">
        <v>534</v>
      </c>
      <c r="H5" s="335" t="s">
        <v>535</v>
      </c>
      <c r="I5" s="114"/>
      <c r="J5" s="117">
        <v>0</v>
      </c>
      <c r="K5" s="118">
        <f>+SUMIF('Nhập kho  입'!A:A,C5,'Nhập kho  입'!E:E)</f>
        <v>0</v>
      </c>
      <c r="L5" s="119">
        <f>+SUMIF(' Xuất kho 출'!A:A,C5,' Xuất kho 출'!E:E)</f>
        <v>0</v>
      </c>
      <c r="M5" s="120"/>
      <c r="N5" s="121"/>
      <c r="O5" s="119">
        <v>0</v>
      </c>
      <c r="P5" s="122"/>
      <c r="Q5" s="123">
        <f>+J5+K5-L5-N5</f>
        <v>0</v>
      </c>
      <c r="R5" s="124"/>
      <c r="S5" s="124"/>
      <c r="T5" s="125">
        <f>+R5-Q5</f>
        <v>0</v>
      </c>
      <c r="U5" s="126"/>
      <c r="V5" s="427"/>
      <c r="W5" s="127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128"/>
    </row>
    <row r="6" spans="1:38" s="90" customFormat="1" ht="25.5" customHeight="1">
      <c r="A6" s="95"/>
      <c r="B6" s="113" t="s">
        <v>533</v>
      </c>
      <c r="C6" s="114" t="s">
        <v>243</v>
      </c>
      <c r="D6" s="115" t="s">
        <v>244</v>
      </c>
      <c r="E6" s="114" t="s">
        <v>536</v>
      </c>
      <c r="F6" s="116" t="s">
        <v>537</v>
      </c>
      <c r="G6" s="114" t="s">
        <v>534</v>
      </c>
      <c r="H6" s="335" t="s">
        <v>538</v>
      </c>
      <c r="I6" s="114"/>
      <c r="J6" s="129">
        <v>900</v>
      </c>
      <c r="K6" s="118">
        <f>+SUMIF('Nhập kho  입'!A:A,C6,'Nhập kho  입'!E:E)</f>
        <v>0</v>
      </c>
      <c r="L6" s="119">
        <f>+SUMIF(' Xuất kho 출'!A:A,C6,' Xuất kho 출'!E:E)</f>
        <v>0</v>
      </c>
      <c r="M6" s="120"/>
      <c r="N6" s="130"/>
      <c r="O6" s="122">
        <v>0</v>
      </c>
      <c r="P6" s="122"/>
      <c r="Q6" s="131">
        <f>+J6+K6-L6-N6</f>
        <v>900</v>
      </c>
      <c r="R6" s="124">
        <f>18*50</f>
        <v>900</v>
      </c>
      <c r="S6" s="124"/>
      <c r="T6" s="125">
        <f t="shared" ref="T6:T70" si="0">+R6-Q6</f>
        <v>0</v>
      </c>
      <c r="U6" s="126"/>
      <c r="V6" s="132"/>
      <c r="W6" s="127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8"/>
      <c r="AI6" s="128"/>
      <c r="AJ6" s="128"/>
      <c r="AK6" s="128"/>
      <c r="AL6" s="128"/>
    </row>
    <row r="7" spans="1:38" s="90" customFormat="1" ht="25.5" customHeight="1">
      <c r="A7" s="95"/>
      <c r="B7" s="113" t="s">
        <v>533</v>
      </c>
      <c r="C7" s="114" t="s">
        <v>1078</v>
      </c>
      <c r="D7" s="115" t="s">
        <v>50</v>
      </c>
      <c r="E7" s="114" t="s">
        <v>539</v>
      </c>
      <c r="F7" s="116" t="s">
        <v>540</v>
      </c>
      <c r="G7" s="114" t="s">
        <v>534</v>
      </c>
      <c r="H7" s="335" t="s">
        <v>538</v>
      </c>
      <c r="I7" s="335" t="s">
        <v>541</v>
      </c>
      <c r="J7" s="129">
        <v>0</v>
      </c>
      <c r="K7" s="118">
        <f>+SUMIF('Nhập kho  입'!A:A,C7,'Nhập kho  입'!E:E)</f>
        <v>11750</v>
      </c>
      <c r="L7" s="119">
        <f>+SUMIF(' Xuất kho 출'!A:A,C7,' Xuất kho 출'!E:E)</f>
        <v>0</v>
      </c>
      <c r="M7" s="120"/>
      <c r="N7" s="130"/>
      <c r="O7" s="122">
        <v>0</v>
      </c>
      <c r="P7" s="122"/>
      <c r="Q7" s="131">
        <f t="shared" ref="Q7:Q71" si="1">+J7+K7-L7-N7</f>
        <v>11750</v>
      </c>
      <c r="R7" s="124"/>
      <c r="S7" s="124"/>
      <c r="T7" s="125">
        <f t="shared" si="0"/>
        <v>-11750</v>
      </c>
      <c r="U7" s="126"/>
      <c r="V7" s="132"/>
      <c r="W7" s="127"/>
      <c r="Y7" s="128"/>
      <c r="Z7" s="128"/>
      <c r="AA7" s="128"/>
      <c r="AC7" s="128"/>
      <c r="AD7" s="128"/>
      <c r="AE7" s="128"/>
      <c r="AF7" s="128"/>
      <c r="AG7" s="128"/>
      <c r="AH7" s="128"/>
      <c r="AI7" s="128"/>
      <c r="AJ7" s="128"/>
      <c r="AK7" s="128"/>
      <c r="AL7" s="128"/>
    </row>
    <row r="8" spans="1:38" s="90" customFormat="1" ht="25.5" hidden="1" customHeight="1">
      <c r="A8" s="95"/>
      <c r="B8" s="113" t="s">
        <v>533</v>
      </c>
      <c r="C8" s="114" t="s">
        <v>884</v>
      </c>
      <c r="D8" s="133" t="s">
        <v>50</v>
      </c>
      <c r="E8" s="114" t="s">
        <v>542</v>
      </c>
      <c r="F8" s="116" t="s">
        <v>540</v>
      </c>
      <c r="G8" s="114" t="s">
        <v>534</v>
      </c>
      <c r="H8" s="335" t="s">
        <v>538</v>
      </c>
      <c r="I8" s="114"/>
      <c r="J8" s="129">
        <v>0</v>
      </c>
      <c r="K8" s="118">
        <f>+SUMIF('Nhập kho  입'!A:A,C8,'Nhập kho  입'!E:E)</f>
        <v>0</v>
      </c>
      <c r="L8" s="119">
        <f>+SUMIF(' Xuất kho 출'!A:A,C8,' Xuất kho 출'!E:E)</f>
        <v>0</v>
      </c>
      <c r="M8" s="120"/>
      <c r="N8" s="130"/>
      <c r="O8" s="122">
        <v>0</v>
      </c>
      <c r="P8" s="122"/>
      <c r="Q8" s="131">
        <f t="shared" si="1"/>
        <v>0</v>
      </c>
      <c r="R8" s="124"/>
      <c r="S8" s="134"/>
      <c r="T8" s="125">
        <f t="shared" si="0"/>
        <v>0</v>
      </c>
      <c r="U8" s="126"/>
      <c r="V8" s="132"/>
      <c r="W8" s="127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8"/>
      <c r="AI8" s="128"/>
      <c r="AJ8" s="128"/>
      <c r="AK8" s="128"/>
      <c r="AL8" s="128"/>
    </row>
    <row r="9" spans="1:38" s="90" customFormat="1" ht="25.5" customHeight="1">
      <c r="A9" s="95"/>
      <c r="B9" s="113" t="s">
        <v>533</v>
      </c>
      <c r="C9" s="114" t="s">
        <v>338</v>
      </c>
      <c r="D9" s="133" t="s">
        <v>339</v>
      </c>
      <c r="E9" s="114" t="s">
        <v>543</v>
      </c>
      <c r="F9" s="116">
        <v>120150</v>
      </c>
      <c r="G9" s="114" t="s">
        <v>534</v>
      </c>
      <c r="H9" s="335" t="s">
        <v>544</v>
      </c>
      <c r="I9" s="114"/>
      <c r="J9" s="129">
        <v>400</v>
      </c>
      <c r="K9" s="118">
        <f>+SUMIF('Nhập kho  입'!A:A,C9,'Nhập kho  입'!E:E)</f>
        <v>0</v>
      </c>
      <c r="L9" s="119">
        <f>+SUMIF(' Xuất kho 출'!A:A,C9,' Xuất kho 출'!E:E)</f>
        <v>0</v>
      </c>
      <c r="M9" s="120"/>
      <c r="N9" s="130"/>
      <c r="O9" s="122">
        <v>0</v>
      </c>
      <c r="P9" s="122"/>
      <c r="Q9" s="131">
        <f t="shared" si="1"/>
        <v>400</v>
      </c>
      <c r="R9" s="124">
        <f>8*50</f>
        <v>400</v>
      </c>
      <c r="S9" s="134"/>
      <c r="T9" s="125">
        <f t="shared" si="0"/>
        <v>0</v>
      </c>
      <c r="U9" s="126"/>
      <c r="V9" s="132"/>
      <c r="W9" s="127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8"/>
    </row>
    <row r="10" spans="1:38" s="90" customFormat="1" ht="25.5" customHeight="1">
      <c r="A10" s="95"/>
      <c r="B10" s="113" t="s">
        <v>533</v>
      </c>
      <c r="C10" s="114" t="s">
        <v>423</v>
      </c>
      <c r="D10" s="133" t="s">
        <v>424</v>
      </c>
      <c r="E10" s="114" t="s">
        <v>542</v>
      </c>
      <c r="F10" s="116"/>
      <c r="G10" s="114" t="s">
        <v>534</v>
      </c>
      <c r="H10" s="335" t="s">
        <v>538</v>
      </c>
      <c r="I10" s="114"/>
      <c r="J10" s="129">
        <v>1550</v>
      </c>
      <c r="K10" s="118">
        <f>+SUMIF('Nhập kho  입'!A:A,C10,'Nhập kho  입'!E:E)</f>
        <v>0</v>
      </c>
      <c r="L10" s="119">
        <f>+SUMIF(' Xuất kho 출'!A:A,C10,' Xuất kho 출'!E:E)</f>
        <v>0</v>
      </c>
      <c r="M10" s="120"/>
      <c r="N10" s="130"/>
      <c r="O10" s="122">
        <v>0</v>
      </c>
      <c r="P10" s="122"/>
      <c r="Q10" s="131">
        <f t="shared" si="1"/>
        <v>1550</v>
      </c>
      <c r="R10" s="124">
        <f>200+350+19*50</f>
        <v>1500</v>
      </c>
      <c r="S10" s="134"/>
      <c r="T10" s="125">
        <f t="shared" si="0"/>
        <v>-50</v>
      </c>
      <c r="U10" s="126"/>
      <c r="V10" s="132"/>
      <c r="W10" s="127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</row>
    <row r="11" spans="1:38" s="90" customFormat="1" ht="25.5" customHeight="1">
      <c r="A11" s="95"/>
      <c r="B11" s="113" t="s">
        <v>533</v>
      </c>
      <c r="C11" s="114" t="s">
        <v>354</v>
      </c>
      <c r="D11" s="133" t="s">
        <v>355</v>
      </c>
      <c r="E11" s="114" t="s">
        <v>545</v>
      </c>
      <c r="F11" s="114" t="s">
        <v>537</v>
      </c>
      <c r="G11" s="114" t="s">
        <v>534</v>
      </c>
      <c r="H11" s="335" t="s">
        <v>546</v>
      </c>
      <c r="I11" s="114"/>
      <c r="J11" s="129">
        <v>600</v>
      </c>
      <c r="K11" s="118">
        <f>+SUMIF('Nhập kho  입'!A:A,C11,'Nhập kho  입'!E:E)</f>
        <v>0</v>
      </c>
      <c r="L11" s="119">
        <f>+SUMIF(' Xuất kho 출'!A:A,C11,' Xuất kho 출'!E:E)</f>
        <v>0</v>
      </c>
      <c r="M11" s="120"/>
      <c r="N11" s="130"/>
      <c r="O11" s="122">
        <v>0</v>
      </c>
      <c r="P11" s="122"/>
      <c r="Q11" s="131">
        <f t="shared" si="1"/>
        <v>600</v>
      </c>
      <c r="R11" s="124">
        <f>4*50+8*50</f>
        <v>600</v>
      </c>
      <c r="S11" s="124"/>
      <c r="T11" s="125">
        <f t="shared" si="0"/>
        <v>0</v>
      </c>
      <c r="U11" s="126"/>
      <c r="V11" s="132"/>
      <c r="W11" s="127"/>
      <c r="X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</row>
    <row r="12" spans="1:38" s="90" customFormat="1" ht="25.5" customHeight="1">
      <c r="A12" s="95"/>
      <c r="B12" s="113" t="s">
        <v>533</v>
      </c>
      <c r="C12" s="114" t="s">
        <v>847</v>
      </c>
      <c r="D12" s="133" t="s">
        <v>845</v>
      </c>
      <c r="E12" s="114" t="s">
        <v>547</v>
      </c>
      <c r="F12" s="114" t="s">
        <v>548</v>
      </c>
      <c r="G12" s="114" t="s">
        <v>549</v>
      </c>
      <c r="H12" s="335" t="s">
        <v>550</v>
      </c>
      <c r="I12" s="114"/>
      <c r="J12" s="129">
        <v>1100</v>
      </c>
      <c r="K12" s="118">
        <f>+SUMIF('Nhập kho  입'!A:A,C12,'Nhập kho  입'!E:E)</f>
        <v>0</v>
      </c>
      <c r="L12" s="119">
        <f>+SUMIF(' Xuất kho 출'!A:A,C12,' Xuất kho 출'!E:E)</f>
        <v>0</v>
      </c>
      <c r="M12" s="120"/>
      <c r="N12" s="130"/>
      <c r="O12" s="122">
        <v>0</v>
      </c>
      <c r="P12" s="122"/>
      <c r="Q12" s="131">
        <f t="shared" si="1"/>
        <v>1100</v>
      </c>
      <c r="R12" s="124">
        <v>1100</v>
      </c>
      <c r="S12" s="134"/>
      <c r="T12" s="125">
        <f t="shared" si="0"/>
        <v>0</v>
      </c>
      <c r="U12" s="126"/>
      <c r="V12" s="132"/>
      <c r="W12" s="127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</row>
    <row r="13" spans="1:38" s="90" customFormat="1" ht="25.5" customHeight="1">
      <c r="A13" s="95"/>
      <c r="B13" s="113" t="s">
        <v>533</v>
      </c>
      <c r="C13" s="114" t="s">
        <v>1451</v>
      </c>
      <c r="D13" s="115" t="s">
        <v>178</v>
      </c>
      <c r="E13" s="114" t="s">
        <v>551</v>
      </c>
      <c r="F13" s="116" t="s">
        <v>540</v>
      </c>
      <c r="G13" s="114" t="s">
        <v>549</v>
      </c>
      <c r="H13" s="335" t="s">
        <v>552</v>
      </c>
      <c r="I13" s="114"/>
      <c r="J13" s="129">
        <v>4700</v>
      </c>
      <c r="K13" s="118">
        <f>+SUMIF('Nhập kho  입'!A:A,C13,'Nhập kho  입'!E:E)</f>
        <v>0</v>
      </c>
      <c r="L13" s="119">
        <f>+SUMIF(' Xuất kho 출'!A:A,C13,' Xuất kho 출'!E:E)</f>
        <v>4000</v>
      </c>
      <c r="M13" s="120"/>
      <c r="N13" s="130"/>
      <c r="O13" s="122">
        <v>0</v>
      </c>
      <c r="P13" s="122"/>
      <c r="Q13" s="131">
        <f t="shared" si="1"/>
        <v>700</v>
      </c>
      <c r="R13" s="124">
        <f>200+3500</f>
        <v>3700</v>
      </c>
      <c r="S13" s="124"/>
      <c r="T13" s="125">
        <f t="shared" si="0"/>
        <v>3000</v>
      </c>
      <c r="U13" s="126"/>
      <c r="V13" s="132"/>
      <c r="W13" s="127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  <c r="AH13" s="128"/>
      <c r="AI13" s="128"/>
      <c r="AJ13" s="128"/>
      <c r="AK13" s="128"/>
      <c r="AL13" s="128"/>
    </row>
    <row r="14" spans="1:38" s="90" customFormat="1" ht="25.5" customHeight="1" collapsed="1">
      <c r="A14" s="95"/>
      <c r="B14" s="135" t="s">
        <v>533</v>
      </c>
      <c r="C14" s="136" t="s">
        <v>1104</v>
      </c>
      <c r="D14" s="137" t="s">
        <v>297</v>
      </c>
      <c r="E14" s="114" t="s">
        <v>553</v>
      </c>
      <c r="F14" s="136" t="s">
        <v>537</v>
      </c>
      <c r="G14" s="136" t="s">
        <v>534</v>
      </c>
      <c r="H14" s="335" t="s">
        <v>544</v>
      </c>
      <c r="I14" s="136"/>
      <c r="J14" s="129">
        <v>0</v>
      </c>
      <c r="K14" s="118">
        <f>+SUMIF('Nhập kho  입'!A:A,C14,'Nhập kho  입'!E:E)</f>
        <v>8400</v>
      </c>
      <c r="L14" s="119">
        <f>+SUMIF(' Xuất kho 출'!A:A,C14,' Xuất kho 출'!E:E)</f>
        <v>3000</v>
      </c>
      <c r="M14" s="120"/>
      <c r="N14" s="130"/>
      <c r="O14" s="122">
        <v>0</v>
      </c>
      <c r="P14" s="122"/>
      <c r="Q14" s="131">
        <f t="shared" si="1"/>
        <v>5400</v>
      </c>
      <c r="R14" s="124"/>
      <c r="S14" s="124"/>
      <c r="T14" s="125">
        <f t="shared" si="0"/>
        <v>-5400</v>
      </c>
      <c r="U14" s="126"/>
      <c r="V14" s="132"/>
      <c r="W14" s="138"/>
      <c r="X14" s="128"/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28"/>
    </row>
    <row r="15" spans="1:38" s="90" customFormat="1" ht="25.5" customHeight="1">
      <c r="A15" s="95"/>
      <c r="B15" s="113" t="s">
        <v>533</v>
      </c>
      <c r="C15" s="114" t="s">
        <v>279</v>
      </c>
      <c r="D15" s="133" t="s">
        <v>280</v>
      </c>
      <c r="E15" s="114" t="s">
        <v>542</v>
      </c>
      <c r="F15" s="116" t="s">
        <v>537</v>
      </c>
      <c r="G15" s="114" t="s">
        <v>534</v>
      </c>
      <c r="H15" s="335" t="s">
        <v>552</v>
      </c>
      <c r="I15" s="114"/>
      <c r="J15" s="129">
        <v>2400</v>
      </c>
      <c r="K15" s="118">
        <f>+SUMIF('Nhập kho  입'!A:A,C15,'Nhập kho  입'!E:E)</f>
        <v>3600</v>
      </c>
      <c r="L15" s="119">
        <f>+SUMIF(' Xuất kho 출'!A:A,C15,' Xuất kho 출'!E:E)</f>
        <v>4000</v>
      </c>
      <c r="M15" s="120"/>
      <c r="N15" s="130"/>
      <c r="O15" s="122">
        <v>0</v>
      </c>
      <c r="P15" s="122"/>
      <c r="Q15" s="131">
        <f t="shared" si="1"/>
        <v>2000</v>
      </c>
      <c r="R15" s="124">
        <f>39*50+9*50</f>
        <v>2400</v>
      </c>
      <c r="S15" s="124"/>
      <c r="T15" s="125">
        <f t="shared" si="0"/>
        <v>400</v>
      </c>
      <c r="U15" s="126"/>
      <c r="V15" s="132"/>
      <c r="W15" s="127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  <c r="AL15" s="128"/>
    </row>
    <row r="16" spans="1:38" s="90" customFormat="1" ht="25.5" hidden="1" customHeight="1">
      <c r="A16" s="95"/>
      <c r="B16" s="113" t="s">
        <v>533</v>
      </c>
      <c r="C16" s="114" t="s">
        <v>281</v>
      </c>
      <c r="D16" s="133" t="s">
        <v>280</v>
      </c>
      <c r="E16" s="114" t="s">
        <v>554</v>
      </c>
      <c r="F16" s="116"/>
      <c r="G16" s="114" t="s">
        <v>534</v>
      </c>
      <c r="H16" s="335" t="s">
        <v>552</v>
      </c>
      <c r="I16" s="114"/>
      <c r="J16" s="129">
        <v>0</v>
      </c>
      <c r="K16" s="118">
        <f>+SUMIF('Nhập kho  입'!A:A,C16,'Nhập kho  입'!E:E)</f>
        <v>0</v>
      </c>
      <c r="L16" s="119">
        <f>+SUMIF(' Xuất kho 출'!A:A,C16,' Xuất kho 출'!E:E)</f>
        <v>0</v>
      </c>
      <c r="M16" s="120"/>
      <c r="N16" s="130"/>
      <c r="O16" s="122">
        <v>0</v>
      </c>
      <c r="P16" s="122"/>
      <c r="Q16" s="131">
        <f t="shared" si="1"/>
        <v>0</v>
      </c>
      <c r="R16" s="124"/>
      <c r="S16" s="134"/>
      <c r="T16" s="125">
        <f t="shared" si="0"/>
        <v>0</v>
      </c>
      <c r="U16" s="126"/>
      <c r="V16" s="132"/>
      <c r="W16" s="127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</row>
    <row r="17" spans="1:38" s="90" customFormat="1" ht="25.5" customHeight="1">
      <c r="A17" s="95"/>
      <c r="B17" s="113" t="s">
        <v>533</v>
      </c>
      <c r="C17" s="114" t="s">
        <v>282</v>
      </c>
      <c r="D17" s="115" t="s">
        <v>280</v>
      </c>
      <c r="E17" s="114"/>
      <c r="F17" s="116"/>
      <c r="G17" s="114" t="s">
        <v>534</v>
      </c>
      <c r="H17" s="335" t="s">
        <v>552</v>
      </c>
      <c r="I17" s="114"/>
      <c r="J17" s="129">
        <v>200</v>
      </c>
      <c r="K17" s="118">
        <f>+SUMIF('Nhập kho  입'!A:A,C17,'Nhập kho  입'!E:E)</f>
        <v>0</v>
      </c>
      <c r="L17" s="119">
        <f>+SUMIF(' Xuất kho 출'!A:A,C17,' Xuất kho 출'!E:E)</f>
        <v>0</v>
      </c>
      <c r="M17" s="120"/>
      <c r="N17" s="130"/>
      <c r="O17" s="122">
        <v>0</v>
      </c>
      <c r="P17" s="122"/>
      <c r="Q17" s="131">
        <f t="shared" si="1"/>
        <v>200</v>
      </c>
      <c r="R17" s="124">
        <v>200</v>
      </c>
      <c r="S17" s="134"/>
      <c r="T17" s="125">
        <f t="shared" si="0"/>
        <v>0</v>
      </c>
      <c r="U17" s="126"/>
      <c r="V17" s="132"/>
      <c r="W17" s="127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8"/>
    </row>
    <row r="18" spans="1:38" s="90" customFormat="1" ht="25.5" customHeight="1" collapsed="1">
      <c r="A18" s="95"/>
      <c r="B18" s="113" t="s">
        <v>533</v>
      </c>
      <c r="C18" s="114" t="s">
        <v>896</v>
      </c>
      <c r="D18" s="115" t="s">
        <v>897</v>
      </c>
      <c r="E18" s="114" t="s">
        <v>555</v>
      </c>
      <c r="F18" s="114">
        <v>125150</v>
      </c>
      <c r="G18" s="114" t="s">
        <v>534</v>
      </c>
      <c r="H18" s="335" t="s">
        <v>552</v>
      </c>
      <c r="I18" s="335" t="s">
        <v>556</v>
      </c>
      <c r="J18" s="129">
        <v>1500</v>
      </c>
      <c r="K18" s="118">
        <f>+SUMIF('Nhập kho  입'!A:A,C18,'Nhập kho  입'!E:E)</f>
        <v>0</v>
      </c>
      <c r="L18" s="119">
        <f>+SUMIF(' Xuất kho 출'!A:A,C18,' Xuất kho 출'!E:E)</f>
        <v>0</v>
      </c>
      <c r="M18" s="120"/>
      <c r="N18" s="130"/>
      <c r="O18" s="122">
        <v>0</v>
      </c>
      <c r="P18" s="122"/>
      <c r="Q18" s="131">
        <f t="shared" si="1"/>
        <v>1500</v>
      </c>
      <c r="R18" s="124">
        <f>30*50</f>
        <v>1500</v>
      </c>
      <c r="S18" s="134"/>
      <c r="T18" s="125">
        <f t="shared" si="0"/>
        <v>0</v>
      </c>
      <c r="U18" s="126"/>
      <c r="V18" s="132"/>
      <c r="W18" s="127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</row>
    <row r="19" spans="1:38" s="90" customFormat="1" ht="25.5" customHeight="1">
      <c r="A19" s="95"/>
      <c r="B19" s="113" t="s">
        <v>533</v>
      </c>
      <c r="C19" s="114" t="s">
        <v>877</v>
      </c>
      <c r="D19" s="133" t="s">
        <v>875</v>
      </c>
      <c r="E19" s="114" t="s">
        <v>557</v>
      </c>
      <c r="F19" s="116" t="s">
        <v>537</v>
      </c>
      <c r="G19" s="114" t="s">
        <v>534</v>
      </c>
      <c r="H19" s="335" t="s">
        <v>552</v>
      </c>
      <c r="I19" s="114"/>
      <c r="J19" s="129">
        <v>4950</v>
      </c>
      <c r="K19" s="118">
        <f>+SUMIF('Nhập kho  입'!A:A,C19,'Nhập kho  입'!E:E)</f>
        <v>0</v>
      </c>
      <c r="L19" s="119">
        <f>+SUMIF(' Xuất kho 출'!A:A,C19,' Xuất kho 출'!E:E)</f>
        <v>0</v>
      </c>
      <c r="M19" s="120"/>
      <c r="N19" s="130"/>
      <c r="O19" s="122">
        <v>0</v>
      </c>
      <c r="P19" s="122"/>
      <c r="Q19" s="131">
        <f t="shared" si="1"/>
        <v>4950</v>
      </c>
      <c r="R19" s="124">
        <f>73*50+24*50+100</f>
        <v>4950</v>
      </c>
      <c r="S19" s="124"/>
      <c r="T19" s="125">
        <f t="shared" si="0"/>
        <v>0</v>
      </c>
      <c r="U19" s="126"/>
      <c r="V19" s="132"/>
      <c r="W19" s="127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</row>
    <row r="20" spans="1:38" s="90" customFormat="1" ht="25.5" customHeight="1">
      <c r="A20" s="95"/>
      <c r="B20" s="113" t="s">
        <v>533</v>
      </c>
      <c r="C20" s="114" t="s">
        <v>230</v>
      </c>
      <c r="D20" s="133" t="s">
        <v>231</v>
      </c>
      <c r="E20" s="114"/>
      <c r="F20" s="116" t="s">
        <v>558</v>
      </c>
      <c r="G20" s="114" t="s">
        <v>534</v>
      </c>
      <c r="H20" s="335" t="s">
        <v>544</v>
      </c>
      <c r="I20" s="114"/>
      <c r="J20" s="129">
        <v>3450</v>
      </c>
      <c r="K20" s="118">
        <f>+SUMIF('Nhập kho  입'!A:A,C20,'Nhập kho  입'!E:E)</f>
        <v>0</v>
      </c>
      <c r="L20" s="119">
        <f>+SUMIF(' Xuất kho 출'!A:A,C20,' Xuất kho 출'!E:E)</f>
        <v>0</v>
      </c>
      <c r="M20" s="120"/>
      <c r="N20" s="130"/>
      <c r="O20" s="122">
        <v>0</v>
      </c>
      <c r="P20" s="122"/>
      <c r="Q20" s="131">
        <f t="shared" si="1"/>
        <v>3450</v>
      </c>
      <c r="R20" s="124">
        <f>69*50</f>
        <v>3450</v>
      </c>
      <c r="S20" s="134"/>
      <c r="T20" s="125">
        <f t="shared" si="0"/>
        <v>0</v>
      </c>
      <c r="U20" s="126"/>
      <c r="V20" s="132"/>
      <c r="W20" s="127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</row>
    <row r="21" spans="1:38" s="90" customFormat="1" ht="25.5" customHeight="1">
      <c r="A21" s="95"/>
      <c r="B21" s="113" t="s">
        <v>533</v>
      </c>
      <c r="C21" s="114" t="s">
        <v>1103</v>
      </c>
      <c r="D21" s="115" t="s">
        <v>47</v>
      </c>
      <c r="E21" s="114" t="s">
        <v>559</v>
      </c>
      <c r="F21" s="114" t="s">
        <v>540</v>
      </c>
      <c r="G21" s="114" t="s">
        <v>534</v>
      </c>
      <c r="H21" s="335" t="s">
        <v>552</v>
      </c>
      <c r="I21" s="335" t="s">
        <v>541</v>
      </c>
      <c r="J21" s="129">
        <v>750</v>
      </c>
      <c r="K21" s="118">
        <f>+SUMIF('Nhập kho  입'!A:A,C21,'Nhập kho  입'!E:E)</f>
        <v>2850</v>
      </c>
      <c r="L21" s="119">
        <f>+SUMIF(' Xuất kho 출'!A:A,C21,' Xuất kho 출'!E:E)</f>
        <v>0</v>
      </c>
      <c r="M21" s="120"/>
      <c r="N21" s="130"/>
      <c r="O21" s="122">
        <v>0</v>
      </c>
      <c r="P21" s="122"/>
      <c r="Q21" s="131">
        <f t="shared" si="1"/>
        <v>3600</v>
      </c>
      <c r="R21" s="124">
        <f>15*50</f>
        <v>750</v>
      </c>
      <c r="S21" s="124"/>
      <c r="T21" s="125">
        <f t="shared" si="0"/>
        <v>-2850</v>
      </c>
      <c r="U21" s="126"/>
      <c r="V21" s="132"/>
      <c r="W21" s="127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</row>
    <row r="22" spans="1:38" s="90" customFormat="1" ht="25.5" customHeight="1">
      <c r="A22" s="95"/>
      <c r="B22" s="113" t="s">
        <v>533</v>
      </c>
      <c r="C22" s="114" t="s">
        <v>1050</v>
      </c>
      <c r="D22" s="133" t="s">
        <v>47</v>
      </c>
      <c r="E22" s="114" t="s">
        <v>560</v>
      </c>
      <c r="F22" s="116" t="s">
        <v>540</v>
      </c>
      <c r="G22" s="114" t="s">
        <v>534</v>
      </c>
      <c r="H22" s="335" t="s">
        <v>552</v>
      </c>
      <c r="I22" s="114"/>
      <c r="J22" s="129">
        <v>1750</v>
      </c>
      <c r="K22" s="118">
        <f>+SUMIF('Nhập kho  입'!A:A,C22,'Nhập kho  입'!E:E)</f>
        <v>3600</v>
      </c>
      <c r="L22" s="119">
        <f>+SUMIF(' Xuất kho 출'!A:A,C22,' Xuất kho 출'!E:E)</f>
        <v>5000</v>
      </c>
      <c r="M22" s="120"/>
      <c r="N22" s="130"/>
      <c r="O22" s="122">
        <v>0</v>
      </c>
      <c r="P22" s="122"/>
      <c r="Q22" s="131">
        <f t="shared" si="1"/>
        <v>350</v>
      </c>
      <c r="R22" s="124">
        <f>35*50</f>
        <v>1750</v>
      </c>
      <c r="S22" s="124"/>
      <c r="T22" s="125">
        <f t="shared" si="0"/>
        <v>1400</v>
      </c>
      <c r="U22" s="126"/>
      <c r="V22" s="132"/>
      <c r="W22" s="127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</row>
    <row r="23" spans="1:38" s="90" customFormat="1" ht="25.5" customHeight="1">
      <c r="A23" s="95"/>
      <c r="B23" s="113" t="s">
        <v>533</v>
      </c>
      <c r="C23" s="114" t="s">
        <v>779</v>
      </c>
      <c r="D23" s="133" t="s">
        <v>265</v>
      </c>
      <c r="E23" s="114" t="s">
        <v>561</v>
      </c>
      <c r="F23" s="116" t="s">
        <v>537</v>
      </c>
      <c r="G23" s="114" t="s">
        <v>562</v>
      </c>
      <c r="H23" s="335" t="s">
        <v>546</v>
      </c>
      <c r="I23" s="114"/>
      <c r="J23" s="129">
        <v>2600</v>
      </c>
      <c r="K23" s="118">
        <f>+SUMIF('Nhập kho  입'!A:A,C23,'Nhập kho  입'!E:E)</f>
        <v>700</v>
      </c>
      <c r="L23" s="119">
        <f>+SUMIF(' Xuất kho 출'!A:A,C23,' Xuất kho 출'!E:E)</f>
        <v>0</v>
      </c>
      <c r="M23" s="120"/>
      <c r="N23" s="130"/>
      <c r="O23" s="122">
        <v>0</v>
      </c>
      <c r="P23" s="122"/>
      <c r="Q23" s="131">
        <f t="shared" si="1"/>
        <v>3300</v>
      </c>
      <c r="R23" s="124">
        <f>41*50+11*50</f>
        <v>2600</v>
      </c>
      <c r="S23" s="134"/>
      <c r="T23" s="125">
        <f t="shared" si="0"/>
        <v>-700</v>
      </c>
      <c r="U23" s="126"/>
      <c r="V23" s="132"/>
      <c r="W23" s="127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</row>
    <row r="24" spans="1:38" s="90" customFormat="1" ht="25.5" customHeight="1">
      <c r="A24" s="95"/>
      <c r="B24" s="113" t="s">
        <v>533</v>
      </c>
      <c r="C24" s="114" t="s">
        <v>266</v>
      </c>
      <c r="D24" s="133" t="s">
        <v>265</v>
      </c>
      <c r="E24" s="114" t="s">
        <v>563</v>
      </c>
      <c r="F24" s="114" t="s">
        <v>537</v>
      </c>
      <c r="G24" s="114" t="s">
        <v>562</v>
      </c>
      <c r="H24" s="335" t="s">
        <v>552</v>
      </c>
      <c r="I24" s="114"/>
      <c r="J24" s="129">
        <v>1100</v>
      </c>
      <c r="K24" s="118">
        <f>+SUMIF('Nhập kho  입'!A:A,C24,'Nhập kho  입'!E:E)</f>
        <v>0</v>
      </c>
      <c r="L24" s="119">
        <f>+SUMIF(' Xuất kho 출'!A:A,C24,' Xuất kho 출'!E:E)</f>
        <v>0</v>
      </c>
      <c r="M24" s="120"/>
      <c r="N24" s="130"/>
      <c r="O24" s="122">
        <v>0</v>
      </c>
      <c r="P24" s="122"/>
      <c r="Q24" s="131">
        <f t="shared" si="1"/>
        <v>1100</v>
      </c>
      <c r="R24" s="124">
        <f>19*50+150</f>
        <v>1100</v>
      </c>
      <c r="S24" s="134"/>
      <c r="T24" s="125">
        <f t="shared" si="0"/>
        <v>0</v>
      </c>
      <c r="U24" s="126"/>
      <c r="V24" s="132"/>
      <c r="W24" s="127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</row>
    <row r="25" spans="1:38" s="90" customFormat="1" ht="25.5" customHeight="1" collapsed="1">
      <c r="A25" s="95"/>
      <c r="B25" s="113" t="s">
        <v>533</v>
      </c>
      <c r="C25" s="114" t="s">
        <v>259</v>
      </c>
      <c r="D25" s="133" t="s">
        <v>260</v>
      </c>
      <c r="E25" s="114" t="s">
        <v>564</v>
      </c>
      <c r="F25" s="114" t="s">
        <v>537</v>
      </c>
      <c r="G25" s="114" t="s">
        <v>562</v>
      </c>
      <c r="H25" s="335" t="s">
        <v>552</v>
      </c>
      <c r="I25" s="114"/>
      <c r="J25" s="129">
        <v>600</v>
      </c>
      <c r="K25" s="118">
        <f>+SUMIF('Nhập kho  입'!A:A,C25,'Nhập kho  입'!E:E)</f>
        <v>0</v>
      </c>
      <c r="L25" s="119">
        <f>+SUMIF(' Xuất kho 출'!A:A,C25,' Xuất kho 출'!E:E)</f>
        <v>0</v>
      </c>
      <c r="M25" s="120"/>
      <c r="N25" s="130"/>
      <c r="O25" s="122">
        <v>0</v>
      </c>
      <c r="P25" s="122"/>
      <c r="Q25" s="131">
        <f t="shared" si="1"/>
        <v>600</v>
      </c>
      <c r="R25" s="124">
        <f>5*50+350</f>
        <v>600</v>
      </c>
      <c r="S25" s="124"/>
      <c r="T25" s="125">
        <f t="shared" si="0"/>
        <v>0</v>
      </c>
      <c r="U25" s="126"/>
      <c r="V25" s="132"/>
      <c r="W25" s="127"/>
      <c r="X25" s="128"/>
      <c r="Y25" s="128"/>
      <c r="Z25" s="128"/>
      <c r="AA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</row>
    <row r="26" spans="1:38" s="90" customFormat="1" ht="25.5" customHeight="1">
      <c r="A26" s="95"/>
      <c r="B26" s="113" t="s">
        <v>533</v>
      </c>
      <c r="C26" s="114" t="s">
        <v>261</v>
      </c>
      <c r="D26" s="115" t="s">
        <v>260</v>
      </c>
      <c r="E26" s="114"/>
      <c r="F26" s="116" t="s">
        <v>540</v>
      </c>
      <c r="G26" s="139" t="s">
        <v>562</v>
      </c>
      <c r="H26" s="335" t="s">
        <v>552</v>
      </c>
      <c r="I26" s="114"/>
      <c r="J26" s="129">
        <v>750</v>
      </c>
      <c r="K26" s="118">
        <f>+SUMIF('Nhập kho  입'!A:A,C26,'Nhập kho  입'!E:E)</f>
        <v>0</v>
      </c>
      <c r="L26" s="119">
        <f>+SUMIF(' Xuất kho 출'!A:A,C26,' Xuất kho 출'!E:E)</f>
        <v>0</v>
      </c>
      <c r="M26" s="120"/>
      <c r="N26" s="130"/>
      <c r="O26" s="122">
        <v>0</v>
      </c>
      <c r="P26" s="122"/>
      <c r="Q26" s="131">
        <f t="shared" si="1"/>
        <v>750</v>
      </c>
      <c r="R26" s="124">
        <f>8*50+350</f>
        <v>750</v>
      </c>
      <c r="S26" s="134"/>
      <c r="T26" s="125">
        <f t="shared" si="0"/>
        <v>0</v>
      </c>
      <c r="U26" s="126"/>
      <c r="V26" s="132"/>
      <c r="W26" s="127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</row>
    <row r="27" spans="1:38" s="90" customFormat="1" ht="25.5" customHeight="1">
      <c r="A27" s="95"/>
      <c r="B27" s="113" t="s">
        <v>533</v>
      </c>
      <c r="C27" s="139" t="s">
        <v>1255</v>
      </c>
      <c r="D27" s="140" t="s">
        <v>419</v>
      </c>
      <c r="E27" s="114" t="s">
        <v>561</v>
      </c>
      <c r="F27" s="114"/>
      <c r="G27" s="114" t="s">
        <v>562</v>
      </c>
      <c r="H27" s="335" t="s">
        <v>552</v>
      </c>
      <c r="I27" s="114"/>
      <c r="J27" s="129">
        <v>2900</v>
      </c>
      <c r="K27" s="118">
        <f>+SUMIF('Nhập kho  입'!A:A,C27,'Nhập kho  입'!E:E)</f>
        <v>0</v>
      </c>
      <c r="L27" s="119">
        <f>+SUMIF(' Xuất kho 출'!A:A,C27,' Xuất kho 출'!E:E)</f>
        <v>1500</v>
      </c>
      <c r="M27" s="120"/>
      <c r="N27" s="130"/>
      <c r="O27" s="122">
        <v>0</v>
      </c>
      <c r="P27" s="122"/>
      <c r="Q27" s="131">
        <f t="shared" si="1"/>
        <v>1400</v>
      </c>
      <c r="R27" s="124">
        <f>56*50</f>
        <v>2800</v>
      </c>
      <c r="S27" s="124"/>
      <c r="T27" s="125">
        <f t="shared" si="0"/>
        <v>1400</v>
      </c>
      <c r="U27" s="126"/>
      <c r="V27" s="132"/>
      <c r="W27" s="127"/>
      <c r="X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</row>
    <row r="28" spans="1:38" s="90" customFormat="1" ht="25.5" customHeight="1">
      <c r="A28" s="95"/>
      <c r="B28" s="113" t="s">
        <v>533</v>
      </c>
      <c r="C28" s="139" t="s">
        <v>220</v>
      </c>
      <c r="D28" s="140" t="s">
        <v>221</v>
      </c>
      <c r="E28" s="114" t="s">
        <v>565</v>
      </c>
      <c r="F28" s="114" t="s">
        <v>540</v>
      </c>
      <c r="G28" s="114" t="s">
        <v>549</v>
      </c>
      <c r="H28" s="335" t="s">
        <v>552</v>
      </c>
      <c r="I28" s="114"/>
      <c r="J28" s="129">
        <v>100</v>
      </c>
      <c r="K28" s="118">
        <f>+SUMIF('Nhập kho  입'!A:A,C28,'Nhập kho  입'!E:E)</f>
        <v>0</v>
      </c>
      <c r="L28" s="119">
        <f>+SUMIF(' Xuất kho 출'!A:A,C28,' Xuất kho 출'!E:E)</f>
        <v>0</v>
      </c>
      <c r="M28" s="120"/>
      <c r="N28" s="130"/>
      <c r="O28" s="122">
        <v>0</v>
      </c>
      <c r="P28" s="122"/>
      <c r="Q28" s="131">
        <f t="shared" si="1"/>
        <v>100</v>
      </c>
      <c r="R28" s="124">
        <v>100</v>
      </c>
      <c r="S28" s="124"/>
      <c r="T28" s="125">
        <f t="shared" si="0"/>
        <v>0</v>
      </c>
      <c r="U28" s="126"/>
      <c r="V28" s="132"/>
      <c r="W28" s="127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</row>
    <row r="29" spans="1:38" s="90" customFormat="1" ht="25.5" customHeight="1">
      <c r="A29" s="95"/>
      <c r="B29" s="113" t="s">
        <v>533</v>
      </c>
      <c r="C29" s="139" t="s">
        <v>814</v>
      </c>
      <c r="D29" s="140" t="s">
        <v>233</v>
      </c>
      <c r="E29" s="114" t="s">
        <v>566</v>
      </c>
      <c r="F29" s="114" t="s">
        <v>537</v>
      </c>
      <c r="G29" s="114" t="s">
        <v>534</v>
      </c>
      <c r="H29" s="335" t="s">
        <v>552</v>
      </c>
      <c r="I29" s="114"/>
      <c r="J29" s="129">
        <v>1250</v>
      </c>
      <c r="K29" s="118">
        <f>+SUMIF('Nhập kho  입'!A:A,C29,'Nhập kho  입'!E:E)</f>
        <v>0</v>
      </c>
      <c r="L29" s="119">
        <f>+SUMIF(' Xuất kho 출'!A:A,C29,' Xuất kho 출'!E:E)</f>
        <v>0</v>
      </c>
      <c r="M29" s="120"/>
      <c r="N29" s="130"/>
      <c r="O29" s="122">
        <v>0</v>
      </c>
      <c r="P29" s="122"/>
      <c r="Q29" s="131">
        <f t="shared" si="1"/>
        <v>1250</v>
      </c>
      <c r="R29" s="124">
        <f>25*50</f>
        <v>1250</v>
      </c>
      <c r="S29" s="134"/>
      <c r="T29" s="125">
        <f t="shared" si="0"/>
        <v>0</v>
      </c>
      <c r="U29" s="126"/>
      <c r="V29" s="132"/>
      <c r="W29" s="127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8"/>
    </row>
    <row r="30" spans="1:38" s="90" customFormat="1" ht="25.5" hidden="1" customHeight="1">
      <c r="A30" s="95"/>
      <c r="B30" s="113" t="s">
        <v>533</v>
      </c>
      <c r="C30" s="139" t="s">
        <v>234</v>
      </c>
      <c r="D30" s="140" t="s">
        <v>233</v>
      </c>
      <c r="E30" s="114" t="s">
        <v>567</v>
      </c>
      <c r="F30" s="114"/>
      <c r="G30" s="114" t="s">
        <v>534</v>
      </c>
      <c r="H30" s="335" t="s">
        <v>552</v>
      </c>
      <c r="I30" s="114"/>
      <c r="J30" s="129">
        <v>0</v>
      </c>
      <c r="K30" s="118">
        <f>+SUMIF('Nhập kho  입'!A:A,C30,'Nhập kho  입'!E:E)</f>
        <v>0</v>
      </c>
      <c r="L30" s="119">
        <f>+SUMIF(' Xuất kho 출'!A:A,C30,' Xuất kho 출'!E:E)</f>
        <v>0</v>
      </c>
      <c r="M30" s="120"/>
      <c r="N30" s="130"/>
      <c r="O30" s="122">
        <v>0</v>
      </c>
      <c r="P30" s="122"/>
      <c r="Q30" s="131">
        <f t="shared" si="1"/>
        <v>0</v>
      </c>
      <c r="R30" s="124"/>
      <c r="S30" s="124"/>
      <c r="T30" s="125">
        <f t="shared" si="0"/>
        <v>0</v>
      </c>
      <c r="U30" s="126"/>
      <c r="V30" s="132"/>
      <c r="W30" s="127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28"/>
    </row>
    <row r="31" spans="1:38" s="90" customFormat="1" ht="25.5" customHeight="1">
      <c r="A31" s="95"/>
      <c r="B31" s="113" t="s">
        <v>533</v>
      </c>
      <c r="C31" s="139" t="s">
        <v>1241</v>
      </c>
      <c r="D31" s="140" t="s">
        <v>1198</v>
      </c>
      <c r="E31" s="114" t="s">
        <v>1200</v>
      </c>
      <c r="F31" s="141" t="s">
        <v>540</v>
      </c>
      <c r="G31" s="139" t="s">
        <v>534</v>
      </c>
      <c r="H31" s="335" t="s">
        <v>552</v>
      </c>
      <c r="I31" s="114"/>
      <c r="J31" s="129">
        <v>0</v>
      </c>
      <c r="K31" s="118">
        <f>+SUMIF('Nhập kho  입'!A:A,C31,'Nhập kho  입'!E:E)</f>
        <v>500</v>
      </c>
      <c r="L31" s="119">
        <f>+SUMIF(' Xuất kho 출'!A:A,C31,' Xuất kho 출'!E:E)</f>
        <v>200</v>
      </c>
      <c r="M31" s="120"/>
      <c r="N31" s="130"/>
      <c r="O31" s="122">
        <v>0</v>
      </c>
      <c r="P31" s="122"/>
      <c r="Q31" s="131">
        <f t="shared" si="1"/>
        <v>300</v>
      </c>
      <c r="R31" s="124"/>
      <c r="S31" s="134"/>
      <c r="T31" s="125">
        <f t="shared" si="0"/>
        <v>-300</v>
      </c>
      <c r="U31" s="126"/>
      <c r="V31" s="132"/>
      <c r="W31" s="127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</row>
    <row r="32" spans="1:38" s="90" customFormat="1" ht="25.5" customHeight="1">
      <c r="A32" s="95"/>
      <c r="B32" s="113" t="s">
        <v>533</v>
      </c>
      <c r="C32" s="139" t="s">
        <v>350</v>
      </c>
      <c r="D32" s="140" t="s">
        <v>351</v>
      </c>
      <c r="E32" s="114" t="s">
        <v>566</v>
      </c>
      <c r="F32" s="141"/>
      <c r="G32" s="114" t="s">
        <v>534</v>
      </c>
      <c r="H32" s="335" t="s">
        <v>552</v>
      </c>
      <c r="I32" s="114"/>
      <c r="J32" s="129">
        <v>5600</v>
      </c>
      <c r="K32" s="118">
        <f>+SUMIF('Nhập kho  입'!A:A,C32,'Nhập kho  입'!E:E)</f>
        <v>0</v>
      </c>
      <c r="L32" s="119">
        <f>+SUMIF(' Xuất kho 출'!A:A,C32,' Xuất kho 출'!E:E)</f>
        <v>0</v>
      </c>
      <c r="M32" s="120"/>
      <c r="N32" s="130"/>
      <c r="O32" s="122">
        <v>0</v>
      </c>
      <c r="P32" s="122"/>
      <c r="Q32" s="131">
        <f t="shared" si="1"/>
        <v>5600</v>
      </c>
      <c r="R32" s="124">
        <f>19*50+17*50+8*50+68*50</f>
        <v>5600</v>
      </c>
      <c r="S32" s="134"/>
      <c r="T32" s="125">
        <f t="shared" si="0"/>
        <v>0</v>
      </c>
      <c r="U32" s="126"/>
      <c r="V32" s="132"/>
      <c r="W32" s="127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</row>
    <row r="33" spans="1:38" s="90" customFormat="1" ht="25.5" customHeight="1">
      <c r="A33" s="95"/>
      <c r="B33" s="113" t="s">
        <v>533</v>
      </c>
      <c r="C33" s="139" t="s">
        <v>1443</v>
      </c>
      <c r="D33" s="140" t="s">
        <v>228</v>
      </c>
      <c r="E33" s="114" t="s">
        <v>568</v>
      </c>
      <c r="F33" s="141" t="s">
        <v>537</v>
      </c>
      <c r="G33" s="114" t="s">
        <v>562</v>
      </c>
      <c r="H33" s="335" t="s">
        <v>552</v>
      </c>
      <c r="I33" s="114"/>
      <c r="J33" s="129">
        <v>300</v>
      </c>
      <c r="K33" s="118">
        <f>+SUMIF('Nhập kho  입'!A:A,C33,'Nhập kho  입'!E:E)</f>
        <v>5200</v>
      </c>
      <c r="L33" s="119">
        <f>+SUMIF(' Xuất kho 출'!A:A,C33,' Xuất kho 출'!E:E)</f>
        <v>3800</v>
      </c>
      <c r="M33" s="120"/>
      <c r="N33" s="130"/>
      <c r="O33" s="122">
        <v>0</v>
      </c>
      <c r="P33" s="122"/>
      <c r="Q33" s="131">
        <f t="shared" si="1"/>
        <v>1700</v>
      </c>
      <c r="R33" s="124">
        <f>6*50</f>
        <v>300</v>
      </c>
      <c r="S33" s="134"/>
      <c r="T33" s="125">
        <f t="shared" si="0"/>
        <v>-1400</v>
      </c>
      <c r="U33" s="126"/>
      <c r="V33" s="132"/>
      <c r="W33" s="127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</row>
    <row r="34" spans="1:38" s="90" customFormat="1" ht="25.5" customHeight="1">
      <c r="A34" s="95"/>
      <c r="B34" s="113" t="s">
        <v>533</v>
      </c>
      <c r="C34" s="139" t="s">
        <v>229</v>
      </c>
      <c r="D34" s="140" t="s">
        <v>228</v>
      </c>
      <c r="E34" s="114" t="s">
        <v>551</v>
      </c>
      <c r="F34" s="141" t="s">
        <v>537</v>
      </c>
      <c r="G34" s="139" t="s">
        <v>562</v>
      </c>
      <c r="H34" s="335" t="s">
        <v>552</v>
      </c>
      <c r="I34" s="114"/>
      <c r="J34" s="129">
        <v>50</v>
      </c>
      <c r="K34" s="118">
        <f>+SUMIF('Nhập kho  입'!A:A,C34,'Nhập kho  입'!E:E)</f>
        <v>3350</v>
      </c>
      <c r="L34" s="119">
        <f>+SUMIF(' Xuất kho 출'!A:A,C34,' Xuất kho 출'!E:E)</f>
        <v>1000</v>
      </c>
      <c r="M34" s="120"/>
      <c r="N34" s="130"/>
      <c r="O34" s="122">
        <v>0</v>
      </c>
      <c r="P34" s="122"/>
      <c r="Q34" s="131">
        <f t="shared" si="1"/>
        <v>2400</v>
      </c>
      <c r="R34" s="124">
        <v>50</v>
      </c>
      <c r="S34" s="134"/>
      <c r="T34" s="125">
        <f t="shared" si="0"/>
        <v>-2350</v>
      </c>
      <c r="U34" s="126"/>
      <c r="V34" s="132"/>
      <c r="W34" s="127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</row>
    <row r="35" spans="1:38" s="90" customFormat="1" ht="25.5" customHeight="1">
      <c r="A35" s="95"/>
      <c r="B35" s="113" t="s">
        <v>533</v>
      </c>
      <c r="C35" s="139" t="s">
        <v>1398</v>
      </c>
      <c r="D35" s="140" t="s">
        <v>1397</v>
      </c>
      <c r="E35" s="114" t="s">
        <v>561</v>
      </c>
      <c r="F35" s="141"/>
      <c r="G35" s="114" t="s">
        <v>534</v>
      </c>
      <c r="H35" s="335"/>
      <c r="I35" s="139"/>
      <c r="J35" s="129">
        <v>0</v>
      </c>
      <c r="K35" s="118">
        <f>+SUMIF('Nhập kho  입'!A:A,C35,'Nhập kho  입'!E:E)</f>
        <v>1700</v>
      </c>
      <c r="L35" s="119">
        <f>+SUMIF(' Xuất kho 출'!A:A,C35,' Xuất kho 출'!E:E)</f>
        <v>400</v>
      </c>
      <c r="M35" s="120"/>
      <c r="N35" s="130"/>
      <c r="O35" s="122">
        <v>0</v>
      </c>
      <c r="P35" s="122"/>
      <c r="Q35" s="131">
        <f t="shared" si="1"/>
        <v>1300</v>
      </c>
      <c r="R35" s="124">
        <v>50</v>
      </c>
      <c r="S35" s="124"/>
      <c r="T35" s="125">
        <f t="shared" si="0"/>
        <v>-1250</v>
      </c>
      <c r="U35" s="126"/>
      <c r="V35" s="132"/>
      <c r="W35" s="127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</row>
    <row r="36" spans="1:38" s="90" customFormat="1" ht="25.5" customHeight="1">
      <c r="A36" s="95"/>
      <c r="B36" s="113" t="s">
        <v>533</v>
      </c>
      <c r="C36" s="139" t="s">
        <v>406</v>
      </c>
      <c r="D36" s="140" t="s">
        <v>394</v>
      </c>
      <c r="E36" s="114" t="s">
        <v>569</v>
      </c>
      <c r="F36" s="141"/>
      <c r="G36" s="139" t="s">
        <v>562</v>
      </c>
      <c r="H36" s="335" t="s">
        <v>552</v>
      </c>
      <c r="I36" s="139"/>
      <c r="J36" s="129">
        <v>1050</v>
      </c>
      <c r="K36" s="118">
        <f>+SUMIF('Nhập kho  입'!A:A,C36,'Nhập kho  입'!E:E)</f>
        <v>0</v>
      </c>
      <c r="L36" s="119">
        <f>+SUMIF(' Xuất kho 출'!A:A,C36,' Xuất kho 출'!E:E)</f>
        <v>0</v>
      </c>
      <c r="M36" s="120"/>
      <c r="N36" s="130"/>
      <c r="O36" s="122">
        <v>0</v>
      </c>
      <c r="P36" s="122"/>
      <c r="Q36" s="131">
        <f t="shared" si="1"/>
        <v>1050</v>
      </c>
      <c r="R36" s="124">
        <f>21*50</f>
        <v>1050</v>
      </c>
      <c r="S36" s="134"/>
      <c r="T36" s="125">
        <f t="shared" si="0"/>
        <v>0</v>
      </c>
      <c r="U36" s="126"/>
      <c r="V36" s="132"/>
      <c r="W36" s="127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</row>
    <row r="37" spans="1:38" s="90" customFormat="1" ht="25.5" customHeight="1">
      <c r="A37" s="95"/>
      <c r="B37" s="113" t="s">
        <v>533</v>
      </c>
      <c r="C37" s="139" t="s">
        <v>1562</v>
      </c>
      <c r="D37" s="140" t="s">
        <v>394</v>
      </c>
      <c r="E37" s="114" t="s">
        <v>568</v>
      </c>
      <c r="F37" s="141"/>
      <c r="G37" s="139" t="s">
        <v>562</v>
      </c>
      <c r="H37" s="335" t="s">
        <v>552</v>
      </c>
      <c r="I37" s="139"/>
      <c r="J37" s="129">
        <v>0</v>
      </c>
      <c r="K37" s="118">
        <f>+SUMIF('Nhập kho  입'!A:A,C37,'Nhập kho  입'!E:E)</f>
        <v>1000</v>
      </c>
      <c r="L37" s="119">
        <f>+SUMIF(' Xuất kho 출'!A:A,C37,' Xuất kho 출'!E:E)</f>
        <v>0</v>
      </c>
      <c r="M37" s="120"/>
      <c r="N37" s="130"/>
      <c r="O37" s="122"/>
      <c r="P37" s="122"/>
      <c r="Q37" s="131">
        <f>+J37+K37-L37-N37</f>
        <v>1000</v>
      </c>
      <c r="R37" s="124"/>
      <c r="S37" s="134"/>
      <c r="T37" s="125"/>
      <c r="U37" s="126"/>
      <c r="V37" s="132"/>
      <c r="W37" s="127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</row>
    <row r="38" spans="1:38" s="90" customFormat="1" ht="25.5" customHeight="1" collapsed="1">
      <c r="A38" s="95"/>
      <c r="B38" s="113" t="s">
        <v>533</v>
      </c>
      <c r="C38" s="139" t="s">
        <v>405</v>
      </c>
      <c r="D38" s="140" t="s">
        <v>394</v>
      </c>
      <c r="E38" s="114" t="s">
        <v>570</v>
      </c>
      <c r="F38" s="141"/>
      <c r="G38" s="139" t="s">
        <v>562</v>
      </c>
      <c r="H38" s="335" t="s">
        <v>552</v>
      </c>
      <c r="I38" s="139"/>
      <c r="J38" s="129">
        <v>500</v>
      </c>
      <c r="K38" s="118">
        <f>+SUMIF('Nhập kho  입'!A:A,C38,'Nhập kho  입'!E:E)</f>
        <v>0</v>
      </c>
      <c r="L38" s="119">
        <f>+SUMIF(' Xuất kho 출'!A:A,C38,' Xuất kho 출'!E:E)</f>
        <v>0</v>
      </c>
      <c r="M38" s="120"/>
      <c r="N38" s="130"/>
      <c r="O38" s="122">
        <v>0</v>
      </c>
      <c r="P38" s="122"/>
      <c r="Q38" s="131">
        <f t="shared" si="1"/>
        <v>500</v>
      </c>
      <c r="R38" s="124">
        <v>500</v>
      </c>
      <c r="S38" s="124"/>
      <c r="T38" s="125">
        <f t="shared" si="0"/>
        <v>0</v>
      </c>
      <c r="U38" s="126"/>
      <c r="V38" s="132"/>
      <c r="W38" s="127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</row>
    <row r="39" spans="1:38" s="90" customFormat="1" ht="25.5" customHeight="1">
      <c r="A39" s="95"/>
      <c r="B39" s="113" t="s">
        <v>533</v>
      </c>
      <c r="C39" s="139" t="s">
        <v>1070</v>
      </c>
      <c r="D39" s="140" t="s">
        <v>392</v>
      </c>
      <c r="E39" s="114" t="s">
        <v>566</v>
      </c>
      <c r="F39" s="139"/>
      <c r="G39" s="139" t="s">
        <v>534</v>
      </c>
      <c r="H39" s="335" t="s">
        <v>552</v>
      </c>
      <c r="I39" s="139"/>
      <c r="J39" s="129">
        <v>1750</v>
      </c>
      <c r="K39" s="118">
        <f>+SUMIF('Nhập kho  입'!A:A,C39,'Nhập kho  입'!E:E)</f>
        <v>0</v>
      </c>
      <c r="L39" s="119">
        <f>+SUMIF(' Xuất kho 출'!A:A,C39,' Xuất kho 출'!E:E)</f>
        <v>500</v>
      </c>
      <c r="M39" s="120"/>
      <c r="N39" s="130"/>
      <c r="O39" s="122">
        <v>0</v>
      </c>
      <c r="P39" s="118"/>
      <c r="Q39" s="131">
        <f t="shared" si="1"/>
        <v>1250</v>
      </c>
      <c r="R39" s="124">
        <f>200+35*50</f>
        <v>1950</v>
      </c>
      <c r="S39" s="124"/>
      <c r="T39" s="125">
        <f t="shared" si="0"/>
        <v>700</v>
      </c>
      <c r="U39" s="126"/>
      <c r="V39" s="132"/>
      <c r="W39" s="127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</row>
    <row r="40" spans="1:38" s="90" customFormat="1" ht="25.5" customHeight="1">
      <c r="A40" s="95"/>
      <c r="B40" s="113" t="s">
        <v>533</v>
      </c>
      <c r="C40" s="139" t="s">
        <v>316</v>
      </c>
      <c r="D40" s="140" t="s">
        <v>317</v>
      </c>
      <c r="E40" s="114" t="s">
        <v>564</v>
      </c>
      <c r="F40" s="139" t="s">
        <v>537</v>
      </c>
      <c r="G40" s="139" t="s">
        <v>562</v>
      </c>
      <c r="H40" s="335" t="s">
        <v>552</v>
      </c>
      <c r="I40" s="139"/>
      <c r="J40" s="129">
        <v>1650</v>
      </c>
      <c r="K40" s="118">
        <f>+SUMIF('Nhập kho  입'!A:A,C40,'Nhập kho  입'!E:E)</f>
        <v>0</v>
      </c>
      <c r="L40" s="119">
        <f>+SUMIF(' Xuất kho 출'!A:A,C40,' Xuất kho 출'!E:E)</f>
        <v>0</v>
      </c>
      <c r="M40" s="120"/>
      <c r="N40" s="130"/>
      <c r="O40" s="122">
        <v>0</v>
      </c>
      <c r="P40" s="118"/>
      <c r="Q40" s="131">
        <f t="shared" si="1"/>
        <v>1650</v>
      </c>
      <c r="R40" s="124">
        <f>33*50</f>
        <v>1650</v>
      </c>
      <c r="S40" s="124"/>
      <c r="T40" s="125">
        <f t="shared" si="0"/>
        <v>0</v>
      </c>
      <c r="U40" s="126"/>
      <c r="V40" s="132"/>
      <c r="W40" s="127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</row>
    <row r="41" spans="1:38" s="90" customFormat="1" ht="25.5" customHeight="1">
      <c r="A41" s="95"/>
      <c r="B41" s="113" t="s">
        <v>533</v>
      </c>
      <c r="C41" s="139" t="s">
        <v>924</v>
      </c>
      <c r="D41" s="140" t="s">
        <v>926</v>
      </c>
      <c r="E41" s="114" t="s">
        <v>571</v>
      </c>
      <c r="F41" s="139" t="s">
        <v>540</v>
      </c>
      <c r="G41" s="139" t="s">
        <v>534</v>
      </c>
      <c r="H41" s="335" t="s">
        <v>552</v>
      </c>
      <c r="I41" s="139"/>
      <c r="J41" s="129">
        <v>4550</v>
      </c>
      <c r="K41" s="118">
        <f>+SUMIF('Nhập kho  입'!A:A,C41,'Nhập kho  입'!E:E)</f>
        <v>0</v>
      </c>
      <c r="L41" s="119">
        <f>+SUMIF(' Xuất kho 출'!A:A,C41,' Xuất kho 출'!E:E)</f>
        <v>0</v>
      </c>
      <c r="M41" s="120"/>
      <c r="N41" s="130"/>
      <c r="O41" s="122"/>
      <c r="P41" s="118"/>
      <c r="Q41" s="131">
        <f t="shared" si="1"/>
        <v>4550</v>
      </c>
      <c r="R41" s="124">
        <f>37*50+55*50</f>
        <v>4600</v>
      </c>
      <c r="S41" s="124"/>
      <c r="T41" s="125">
        <f t="shared" si="0"/>
        <v>50</v>
      </c>
      <c r="U41" s="126"/>
      <c r="V41" s="132"/>
      <c r="W41" s="127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</row>
    <row r="42" spans="1:38" s="90" customFormat="1" ht="25.5" customHeight="1">
      <c r="A42" s="95"/>
      <c r="B42" s="113" t="s">
        <v>533</v>
      </c>
      <c r="C42" s="139" t="s">
        <v>319</v>
      </c>
      <c r="D42" s="140" t="s">
        <v>317</v>
      </c>
      <c r="E42" s="114" t="s">
        <v>561</v>
      </c>
      <c r="F42" s="139"/>
      <c r="G42" s="139" t="s">
        <v>534</v>
      </c>
      <c r="H42" s="335" t="s">
        <v>552</v>
      </c>
      <c r="I42" s="139"/>
      <c r="J42" s="129">
        <v>1300</v>
      </c>
      <c r="K42" s="118">
        <f>+SUMIF('Nhập kho  입'!A:A,C42,'Nhập kho  입'!E:E)</f>
        <v>0</v>
      </c>
      <c r="L42" s="119">
        <f>+SUMIF(' Xuất kho 출'!A:A,C42,' Xuất kho 출'!E:E)</f>
        <v>0</v>
      </c>
      <c r="M42" s="120"/>
      <c r="N42" s="130"/>
      <c r="O42" s="122">
        <v>0</v>
      </c>
      <c r="P42" s="118"/>
      <c r="Q42" s="131">
        <f t="shared" si="1"/>
        <v>1300</v>
      </c>
      <c r="R42" s="124">
        <f>26*50</f>
        <v>1300</v>
      </c>
      <c r="S42" s="124"/>
      <c r="T42" s="125">
        <f t="shared" si="0"/>
        <v>0</v>
      </c>
      <c r="U42" s="126"/>
      <c r="V42" s="132"/>
      <c r="W42" s="127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</row>
    <row r="43" spans="1:38" s="90" customFormat="1" ht="25.5" customHeight="1">
      <c r="A43" s="95" t="s">
        <v>572</v>
      </c>
      <c r="B43" s="113" t="s">
        <v>533</v>
      </c>
      <c r="C43" s="139" t="s">
        <v>792</v>
      </c>
      <c r="D43" s="140" t="s">
        <v>793</v>
      </c>
      <c r="E43" s="114" t="s">
        <v>566</v>
      </c>
      <c r="F43" s="139"/>
      <c r="G43" s="139" t="s">
        <v>534</v>
      </c>
      <c r="H43" s="335" t="s">
        <v>573</v>
      </c>
      <c r="I43" s="139"/>
      <c r="J43" s="129">
        <v>5850</v>
      </c>
      <c r="K43" s="118">
        <f>+SUMIF('Nhập kho  입'!A:A,C43,'Nhập kho  입'!E:E)</f>
        <v>0</v>
      </c>
      <c r="L43" s="119">
        <f>+SUMIF(' Xuất kho 출'!A:A,C43,' Xuất kho 출'!E:E)</f>
        <v>2100</v>
      </c>
      <c r="M43" s="120"/>
      <c r="N43" s="130"/>
      <c r="O43" s="122">
        <v>0</v>
      </c>
      <c r="P43" s="118"/>
      <c r="Q43" s="131">
        <f t="shared" si="1"/>
        <v>3750</v>
      </c>
      <c r="R43" s="124">
        <f>3600+45*50</f>
        <v>5850</v>
      </c>
      <c r="S43" s="124"/>
      <c r="T43" s="125">
        <f t="shared" si="0"/>
        <v>2100</v>
      </c>
      <c r="U43" s="126"/>
      <c r="V43" s="132"/>
      <c r="W43" s="127"/>
      <c r="X43" s="128"/>
      <c r="Y43" s="128"/>
      <c r="Z43" s="128"/>
      <c r="AA43" s="128"/>
      <c r="AB43" s="128"/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</row>
    <row r="44" spans="1:38" s="90" customFormat="1" ht="25.5" hidden="1" customHeight="1">
      <c r="A44" s="95"/>
      <c r="B44" s="113" t="s">
        <v>533</v>
      </c>
      <c r="C44" s="139" t="s">
        <v>159</v>
      </c>
      <c r="D44" s="140" t="s">
        <v>160</v>
      </c>
      <c r="E44" s="114"/>
      <c r="F44" s="139" t="s">
        <v>574</v>
      </c>
      <c r="G44" s="114" t="s">
        <v>562</v>
      </c>
      <c r="H44" s="335" t="s">
        <v>552</v>
      </c>
      <c r="I44" s="139"/>
      <c r="J44" s="129">
        <v>0</v>
      </c>
      <c r="K44" s="118">
        <f>+SUMIF('Nhập kho  입'!A:A,C44,'Nhập kho  입'!E:E)</f>
        <v>0</v>
      </c>
      <c r="L44" s="119">
        <f>+SUMIF(' Xuất kho 출'!A:A,C44,' Xuất kho 출'!E:E)</f>
        <v>0</v>
      </c>
      <c r="M44" s="120"/>
      <c r="N44" s="130"/>
      <c r="O44" s="122">
        <v>0</v>
      </c>
      <c r="P44" s="118"/>
      <c r="Q44" s="131">
        <f t="shared" si="1"/>
        <v>0</v>
      </c>
      <c r="R44" s="124"/>
      <c r="S44" s="124"/>
      <c r="T44" s="125">
        <f t="shared" si="0"/>
        <v>0</v>
      </c>
      <c r="U44" s="126"/>
      <c r="V44" s="132"/>
      <c r="W44" s="127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</row>
    <row r="45" spans="1:38" s="90" customFormat="1" ht="25.5" customHeight="1">
      <c r="A45" s="95"/>
      <c r="B45" s="113" t="s">
        <v>533</v>
      </c>
      <c r="C45" s="139" t="s">
        <v>187</v>
      </c>
      <c r="D45" s="140" t="s">
        <v>160</v>
      </c>
      <c r="E45" s="114"/>
      <c r="F45" s="139" t="s">
        <v>540</v>
      </c>
      <c r="G45" s="139" t="s">
        <v>562</v>
      </c>
      <c r="H45" s="335" t="s">
        <v>552</v>
      </c>
      <c r="I45" s="139"/>
      <c r="J45" s="129">
        <v>250</v>
      </c>
      <c r="K45" s="118">
        <f>+SUMIF('Nhập kho  입'!A:A,C45,'Nhập kho  입'!E:E)</f>
        <v>0</v>
      </c>
      <c r="L45" s="119">
        <f>+SUMIF(' Xuất kho 출'!A:A,C45,' Xuất kho 출'!E:E)</f>
        <v>0</v>
      </c>
      <c r="M45" s="120"/>
      <c r="N45" s="130"/>
      <c r="O45" s="122">
        <v>0</v>
      </c>
      <c r="P45" s="118"/>
      <c r="Q45" s="131">
        <f t="shared" si="1"/>
        <v>250</v>
      </c>
      <c r="R45" s="124">
        <v>250</v>
      </c>
      <c r="S45" s="124"/>
      <c r="T45" s="125">
        <f t="shared" si="0"/>
        <v>0</v>
      </c>
      <c r="U45" s="126"/>
      <c r="V45" s="132"/>
      <c r="W45" s="127"/>
      <c r="X45" s="128"/>
      <c r="Y45" s="128"/>
      <c r="Z45" s="128"/>
      <c r="AA45" s="128"/>
      <c r="AB45" s="128"/>
      <c r="AC45" s="128"/>
      <c r="AD45" s="128"/>
      <c r="AE45" s="128"/>
      <c r="AF45" s="128"/>
      <c r="AG45" s="128"/>
      <c r="AH45" s="128"/>
      <c r="AI45" s="128"/>
      <c r="AJ45" s="128"/>
      <c r="AK45" s="128"/>
      <c r="AL45" s="128"/>
    </row>
    <row r="46" spans="1:38" s="90" customFormat="1" ht="25.5" customHeight="1">
      <c r="A46" s="95"/>
      <c r="B46" s="113" t="s">
        <v>533</v>
      </c>
      <c r="C46" s="139" t="s">
        <v>821</v>
      </c>
      <c r="D46" s="140" t="s">
        <v>822</v>
      </c>
      <c r="E46" s="114" t="s">
        <v>575</v>
      </c>
      <c r="F46" s="139" t="s">
        <v>537</v>
      </c>
      <c r="G46" s="139" t="s">
        <v>562</v>
      </c>
      <c r="H46" s="335" t="s">
        <v>552</v>
      </c>
      <c r="I46" s="139"/>
      <c r="J46" s="129">
        <v>500</v>
      </c>
      <c r="K46" s="118">
        <f>+SUMIF('Nhập kho  입'!A:A,C46,'Nhập kho  입'!E:E)</f>
        <v>0</v>
      </c>
      <c r="L46" s="119">
        <f>+SUMIF(' Xuất kho 출'!A:A,C46,' Xuất kho 출'!E:E)</f>
        <v>0</v>
      </c>
      <c r="M46" s="120"/>
      <c r="N46" s="130"/>
      <c r="O46" s="122">
        <v>0</v>
      </c>
      <c r="P46" s="118"/>
      <c r="Q46" s="131">
        <f t="shared" si="1"/>
        <v>500</v>
      </c>
      <c r="R46" s="124">
        <f>300+200</f>
        <v>500</v>
      </c>
      <c r="S46" s="134"/>
      <c r="T46" s="125">
        <f t="shared" si="0"/>
        <v>0</v>
      </c>
      <c r="U46" s="126"/>
      <c r="V46" s="132"/>
      <c r="W46" s="127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</row>
    <row r="47" spans="1:38" s="90" customFormat="1" ht="25.5" customHeight="1">
      <c r="A47" s="95" t="s">
        <v>491</v>
      </c>
      <c r="B47" s="113" t="s">
        <v>533</v>
      </c>
      <c r="C47" s="139" t="s">
        <v>445</v>
      </c>
      <c r="D47" s="140" t="s">
        <v>446</v>
      </c>
      <c r="E47" s="114" t="s">
        <v>576</v>
      </c>
      <c r="F47" s="139"/>
      <c r="G47" s="139" t="s">
        <v>534</v>
      </c>
      <c r="H47" s="335" t="s">
        <v>546</v>
      </c>
      <c r="I47" s="139"/>
      <c r="J47" s="129">
        <v>400</v>
      </c>
      <c r="K47" s="118">
        <f>+SUMIF('Nhập kho  입'!A:A,C47,'Nhập kho  입'!E:E)</f>
        <v>0</v>
      </c>
      <c r="L47" s="119">
        <f>+SUMIF(' Xuất kho 출'!A:A,C47,' Xuất kho 출'!E:E)</f>
        <v>0</v>
      </c>
      <c r="M47" s="120"/>
      <c r="N47" s="130"/>
      <c r="O47" s="122">
        <v>0</v>
      </c>
      <c r="P47" s="118"/>
      <c r="Q47" s="131">
        <f t="shared" si="1"/>
        <v>400</v>
      </c>
      <c r="R47" s="124">
        <f>8*50</f>
        <v>400</v>
      </c>
      <c r="S47" s="124"/>
      <c r="T47" s="125">
        <f t="shared" si="0"/>
        <v>0</v>
      </c>
      <c r="U47" s="126"/>
      <c r="V47" s="132"/>
      <c r="W47" s="127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  <c r="AL47" s="128"/>
    </row>
    <row r="48" spans="1:38" s="90" customFormat="1" ht="25.5" customHeight="1">
      <c r="A48" s="95"/>
      <c r="B48" s="135" t="s">
        <v>533</v>
      </c>
      <c r="C48" s="142" t="s">
        <v>378</v>
      </c>
      <c r="D48" s="143" t="s">
        <v>377</v>
      </c>
      <c r="E48" s="114" t="s">
        <v>577</v>
      </c>
      <c r="F48" s="139"/>
      <c r="G48" s="139" t="s">
        <v>534</v>
      </c>
      <c r="H48" s="335" t="s">
        <v>538</v>
      </c>
      <c r="I48" s="139"/>
      <c r="J48" s="129">
        <v>500</v>
      </c>
      <c r="K48" s="118">
        <f>+SUMIF('Nhập kho  입'!A:A,C48,'Nhập kho  입'!E:E)</f>
        <v>0</v>
      </c>
      <c r="L48" s="119">
        <f>+SUMIF(' Xuất kho 출'!A:A,C48,' Xuất kho 출'!E:E)</f>
        <v>0</v>
      </c>
      <c r="M48" s="120"/>
      <c r="N48" s="130"/>
      <c r="O48" s="122">
        <v>0</v>
      </c>
      <c r="P48" s="118"/>
      <c r="Q48" s="131">
        <f t="shared" si="1"/>
        <v>500</v>
      </c>
      <c r="R48" s="124">
        <v>500</v>
      </c>
      <c r="S48" s="134"/>
      <c r="T48" s="125">
        <f t="shared" si="0"/>
        <v>0</v>
      </c>
      <c r="U48" s="126"/>
      <c r="V48" s="132"/>
      <c r="W48" s="127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</row>
    <row r="49" spans="1:38" s="90" customFormat="1" ht="25.5" customHeight="1">
      <c r="A49" s="95"/>
      <c r="B49" s="113" t="s">
        <v>533</v>
      </c>
      <c r="C49" s="139" t="s">
        <v>376</v>
      </c>
      <c r="D49" s="140" t="s">
        <v>377</v>
      </c>
      <c r="E49" s="114" t="s">
        <v>576</v>
      </c>
      <c r="F49" s="139"/>
      <c r="G49" s="139" t="s">
        <v>534</v>
      </c>
      <c r="H49" s="335" t="s">
        <v>538</v>
      </c>
      <c r="I49" s="139"/>
      <c r="J49" s="129">
        <v>500</v>
      </c>
      <c r="K49" s="118">
        <f>+SUMIF('Nhập kho  입'!A:A,C49,'Nhập kho  입'!E:E)</f>
        <v>0</v>
      </c>
      <c r="L49" s="119">
        <f>+SUMIF(' Xuất kho 출'!A:A,C49,' Xuất kho 출'!E:E)</f>
        <v>0</v>
      </c>
      <c r="M49" s="120"/>
      <c r="N49" s="130"/>
      <c r="O49" s="122">
        <v>0</v>
      </c>
      <c r="P49" s="118"/>
      <c r="Q49" s="131">
        <f t="shared" si="1"/>
        <v>500</v>
      </c>
      <c r="R49" s="124">
        <v>500</v>
      </c>
      <c r="S49" s="134"/>
      <c r="T49" s="125">
        <f t="shared" si="0"/>
        <v>0</v>
      </c>
      <c r="U49" s="126"/>
      <c r="V49" s="132"/>
      <c r="W49" s="127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</row>
    <row r="50" spans="1:38" s="90" customFormat="1" ht="25.5" customHeight="1">
      <c r="A50" s="95"/>
      <c r="B50" s="113" t="s">
        <v>533</v>
      </c>
      <c r="C50" s="139" t="s">
        <v>342</v>
      </c>
      <c r="D50" s="140" t="s">
        <v>343</v>
      </c>
      <c r="E50" s="114"/>
      <c r="F50" s="139" t="s">
        <v>578</v>
      </c>
      <c r="G50" s="139" t="s">
        <v>534</v>
      </c>
      <c r="H50" s="335" t="s">
        <v>552</v>
      </c>
      <c r="I50" s="139"/>
      <c r="J50" s="129">
        <v>650</v>
      </c>
      <c r="K50" s="118">
        <f>+SUMIF('Nhập kho  입'!A:A,C50,'Nhập kho  입'!E:E)</f>
        <v>0</v>
      </c>
      <c r="L50" s="119">
        <f>+SUMIF(' Xuất kho 출'!A:A,C50,' Xuất kho 출'!E:E)</f>
        <v>0</v>
      </c>
      <c r="M50" s="120"/>
      <c r="N50" s="130"/>
      <c r="O50" s="122">
        <v>0</v>
      </c>
      <c r="P50" s="118"/>
      <c r="Q50" s="131">
        <f t="shared" si="1"/>
        <v>650</v>
      </c>
      <c r="R50" s="124">
        <f>13*50</f>
        <v>650</v>
      </c>
      <c r="S50" s="124"/>
      <c r="T50" s="125">
        <f t="shared" si="0"/>
        <v>0</v>
      </c>
      <c r="U50" s="126"/>
      <c r="V50" s="132"/>
      <c r="W50" s="127"/>
      <c r="X50" s="128"/>
      <c r="Y50" s="128"/>
      <c r="Z50" s="128"/>
      <c r="AA50" s="128"/>
      <c r="AB50" s="128"/>
      <c r="AC50" s="128"/>
      <c r="AD50" s="128"/>
      <c r="AE50" s="128"/>
      <c r="AF50" s="128"/>
      <c r="AG50" s="128"/>
      <c r="AH50" s="128"/>
      <c r="AI50" s="128"/>
      <c r="AJ50" s="128"/>
      <c r="AK50" s="128"/>
      <c r="AL50" s="128"/>
    </row>
    <row r="51" spans="1:38" s="90" customFormat="1" ht="25.5" customHeight="1">
      <c r="A51" s="95"/>
      <c r="B51" s="113" t="s">
        <v>533</v>
      </c>
      <c r="C51" s="139" t="s">
        <v>952</v>
      </c>
      <c r="D51" s="140" t="s">
        <v>353</v>
      </c>
      <c r="E51" s="114" t="s">
        <v>566</v>
      </c>
      <c r="F51" s="141"/>
      <c r="G51" s="139" t="s">
        <v>534</v>
      </c>
      <c r="H51" s="335" t="s">
        <v>552</v>
      </c>
      <c r="I51" s="139"/>
      <c r="J51" s="129">
        <v>4900</v>
      </c>
      <c r="K51" s="118">
        <f>+SUMIF('Nhập kho  입'!A:A,C51,'Nhập kho  입'!E:E)</f>
        <v>0</v>
      </c>
      <c r="L51" s="119">
        <f>+SUMIF(' Xuất kho 출'!A:A,C51,' Xuất kho 출'!E:E)</f>
        <v>900</v>
      </c>
      <c r="M51" s="120"/>
      <c r="N51" s="130"/>
      <c r="O51" s="122">
        <v>0</v>
      </c>
      <c r="P51" s="118"/>
      <c r="Q51" s="131">
        <f t="shared" si="1"/>
        <v>4000</v>
      </c>
      <c r="R51" s="124">
        <f>32*50+44*50+350+17*50</f>
        <v>5000</v>
      </c>
      <c r="S51" s="124"/>
      <c r="T51" s="125">
        <f t="shared" si="0"/>
        <v>1000</v>
      </c>
      <c r="U51" s="126"/>
      <c r="V51" s="132"/>
      <c r="W51" s="127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I51" s="128"/>
      <c r="AJ51" s="128"/>
      <c r="AK51" s="128"/>
      <c r="AL51" s="128"/>
    </row>
    <row r="52" spans="1:38" s="90" customFormat="1" ht="25.5" hidden="1" customHeight="1">
      <c r="A52" s="95"/>
      <c r="B52" s="113" t="s">
        <v>533</v>
      </c>
      <c r="C52" s="139" t="s">
        <v>155</v>
      </c>
      <c r="D52" s="140" t="s">
        <v>156</v>
      </c>
      <c r="E52" s="114" t="s">
        <v>536</v>
      </c>
      <c r="F52" s="139" t="s">
        <v>574</v>
      </c>
      <c r="G52" s="139" t="s">
        <v>562</v>
      </c>
      <c r="H52" s="335" t="s">
        <v>552</v>
      </c>
      <c r="I52" s="139"/>
      <c r="J52" s="129">
        <v>0</v>
      </c>
      <c r="K52" s="118">
        <f>+SUMIF('Nhập kho  입'!A:A,C52,'Nhập kho  입'!E:E)</f>
        <v>0</v>
      </c>
      <c r="L52" s="119">
        <f>+SUMIF(' Xuất kho 출'!A:A,C52,' Xuất kho 출'!E:E)</f>
        <v>0</v>
      </c>
      <c r="M52" s="120"/>
      <c r="N52" s="130"/>
      <c r="O52" s="122">
        <v>0</v>
      </c>
      <c r="P52" s="118"/>
      <c r="Q52" s="131">
        <f t="shared" si="1"/>
        <v>0</v>
      </c>
      <c r="R52" s="124"/>
      <c r="S52" s="124"/>
      <c r="T52" s="125">
        <f t="shared" si="0"/>
        <v>0</v>
      </c>
      <c r="U52" s="126"/>
      <c r="V52" s="132"/>
      <c r="W52" s="127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8"/>
    </row>
    <row r="53" spans="1:38" s="90" customFormat="1" ht="25.5" hidden="1" customHeight="1">
      <c r="A53" s="95"/>
      <c r="B53" s="113" t="s">
        <v>533</v>
      </c>
      <c r="C53" s="139" t="s">
        <v>222</v>
      </c>
      <c r="D53" s="140" t="s">
        <v>223</v>
      </c>
      <c r="E53" s="114" t="s">
        <v>536</v>
      </c>
      <c r="F53" s="139" t="s">
        <v>537</v>
      </c>
      <c r="G53" s="139" t="s">
        <v>562</v>
      </c>
      <c r="H53" s="335" t="s">
        <v>552</v>
      </c>
      <c r="I53" s="139"/>
      <c r="J53" s="129">
        <v>0</v>
      </c>
      <c r="K53" s="118">
        <f>+SUMIF('Nhập kho  입'!A:A,C53,'Nhập kho  입'!E:E)</f>
        <v>0</v>
      </c>
      <c r="L53" s="119">
        <f>+SUMIF(' Xuất kho 출'!A:A,C53,' Xuất kho 출'!E:E)</f>
        <v>0</v>
      </c>
      <c r="M53" s="120"/>
      <c r="N53" s="130"/>
      <c r="O53" s="122">
        <v>0</v>
      </c>
      <c r="P53" s="118"/>
      <c r="Q53" s="131">
        <f t="shared" si="1"/>
        <v>0</v>
      </c>
      <c r="R53" s="124"/>
      <c r="S53" s="124"/>
      <c r="T53" s="125">
        <f t="shared" si="0"/>
        <v>0</v>
      </c>
      <c r="U53" s="126"/>
      <c r="V53" s="132"/>
      <c r="W53" s="127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I53" s="128"/>
      <c r="AJ53" s="128"/>
      <c r="AK53" s="128"/>
      <c r="AL53" s="128"/>
    </row>
    <row r="54" spans="1:38" s="90" customFormat="1" ht="25.5" customHeight="1">
      <c r="A54" s="95"/>
      <c r="B54" s="113" t="s">
        <v>533</v>
      </c>
      <c r="C54" s="139" t="s">
        <v>422</v>
      </c>
      <c r="D54" s="140" t="s">
        <v>223</v>
      </c>
      <c r="E54" s="114" t="s">
        <v>579</v>
      </c>
      <c r="F54" s="139" t="s">
        <v>537</v>
      </c>
      <c r="G54" s="139" t="s">
        <v>562</v>
      </c>
      <c r="H54" s="335" t="s">
        <v>552</v>
      </c>
      <c r="I54" s="139"/>
      <c r="J54" s="129">
        <v>550</v>
      </c>
      <c r="K54" s="118">
        <f>+SUMIF('Nhập kho  입'!A:A,C54,'Nhập kho  입'!E:E)</f>
        <v>0</v>
      </c>
      <c r="L54" s="119">
        <f>+SUMIF(' Xuất kho 출'!A:A,C54,' Xuất kho 출'!E:E)</f>
        <v>0</v>
      </c>
      <c r="M54" s="120"/>
      <c r="N54" s="130"/>
      <c r="O54" s="122"/>
      <c r="P54" s="118"/>
      <c r="Q54" s="131">
        <f t="shared" si="1"/>
        <v>550</v>
      </c>
      <c r="R54" s="124">
        <f>11*50</f>
        <v>550</v>
      </c>
      <c r="S54" s="134"/>
      <c r="T54" s="125">
        <f t="shared" si="0"/>
        <v>0</v>
      </c>
      <c r="U54" s="126"/>
      <c r="V54" s="132"/>
      <c r="W54" s="127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8"/>
    </row>
    <row r="55" spans="1:38" s="90" customFormat="1" ht="25.5" customHeight="1">
      <c r="A55" s="95"/>
      <c r="B55" s="113" t="s">
        <v>533</v>
      </c>
      <c r="C55" s="139" t="s">
        <v>137</v>
      </c>
      <c r="D55" s="140" t="s">
        <v>138</v>
      </c>
      <c r="E55" s="114"/>
      <c r="F55" s="139">
        <v>125140</v>
      </c>
      <c r="G55" s="139" t="s">
        <v>534</v>
      </c>
      <c r="H55" s="335" t="s">
        <v>552</v>
      </c>
      <c r="I55" s="139"/>
      <c r="J55" s="129">
        <v>450</v>
      </c>
      <c r="K55" s="118">
        <f>+SUMIF('Nhập kho  입'!A:A,C55,'Nhập kho  입'!E:E)</f>
        <v>0</v>
      </c>
      <c r="L55" s="119">
        <f>+SUMIF(' Xuất kho 출'!A:A,C55,' Xuất kho 출'!E:E)</f>
        <v>0</v>
      </c>
      <c r="M55" s="120"/>
      <c r="N55" s="130"/>
      <c r="O55" s="122">
        <v>0</v>
      </c>
      <c r="P55" s="118"/>
      <c r="Q55" s="131">
        <f t="shared" si="1"/>
        <v>450</v>
      </c>
      <c r="R55" s="124">
        <f>9*50</f>
        <v>450</v>
      </c>
      <c r="S55" s="134"/>
      <c r="T55" s="125">
        <f t="shared" si="0"/>
        <v>0</v>
      </c>
      <c r="U55" s="126"/>
      <c r="V55" s="132"/>
      <c r="W55" s="127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8"/>
    </row>
    <row r="56" spans="1:38" s="90" customFormat="1" ht="25.5" customHeight="1">
      <c r="A56" s="95"/>
      <c r="B56" s="113" t="s">
        <v>533</v>
      </c>
      <c r="C56" s="139" t="s">
        <v>133</v>
      </c>
      <c r="D56" s="140" t="s">
        <v>134</v>
      </c>
      <c r="E56" s="114" t="s">
        <v>576</v>
      </c>
      <c r="F56" s="139">
        <v>125140</v>
      </c>
      <c r="G56" s="139" t="s">
        <v>534</v>
      </c>
      <c r="H56" s="335" t="s">
        <v>546</v>
      </c>
      <c r="I56" s="139"/>
      <c r="J56" s="129">
        <v>450</v>
      </c>
      <c r="K56" s="118">
        <f>+SUMIF('Nhập kho  입'!A:A,C56,'Nhập kho  입'!E:E)</f>
        <v>0</v>
      </c>
      <c r="L56" s="119">
        <f>+SUMIF(' Xuất kho 출'!A:A,C56,' Xuất kho 출'!E:E)</f>
        <v>0</v>
      </c>
      <c r="M56" s="120"/>
      <c r="N56" s="130"/>
      <c r="O56" s="122">
        <v>0</v>
      </c>
      <c r="P56" s="118"/>
      <c r="Q56" s="131">
        <f t="shared" si="1"/>
        <v>450</v>
      </c>
      <c r="R56" s="124">
        <f>9*50+50</f>
        <v>500</v>
      </c>
      <c r="S56" s="124"/>
      <c r="T56" s="125">
        <f t="shared" si="0"/>
        <v>50</v>
      </c>
      <c r="U56" s="126"/>
      <c r="V56" s="132"/>
      <c r="W56" s="127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8"/>
    </row>
    <row r="57" spans="1:38" s="90" customFormat="1" ht="25.5" customHeight="1">
      <c r="A57" s="95"/>
      <c r="B57" s="113" t="s">
        <v>533</v>
      </c>
      <c r="C57" s="139" t="s">
        <v>327</v>
      </c>
      <c r="D57" s="140" t="s">
        <v>328</v>
      </c>
      <c r="E57" s="114" t="s">
        <v>580</v>
      </c>
      <c r="F57" s="139" t="s">
        <v>540</v>
      </c>
      <c r="G57" s="139" t="s">
        <v>534</v>
      </c>
      <c r="H57" s="335" t="s">
        <v>546</v>
      </c>
      <c r="I57" s="139"/>
      <c r="J57" s="129">
        <v>2550</v>
      </c>
      <c r="K57" s="118">
        <f>+SUMIF('Nhập kho  입'!A:A,C57,'Nhập kho  입'!E:E)</f>
        <v>0</v>
      </c>
      <c r="L57" s="119">
        <f>+SUMIF(' Xuất kho 출'!A:A,C57,' Xuất kho 출'!E:E)</f>
        <v>0</v>
      </c>
      <c r="M57" s="120"/>
      <c r="N57" s="130"/>
      <c r="O57" s="122">
        <v>0</v>
      </c>
      <c r="P57" s="118"/>
      <c r="Q57" s="131">
        <f t="shared" si="1"/>
        <v>2550</v>
      </c>
      <c r="R57" s="124">
        <f>9*50+42*50</f>
        <v>2550</v>
      </c>
      <c r="S57" s="134"/>
      <c r="T57" s="125">
        <f t="shared" si="0"/>
        <v>0</v>
      </c>
      <c r="U57" s="126"/>
      <c r="V57" s="132"/>
      <c r="W57" s="127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  <c r="AL57" s="128"/>
    </row>
    <row r="58" spans="1:38" s="90" customFormat="1" ht="25.5" customHeight="1">
      <c r="A58" s="95"/>
      <c r="B58" s="113" t="s">
        <v>533</v>
      </c>
      <c r="C58" s="139" t="s">
        <v>1010</v>
      </c>
      <c r="D58" s="140" t="s">
        <v>772</v>
      </c>
      <c r="E58" s="114" t="s">
        <v>581</v>
      </c>
      <c r="F58" s="139" t="s">
        <v>537</v>
      </c>
      <c r="G58" s="139" t="s">
        <v>534</v>
      </c>
      <c r="H58" s="335" t="s">
        <v>546</v>
      </c>
      <c r="I58" s="139"/>
      <c r="J58" s="129">
        <v>350</v>
      </c>
      <c r="K58" s="118">
        <f>+SUMIF('Nhập kho  입'!A:A,C58,'Nhập kho  입'!E:E)</f>
        <v>2050</v>
      </c>
      <c r="L58" s="119">
        <f>+SUMIF(' Xuất kho 출'!A:A,C58,' Xuất kho 출'!E:E)</f>
        <v>0</v>
      </c>
      <c r="M58" s="120"/>
      <c r="N58" s="130"/>
      <c r="O58" s="122">
        <v>0</v>
      </c>
      <c r="P58" s="118"/>
      <c r="Q58" s="131">
        <f t="shared" si="1"/>
        <v>2400</v>
      </c>
      <c r="R58" s="124">
        <f>7*50</f>
        <v>350</v>
      </c>
      <c r="S58" s="134"/>
      <c r="T58" s="125">
        <f t="shared" si="0"/>
        <v>-2050</v>
      </c>
      <c r="U58" s="126"/>
      <c r="V58" s="132"/>
      <c r="W58" s="127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  <c r="AK58" s="128"/>
      <c r="AL58" s="128"/>
    </row>
    <row r="59" spans="1:38" s="90" customFormat="1" ht="25.5" customHeight="1">
      <c r="A59" s="95" t="s">
        <v>492</v>
      </c>
      <c r="B59" s="113" t="s">
        <v>533</v>
      </c>
      <c r="C59" s="139" t="s">
        <v>112</v>
      </c>
      <c r="D59" s="140" t="s">
        <v>113</v>
      </c>
      <c r="E59" s="114" t="s">
        <v>582</v>
      </c>
      <c r="F59" s="139" t="s">
        <v>540</v>
      </c>
      <c r="G59" s="139" t="s">
        <v>549</v>
      </c>
      <c r="H59" s="335" t="s">
        <v>552</v>
      </c>
      <c r="I59" s="139"/>
      <c r="J59" s="129">
        <v>200</v>
      </c>
      <c r="K59" s="118">
        <f>+SUMIF('Nhập kho  입'!A:A,C59,'Nhập kho  입'!E:E)</f>
        <v>0</v>
      </c>
      <c r="L59" s="119">
        <f>+SUMIF(' Xuất kho 출'!A:A,C59,' Xuất kho 출'!E:E)</f>
        <v>0</v>
      </c>
      <c r="M59" s="120"/>
      <c r="N59" s="130"/>
      <c r="O59" s="122">
        <v>0</v>
      </c>
      <c r="P59" s="118"/>
      <c r="Q59" s="131">
        <f t="shared" si="1"/>
        <v>200</v>
      </c>
      <c r="R59" s="124">
        <v>200</v>
      </c>
      <c r="S59" s="124"/>
      <c r="T59" s="125">
        <f t="shared" si="0"/>
        <v>0</v>
      </c>
      <c r="U59" s="126"/>
      <c r="V59" s="132"/>
      <c r="W59" s="127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  <c r="AK59" s="128"/>
      <c r="AL59" s="128"/>
    </row>
    <row r="60" spans="1:38" s="90" customFormat="1" ht="25.5" hidden="1" customHeight="1">
      <c r="A60" s="95"/>
      <c r="B60" s="113" t="s">
        <v>533</v>
      </c>
      <c r="C60" s="139" t="s">
        <v>167</v>
      </c>
      <c r="D60" s="140" t="s">
        <v>168</v>
      </c>
      <c r="E60" s="114"/>
      <c r="F60" s="139">
        <v>125140</v>
      </c>
      <c r="G60" s="139" t="s">
        <v>534</v>
      </c>
      <c r="H60" s="335" t="s">
        <v>552</v>
      </c>
      <c r="I60" s="139"/>
      <c r="J60" s="129">
        <v>0</v>
      </c>
      <c r="K60" s="118">
        <f>+SUMIF('Nhập kho  입'!A:A,C60,'Nhập kho  입'!E:E)</f>
        <v>0</v>
      </c>
      <c r="L60" s="119">
        <f>+SUMIF(' Xuất kho 출'!A:A,C60,' Xuất kho 출'!E:E)</f>
        <v>0</v>
      </c>
      <c r="M60" s="120"/>
      <c r="N60" s="130"/>
      <c r="O60" s="122">
        <v>0</v>
      </c>
      <c r="P60" s="118"/>
      <c r="Q60" s="131">
        <f t="shared" si="1"/>
        <v>0</v>
      </c>
      <c r="R60" s="124"/>
      <c r="S60" s="124"/>
      <c r="T60" s="125">
        <f t="shared" si="0"/>
        <v>0</v>
      </c>
      <c r="U60" s="126"/>
      <c r="V60" s="132"/>
      <c r="W60" s="127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</row>
    <row r="61" spans="1:38" s="90" customFormat="1" ht="25.5" customHeight="1">
      <c r="A61" s="95"/>
      <c r="B61" s="113" t="s">
        <v>533</v>
      </c>
      <c r="C61" s="139" t="s">
        <v>60</v>
      </c>
      <c r="D61" s="140" t="s">
        <v>61</v>
      </c>
      <c r="E61" s="114"/>
      <c r="F61" s="139">
        <v>125140</v>
      </c>
      <c r="G61" s="139" t="s">
        <v>534</v>
      </c>
      <c r="H61" s="335" t="s">
        <v>552</v>
      </c>
      <c r="I61" s="139"/>
      <c r="J61" s="129">
        <v>800</v>
      </c>
      <c r="K61" s="118">
        <f>+SUMIF('Nhập kho  입'!A:A,C61,'Nhập kho  입'!E:E)</f>
        <v>0</v>
      </c>
      <c r="L61" s="119">
        <f>+SUMIF(' Xuất kho 출'!A:A,C61,' Xuất kho 출'!E:E)</f>
        <v>0</v>
      </c>
      <c r="M61" s="120"/>
      <c r="N61" s="130"/>
      <c r="O61" s="122">
        <v>0</v>
      </c>
      <c r="P61" s="118"/>
      <c r="Q61" s="131">
        <f t="shared" si="1"/>
        <v>800</v>
      </c>
      <c r="R61" s="124">
        <f>16*50</f>
        <v>800</v>
      </c>
      <c r="S61" s="134"/>
      <c r="T61" s="125">
        <f t="shared" si="0"/>
        <v>0</v>
      </c>
      <c r="U61" s="126"/>
      <c r="V61" s="132"/>
      <c r="W61" s="127"/>
      <c r="X61" s="128"/>
      <c r="Y61" s="128"/>
      <c r="Z61" s="128"/>
      <c r="AA61" s="128"/>
      <c r="AB61" s="128"/>
      <c r="AC61" s="128"/>
      <c r="AD61" s="128"/>
      <c r="AE61" s="128"/>
      <c r="AF61" s="128"/>
      <c r="AG61" s="128"/>
      <c r="AH61" s="128"/>
      <c r="AI61" s="128"/>
      <c r="AJ61" s="128"/>
      <c r="AK61" s="128"/>
      <c r="AL61" s="128"/>
    </row>
    <row r="62" spans="1:38" s="90" customFormat="1" ht="25.5" customHeight="1">
      <c r="A62" s="95"/>
      <c r="B62" s="113" t="s">
        <v>533</v>
      </c>
      <c r="C62" s="139" t="s">
        <v>204</v>
      </c>
      <c r="D62" s="140" t="s">
        <v>205</v>
      </c>
      <c r="E62" s="114"/>
      <c r="F62" s="139">
        <v>125140</v>
      </c>
      <c r="G62" s="139" t="s">
        <v>562</v>
      </c>
      <c r="H62" s="335" t="s">
        <v>546</v>
      </c>
      <c r="I62" s="139"/>
      <c r="J62" s="129">
        <v>1000</v>
      </c>
      <c r="K62" s="118">
        <f>+SUMIF('Nhập kho  입'!A:A,C62,'Nhập kho  입'!E:E)</f>
        <v>0</v>
      </c>
      <c r="L62" s="119">
        <f>+SUMIF(' Xuất kho 출'!A:A,C62,' Xuất kho 출'!E:E)</f>
        <v>0</v>
      </c>
      <c r="M62" s="120"/>
      <c r="N62" s="130"/>
      <c r="O62" s="122">
        <v>0</v>
      </c>
      <c r="P62" s="118"/>
      <c r="Q62" s="131">
        <f t="shared" si="1"/>
        <v>1000</v>
      </c>
      <c r="R62" s="124">
        <f>500+500</f>
        <v>1000</v>
      </c>
      <c r="S62" s="134"/>
      <c r="T62" s="125">
        <f t="shared" si="0"/>
        <v>0</v>
      </c>
      <c r="U62" s="126"/>
      <c r="V62" s="132"/>
      <c r="W62" s="127"/>
      <c r="X62" s="128"/>
      <c r="Y62" s="128"/>
      <c r="Z62" s="128"/>
      <c r="AA62" s="128"/>
      <c r="AB62" s="128"/>
      <c r="AC62" s="128"/>
      <c r="AD62" s="128"/>
      <c r="AE62" s="128"/>
      <c r="AF62" s="128"/>
      <c r="AG62" s="128"/>
      <c r="AH62" s="128"/>
      <c r="AI62" s="128"/>
      <c r="AJ62" s="128"/>
      <c r="AK62" s="128"/>
      <c r="AL62" s="128"/>
    </row>
    <row r="63" spans="1:38" s="90" customFormat="1" ht="25.5" hidden="1" customHeight="1">
      <c r="A63" s="95"/>
      <c r="B63" s="113" t="s">
        <v>533</v>
      </c>
      <c r="C63" s="139" t="s">
        <v>58</v>
      </c>
      <c r="D63" s="140" t="s">
        <v>59</v>
      </c>
      <c r="E63" s="114"/>
      <c r="F63" s="141">
        <v>125140</v>
      </c>
      <c r="G63" s="139" t="s">
        <v>534</v>
      </c>
      <c r="H63" s="335" t="s">
        <v>552</v>
      </c>
      <c r="I63" s="336" t="s">
        <v>541</v>
      </c>
      <c r="J63" s="129">
        <v>0</v>
      </c>
      <c r="K63" s="118">
        <f>+SUMIF('Nhập kho  입'!A:A,C63,'Nhập kho  입'!E:E)</f>
        <v>0</v>
      </c>
      <c r="L63" s="119">
        <f>+SUMIF(' Xuất kho 출'!A:A,C63,' Xuất kho 출'!E:E)</f>
        <v>0</v>
      </c>
      <c r="M63" s="120"/>
      <c r="N63" s="130"/>
      <c r="O63" s="122">
        <v>0</v>
      </c>
      <c r="P63" s="118"/>
      <c r="Q63" s="131">
        <f t="shared" si="1"/>
        <v>0</v>
      </c>
      <c r="R63" s="124"/>
      <c r="S63" s="134"/>
      <c r="T63" s="125">
        <f t="shared" si="0"/>
        <v>0</v>
      </c>
      <c r="U63" s="126"/>
      <c r="V63" s="132"/>
      <c r="W63" s="127"/>
      <c r="X63" s="128"/>
      <c r="Y63" s="128"/>
      <c r="Z63" s="128"/>
      <c r="AA63" s="128"/>
      <c r="AB63" s="128"/>
      <c r="AC63" s="128"/>
      <c r="AD63" s="128"/>
      <c r="AE63" s="128"/>
      <c r="AF63" s="128"/>
      <c r="AG63" s="128"/>
      <c r="AH63" s="128"/>
      <c r="AI63" s="128"/>
      <c r="AJ63" s="128"/>
      <c r="AK63" s="128"/>
      <c r="AL63" s="128"/>
    </row>
    <row r="64" spans="1:38" s="90" customFormat="1" ht="25.5" hidden="1" customHeight="1">
      <c r="A64" s="95"/>
      <c r="B64" s="113" t="s">
        <v>533</v>
      </c>
      <c r="C64" s="139" t="s">
        <v>52</v>
      </c>
      <c r="D64" s="140" t="s">
        <v>53</v>
      </c>
      <c r="E64" s="114"/>
      <c r="F64" s="141">
        <v>125140</v>
      </c>
      <c r="G64" s="139" t="s">
        <v>534</v>
      </c>
      <c r="H64" s="335" t="s">
        <v>552</v>
      </c>
      <c r="I64" s="336" t="s">
        <v>541</v>
      </c>
      <c r="J64" s="129">
        <v>0</v>
      </c>
      <c r="K64" s="118">
        <f>+SUMIF('Nhập kho  입'!A:A,C64,'Nhập kho  입'!E:E)</f>
        <v>0</v>
      </c>
      <c r="L64" s="119">
        <f>+SUMIF(' Xuất kho 출'!A:A,C64,' Xuất kho 출'!E:E)</f>
        <v>0</v>
      </c>
      <c r="M64" s="120"/>
      <c r="N64" s="130"/>
      <c r="O64" s="122">
        <v>0</v>
      </c>
      <c r="P64" s="118"/>
      <c r="Q64" s="131">
        <f t="shared" si="1"/>
        <v>0</v>
      </c>
      <c r="R64" s="124"/>
      <c r="S64" s="134"/>
      <c r="T64" s="125">
        <f t="shared" si="0"/>
        <v>0</v>
      </c>
      <c r="U64" s="126"/>
      <c r="V64" s="132"/>
      <c r="W64" s="127"/>
      <c r="X64" s="128"/>
      <c r="Y64" s="128"/>
      <c r="Z64" s="128"/>
      <c r="AA64" s="128"/>
      <c r="AB64" s="128"/>
      <c r="AC64" s="128"/>
      <c r="AD64" s="128"/>
      <c r="AE64" s="128"/>
      <c r="AF64" s="128"/>
      <c r="AG64" s="128"/>
      <c r="AH64" s="128"/>
      <c r="AI64" s="128"/>
      <c r="AJ64" s="128"/>
      <c r="AK64" s="128"/>
      <c r="AL64" s="128"/>
    </row>
    <row r="65" spans="1:38" s="90" customFormat="1" ht="25.5" hidden="1" customHeight="1">
      <c r="A65" s="95"/>
      <c r="B65" s="113" t="s">
        <v>533</v>
      </c>
      <c r="C65" s="139" t="s">
        <v>183</v>
      </c>
      <c r="D65" s="140" t="s">
        <v>184</v>
      </c>
      <c r="E65" s="114" t="s">
        <v>583</v>
      </c>
      <c r="F65" s="139"/>
      <c r="G65" s="139" t="s">
        <v>534</v>
      </c>
      <c r="H65" s="335" t="s">
        <v>552</v>
      </c>
      <c r="I65" s="139"/>
      <c r="J65" s="129">
        <v>0</v>
      </c>
      <c r="K65" s="118">
        <f>+SUMIF('Nhập kho  입'!A:A,C65,'Nhập kho  입'!E:E)</f>
        <v>0</v>
      </c>
      <c r="L65" s="119">
        <f>+SUMIF(' Xuất kho 출'!A:A,C65,' Xuất kho 출'!E:E)</f>
        <v>0</v>
      </c>
      <c r="M65" s="120"/>
      <c r="N65" s="130"/>
      <c r="O65" s="122">
        <v>0</v>
      </c>
      <c r="P65" s="118"/>
      <c r="Q65" s="131">
        <f t="shared" si="1"/>
        <v>0</v>
      </c>
      <c r="R65" s="124"/>
      <c r="S65" s="134"/>
      <c r="T65" s="125">
        <f t="shared" si="0"/>
        <v>0</v>
      </c>
      <c r="U65" s="126"/>
      <c r="V65" s="132"/>
      <c r="W65" s="127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</row>
    <row r="66" spans="1:38" s="90" customFormat="1" ht="25.5" customHeight="1" collapsed="1">
      <c r="A66" s="95"/>
      <c r="B66" s="113" t="s">
        <v>533</v>
      </c>
      <c r="C66" s="139" t="s">
        <v>964</v>
      </c>
      <c r="D66" s="140" t="s">
        <v>410</v>
      </c>
      <c r="E66" s="114" t="s">
        <v>542</v>
      </c>
      <c r="F66" s="139"/>
      <c r="G66" s="139" t="s">
        <v>562</v>
      </c>
      <c r="H66" s="335" t="s">
        <v>552</v>
      </c>
      <c r="I66" s="139"/>
      <c r="J66" s="129">
        <v>500</v>
      </c>
      <c r="K66" s="118">
        <f>+SUMIF('Nhập kho  입'!A:A,C66,'Nhập kho  입'!E:E)</f>
        <v>0</v>
      </c>
      <c r="L66" s="119">
        <f>+SUMIF(' Xuất kho 출'!A:A,C66,' Xuất kho 출'!E:E)</f>
        <v>0</v>
      </c>
      <c r="M66" s="120"/>
      <c r="N66" s="130"/>
      <c r="O66" s="122">
        <v>0</v>
      </c>
      <c r="P66" s="118"/>
      <c r="Q66" s="131">
        <f t="shared" si="1"/>
        <v>500</v>
      </c>
      <c r="R66" s="124">
        <f>10*50</f>
        <v>500</v>
      </c>
      <c r="S66" s="124"/>
      <c r="T66" s="125">
        <f t="shared" si="0"/>
        <v>0</v>
      </c>
      <c r="U66" s="126"/>
      <c r="V66" s="132"/>
      <c r="W66" s="127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</row>
    <row r="67" spans="1:38" s="90" customFormat="1" ht="25.5" customHeight="1">
      <c r="A67" s="95"/>
      <c r="B67" s="113" t="s">
        <v>533</v>
      </c>
      <c r="C67" s="139" t="s">
        <v>245</v>
      </c>
      <c r="D67" s="140" t="s">
        <v>246</v>
      </c>
      <c r="E67" s="114" t="s">
        <v>542</v>
      </c>
      <c r="F67" s="139">
        <v>125150</v>
      </c>
      <c r="G67" s="139" t="s">
        <v>534</v>
      </c>
      <c r="H67" s="335" t="s">
        <v>552</v>
      </c>
      <c r="I67" s="139"/>
      <c r="J67" s="129">
        <v>550</v>
      </c>
      <c r="K67" s="118">
        <f>+SUMIF('Nhập kho  입'!A:A,C67,'Nhập kho  입'!E:E)</f>
        <v>0</v>
      </c>
      <c r="L67" s="119">
        <f>+SUMIF(' Xuất kho 출'!A:A,C67,' Xuất kho 출'!E:E)</f>
        <v>0</v>
      </c>
      <c r="M67" s="120"/>
      <c r="N67" s="130"/>
      <c r="O67" s="122">
        <v>0</v>
      </c>
      <c r="P67" s="118"/>
      <c r="Q67" s="131">
        <f t="shared" si="1"/>
        <v>550</v>
      </c>
      <c r="R67" s="124">
        <v>550</v>
      </c>
      <c r="S67" s="124"/>
      <c r="T67" s="125">
        <f t="shared" si="0"/>
        <v>0</v>
      </c>
      <c r="U67" s="126"/>
      <c r="V67" s="132"/>
      <c r="W67" s="127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  <c r="AK67" s="128"/>
      <c r="AL67" s="128"/>
    </row>
    <row r="68" spans="1:38" s="90" customFormat="1" ht="25.5" customHeight="1">
      <c r="A68" s="95" t="s">
        <v>491</v>
      </c>
      <c r="B68" s="113" t="s">
        <v>533</v>
      </c>
      <c r="C68" s="139" t="s">
        <v>64</v>
      </c>
      <c r="D68" s="140" t="s">
        <v>65</v>
      </c>
      <c r="E68" s="114" t="s">
        <v>576</v>
      </c>
      <c r="F68" s="139">
        <v>125140</v>
      </c>
      <c r="G68" s="139" t="s">
        <v>562</v>
      </c>
      <c r="H68" s="335" t="s">
        <v>573</v>
      </c>
      <c r="I68" s="139"/>
      <c r="J68" s="129">
        <v>1400</v>
      </c>
      <c r="K68" s="118">
        <f>+SUMIF('Nhập kho  입'!A:A,C68,'Nhập kho  입'!E:E)</f>
        <v>0</v>
      </c>
      <c r="L68" s="119">
        <f>+SUMIF(' Xuất kho 출'!A:A,C68,' Xuất kho 출'!E:E)</f>
        <v>0</v>
      </c>
      <c r="M68" s="120"/>
      <c r="N68" s="130"/>
      <c r="O68" s="122">
        <v>0</v>
      </c>
      <c r="P68" s="118"/>
      <c r="Q68" s="131">
        <f t="shared" si="1"/>
        <v>1400</v>
      </c>
      <c r="R68" s="124">
        <f>28*50</f>
        <v>1400</v>
      </c>
      <c r="S68" s="124"/>
      <c r="T68" s="125">
        <f t="shared" si="0"/>
        <v>0</v>
      </c>
      <c r="U68" s="126"/>
      <c r="V68" s="132"/>
      <c r="W68" s="127"/>
      <c r="X68" s="128"/>
      <c r="Y68" s="128"/>
      <c r="Z68" s="128"/>
      <c r="AA68" s="128"/>
      <c r="AB68" s="128"/>
      <c r="AC68" s="128"/>
      <c r="AD68" s="128"/>
      <c r="AE68" s="128"/>
      <c r="AF68" s="128"/>
      <c r="AG68" s="128"/>
      <c r="AH68" s="128"/>
      <c r="AI68" s="128"/>
      <c r="AJ68" s="128"/>
      <c r="AK68" s="128"/>
      <c r="AL68" s="128"/>
    </row>
    <row r="69" spans="1:38" s="90" customFormat="1" ht="25.5" customHeight="1">
      <c r="A69" s="95"/>
      <c r="B69" s="113" t="s">
        <v>533</v>
      </c>
      <c r="C69" s="139" t="s">
        <v>1013</v>
      </c>
      <c r="D69" s="140" t="s">
        <v>1012</v>
      </c>
      <c r="E69" s="114" t="s">
        <v>583</v>
      </c>
      <c r="F69" s="139" t="s">
        <v>578</v>
      </c>
      <c r="G69" s="139" t="s">
        <v>562</v>
      </c>
      <c r="H69" s="335" t="s">
        <v>552</v>
      </c>
      <c r="I69" s="139"/>
      <c r="J69" s="129">
        <v>1100</v>
      </c>
      <c r="K69" s="118">
        <f>+SUMIF('Nhập kho  입'!A:A,C69,'Nhập kho  입'!E:E)</f>
        <v>0</v>
      </c>
      <c r="L69" s="119">
        <f>+SUMIF(' Xuất kho 출'!A:A,C69,' Xuất kho 출'!E:E)</f>
        <v>1000</v>
      </c>
      <c r="M69" s="120"/>
      <c r="N69" s="130"/>
      <c r="O69" s="122"/>
      <c r="P69" s="118"/>
      <c r="Q69" s="131">
        <f t="shared" si="1"/>
        <v>100</v>
      </c>
      <c r="R69" s="124">
        <f>100+20*50</f>
        <v>1100</v>
      </c>
      <c r="S69" s="134"/>
      <c r="T69" s="125">
        <f t="shared" si="0"/>
        <v>1000</v>
      </c>
      <c r="U69" s="126"/>
      <c r="V69" s="132"/>
      <c r="W69" s="127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</row>
    <row r="70" spans="1:38" s="90" customFormat="1" ht="25.5" customHeight="1">
      <c r="A70" s="95"/>
      <c r="B70" s="113" t="s">
        <v>533</v>
      </c>
      <c r="C70" s="139" t="s">
        <v>1239</v>
      </c>
      <c r="D70" s="140" t="s">
        <v>466</v>
      </c>
      <c r="E70" s="114" t="s">
        <v>566</v>
      </c>
      <c r="F70" s="139"/>
      <c r="G70" s="139" t="s">
        <v>562</v>
      </c>
      <c r="H70" s="335" t="s">
        <v>552</v>
      </c>
      <c r="I70" s="139"/>
      <c r="J70" s="129">
        <v>1150</v>
      </c>
      <c r="K70" s="118">
        <f>+SUMIF('Nhập kho  입'!A:A,C70,'Nhập kho  입'!E:E)</f>
        <v>0</v>
      </c>
      <c r="L70" s="119">
        <f>+SUMIF(' Xuất kho 출'!A:A,C70,' Xuất kho 출'!E:E)</f>
        <v>100</v>
      </c>
      <c r="M70" s="120"/>
      <c r="N70" s="130"/>
      <c r="O70" s="122">
        <v>0</v>
      </c>
      <c r="P70" s="118"/>
      <c r="Q70" s="131">
        <f t="shared" si="1"/>
        <v>1050</v>
      </c>
      <c r="R70" s="124">
        <f>23*50</f>
        <v>1150</v>
      </c>
      <c r="S70" s="134"/>
      <c r="T70" s="125">
        <f t="shared" si="0"/>
        <v>100</v>
      </c>
      <c r="U70" s="126"/>
      <c r="V70" s="132"/>
      <c r="W70" s="127"/>
      <c r="X70" s="128"/>
      <c r="Y70" s="128"/>
      <c r="Z70" s="128"/>
      <c r="AA70" s="128"/>
      <c r="AB70" s="128"/>
      <c r="AC70" s="128"/>
      <c r="AD70" s="128"/>
      <c r="AE70" s="128"/>
      <c r="AF70" s="128"/>
      <c r="AG70" s="128"/>
      <c r="AH70" s="128"/>
      <c r="AI70" s="128"/>
      <c r="AJ70" s="128"/>
      <c r="AK70" s="128"/>
      <c r="AL70" s="128"/>
    </row>
    <row r="71" spans="1:38" s="90" customFormat="1" ht="25.5" customHeight="1">
      <c r="A71" s="95"/>
      <c r="B71" s="113" t="s">
        <v>533</v>
      </c>
      <c r="C71" s="139" t="s">
        <v>277</v>
      </c>
      <c r="D71" s="140" t="s">
        <v>278</v>
      </c>
      <c r="E71" s="114" t="s">
        <v>584</v>
      </c>
      <c r="F71" s="139">
        <v>125150</v>
      </c>
      <c r="G71" s="139" t="s">
        <v>562</v>
      </c>
      <c r="H71" s="335" t="s">
        <v>552</v>
      </c>
      <c r="I71" s="139"/>
      <c r="J71" s="129">
        <v>1350</v>
      </c>
      <c r="K71" s="118">
        <f>+SUMIF('Nhập kho  입'!A:A,C71,'Nhập kho  입'!E:E)</f>
        <v>0</v>
      </c>
      <c r="L71" s="119">
        <f>+SUMIF(' Xuất kho 출'!A:A,C71,' Xuất kho 출'!E:E)</f>
        <v>0</v>
      </c>
      <c r="M71" s="120"/>
      <c r="N71" s="130"/>
      <c r="O71" s="122">
        <v>0</v>
      </c>
      <c r="P71" s="118"/>
      <c r="Q71" s="131">
        <f t="shared" si="1"/>
        <v>1350</v>
      </c>
      <c r="R71" s="124">
        <f>27*50</f>
        <v>1350</v>
      </c>
      <c r="S71" s="134"/>
      <c r="T71" s="125">
        <f t="shared" ref="T71:T134" si="2">+R71-Q71</f>
        <v>0</v>
      </c>
      <c r="U71" s="126"/>
      <c r="V71" s="132"/>
      <c r="W71" s="127"/>
      <c r="X71" s="128"/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I71" s="128"/>
      <c r="AJ71" s="128"/>
      <c r="AK71" s="128"/>
      <c r="AL71" s="128"/>
    </row>
    <row r="72" spans="1:38" s="90" customFormat="1" ht="25.5" customHeight="1">
      <c r="A72" s="95"/>
      <c r="B72" s="113" t="s">
        <v>533</v>
      </c>
      <c r="C72" s="139" t="s">
        <v>218</v>
      </c>
      <c r="D72" s="140" t="s">
        <v>219</v>
      </c>
      <c r="E72" s="114" t="s">
        <v>576</v>
      </c>
      <c r="F72" s="139">
        <v>125140</v>
      </c>
      <c r="G72" s="139" t="s">
        <v>562</v>
      </c>
      <c r="H72" s="335" t="s">
        <v>552</v>
      </c>
      <c r="I72" s="139"/>
      <c r="J72" s="129">
        <v>200</v>
      </c>
      <c r="K72" s="118">
        <f>+SUMIF('Nhập kho  입'!A:A,C72,'Nhập kho  입'!E:E)</f>
        <v>0</v>
      </c>
      <c r="L72" s="119">
        <f>+SUMIF(' Xuất kho 출'!A:A,C72,' Xuất kho 출'!E:E)</f>
        <v>0</v>
      </c>
      <c r="M72" s="120"/>
      <c r="N72" s="130"/>
      <c r="O72" s="122">
        <v>0</v>
      </c>
      <c r="P72" s="118"/>
      <c r="Q72" s="131">
        <f t="shared" ref="Q72:Q135" si="3">+J72+K72-L72-N72</f>
        <v>200</v>
      </c>
      <c r="R72" s="124">
        <f>4*50</f>
        <v>200</v>
      </c>
      <c r="S72" s="124"/>
      <c r="T72" s="125">
        <f t="shared" si="2"/>
        <v>0</v>
      </c>
      <c r="U72" s="126"/>
      <c r="V72" s="132"/>
      <c r="W72" s="127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  <c r="AK72" s="128"/>
      <c r="AL72" s="128"/>
    </row>
    <row r="73" spans="1:38" s="90" customFormat="1" ht="25.5" customHeight="1">
      <c r="A73" s="95"/>
      <c r="B73" s="113" t="s">
        <v>533</v>
      </c>
      <c r="C73" s="139" t="s">
        <v>307</v>
      </c>
      <c r="D73" s="140" t="s">
        <v>219</v>
      </c>
      <c r="E73" s="114"/>
      <c r="F73" s="139">
        <v>125140</v>
      </c>
      <c r="G73" s="139" t="s">
        <v>562</v>
      </c>
      <c r="H73" s="335" t="s">
        <v>546</v>
      </c>
      <c r="I73" s="139"/>
      <c r="J73" s="129">
        <v>300</v>
      </c>
      <c r="K73" s="118">
        <f>+SUMIF('Nhập kho  입'!A:A,C73,'Nhập kho  입'!E:E)</f>
        <v>0</v>
      </c>
      <c r="L73" s="119">
        <f>+SUMIF(' Xuất kho 출'!A:A,C73,' Xuất kho 출'!E:E)</f>
        <v>0</v>
      </c>
      <c r="M73" s="120"/>
      <c r="N73" s="130"/>
      <c r="O73" s="122">
        <v>0</v>
      </c>
      <c r="P73" s="118"/>
      <c r="Q73" s="131">
        <f t="shared" si="3"/>
        <v>300</v>
      </c>
      <c r="R73" s="124">
        <v>300</v>
      </c>
      <c r="S73" s="124"/>
      <c r="T73" s="125">
        <f t="shared" si="2"/>
        <v>0</v>
      </c>
      <c r="U73" s="126"/>
      <c r="V73" s="132"/>
      <c r="W73" s="127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  <c r="AH73" s="128"/>
      <c r="AI73" s="128"/>
      <c r="AJ73" s="128"/>
      <c r="AK73" s="128"/>
      <c r="AL73" s="128"/>
    </row>
    <row r="74" spans="1:38" s="90" customFormat="1" ht="25.5" customHeight="1">
      <c r="A74" s="95"/>
      <c r="B74" s="113" t="s">
        <v>533</v>
      </c>
      <c r="C74" s="139" t="s">
        <v>135</v>
      </c>
      <c r="D74" s="140" t="s">
        <v>136</v>
      </c>
      <c r="E74" s="114" t="s">
        <v>576</v>
      </c>
      <c r="F74" s="141">
        <v>125140</v>
      </c>
      <c r="G74" s="139" t="s">
        <v>562</v>
      </c>
      <c r="H74" s="335" t="s">
        <v>552</v>
      </c>
      <c r="I74" s="139"/>
      <c r="J74" s="129">
        <v>300</v>
      </c>
      <c r="K74" s="118">
        <f>+SUMIF('Nhập kho  입'!A:A,C74,'Nhập kho  입'!E:E)</f>
        <v>0</v>
      </c>
      <c r="L74" s="119">
        <f>+SUMIF(' Xuất kho 출'!A:A,C74,' Xuất kho 출'!E:E)</f>
        <v>0</v>
      </c>
      <c r="M74" s="120"/>
      <c r="N74" s="130"/>
      <c r="O74" s="122">
        <v>0</v>
      </c>
      <c r="P74" s="118"/>
      <c r="Q74" s="131">
        <f t="shared" si="3"/>
        <v>300</v>
      </c>
      <c r="R74" s="124">
        <v>300</v>
      </c>
      <c r="S74" s="134"/>
      <c r="T74" s="125">
        <f t="shared" si="2"/>
        <v>0</v>
      </c>
      <c r="U74" s="126"/>
      <c r="V74" s="132"/>
      <c r="W74" s="127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  <c r="AK74" s="128"/>
      <c r="AL74" s="128"/>
    </row>
    <row r="75" spans="1:38" s="90" customFormat="1" ht="25.5" customHeight="1">
      <c r="A75" s="95"/>
      <c r="B75" s="113" t="s">
        <v>533</v>
      </c>
      <c r="C75" s="139" t="s">
        <v>129</v>
      </c>
      <c r="D75" s="140" t="s">
        <v>130</v>
      </c>
      <c r="E75" s="114" t="s">
        <v>576</v>
      </c>
      <c r="F75" s="141">
        <v>125140</v>
      </c>
      <c r="G75" s="139" t="s">
        <v>562</v>
      </c>
      <c r="H75" s="335" t="s">
        <v>552</v>
      </c>
      <c r="I75" s="139"/>
      <c r="J75" s="129">
        <v>1500</v>
      </c>
      <c r="K75" s="118">
        <f>+SUMIF('Nhập kho  입'!A:A,C75,'Nhập kho  입'!E:E)</f>
        <v>0</v>
      </c>
      <c r="L75" s="119">
        <f>+SUMIF(' Xuất kho 출'!A:A,C75,' Xuất kho 출'!E:E)</f>
        <v>0</v>
      </c>
      <c r="M75" s="120"/>
      <c r="N75" s="130"/>
      <c r="O75" s="122">
        <v>0</v>
      </c>
      <c r="P75" s="118"/>
      <c r="Q75" s="131">
        <f t="shared" si="3"/>
        <v>1500</v>
      </c>
      <c r="R75" s="124">
        <f>30*50</f>
        <v>1500</v>
      </c>
      <c r="S75" s="134"/>
      <c r="T75" s="125">
        <f t="shared" si="2"/>
        <v>0</v>
      </c>
      <c r="U75" s="126"/>
      <c r="V75" s="132"/>
      <c r="W75" s="127"/>
      <c r="X75" s="128"/>
      <c r="Y75" s="128"/>
      <c r="Z75" s="128"/>
      <c r="AA75" s="128"/>
      <c r="AB75" s="128"/>
      <c r="AC75" s="128"/>
      <c r="AD75" s="128"/>
      <c r="AE75" s="128"/>
      <c r="AF75" s="128"/>
      <c r="AG75" s="128"/>
      <c r="AH75" s="128"/>
      <c r="AI75" s="128"/>
      <c r="AJ75" s="128"/>
      <c r="AK75" s="128"/>
      <c r="AL75" s="128"/>
    </row>
    <row r="76" spans="1:38" s="90" customFormat="1" ht="25.5" hidden="1" customHeight="1" collapsed="1">
      <c r="A76" s="95"/>
      <c r="B76" s="113" t="s">
        <v>533</v>
      </c>
      <c r="C76" s="139" t="s">
        <v>62</v>
      </c>
      <c r="D76" s="140" t="s">
        <v>63</v>
      </c>
      <c r="E76" s="114"/>
      <c r="F76" s="141">
        <v>125140</v>
      </c>
      <c r="G76" s="139" t="s">
        <v>562</v>
      </c>
      <c r="H76" s="114"/>
      <c r="I76" s="139"/>
      <c r="J76" s="129">
        <v>0</v>
      </c>
      <c r="K76" s="118">
        <f>+SUMIF('Nhập kho  입'!A:A,C76,'Nhập kho  입'!E:E)</f>
        <v>0</v>
      </c>
      <c r="L76" s="119">
        <f>+SUMIF(' Xuất kho 출'!A:A,C76,' Xuất kho 출'!E:E)</f>
        <v>0</v>
      </c>
      <c r="M76" s="120"/>
      <c r="N76" s="130"/>
      <c r="O76" s="122">
        <v>0</v>
      </c>
      <c r="P76" s="118"/>
      <c r="Q76" s="131">
        <f t="shared" si="3"/>
        <v>0</v>
      </c>
      <c r="R76" s="124"/>
      <c r="S76" s="124"/>
      <c r="T76" s="125">
        <f t="shared" si="2"/>
        <v>0</v>
      </c>
      <c r="U76" s="126"/>
      <c r="V76" s="132"/>
      <c r="W76" s="127"/>
      <c r="X76" s="128"/>
      <c r="Y76" s="128"/>
      <c r="Z76" s="128"/>
      <c r="AA76" s="128"/>
      <c r="AB76" s="128"/>
      <c r="AC76" s="128"/>
      <c r="AD76" s="128"/>
      <c r="AE76" s="128"/>
      <c r="AF76" s="128"/>
      <c r="AG76" s="128"/>
      <c r="AH76" s="128"/>
      <c r="AI76" s="128"/>
      <c r="AJ76" s="128"/>
      <c r="AK76" s="128"/>
      <c r="AL76" s="128"/>
    </row>
    <row r="77" spans="1:38" s="90" customFormat="1" ht="25.5" hidden="1" customHeight="1">
      <c r="A77" s="95"/>
      <c r="B77" s="113" t="s">
        <v>533</v>
      </c>
      <c r="C77" s="139" t="s">
        <v>110</v>
      </c>
      <c r="D77" s="140" t="s">
        <v>111</v>
      </c>
      <c r="E77" s="114"/>
      <c r="F77" s="141">
        <v>125140</v>
      </c>
      <c r="G77" s="139" t="s">
        <v>562</v>
      </c>
      <c r="H77" s="114"/>
      <c r="I77" s="139"/>
      <c r="J77" s="129">
        <v>0</v>
      </c>
      <c r="K77" s="118">
        <f>+SUMIF('Nhập kho  입'!A:A,C77,'Nhập kho  입'!E:E)</f>
        <v>0</v>
      </c>
      <c r="L77" s="119">
        <f>+SUMIF(' Xuất kho 출'!A:A,C77,' Xuất kho 출'!E:E)</f>
        <v>0</v>
      </c>
      <c r="M77" s="120"/>
      <c r="N77" s="130"/>
      <c r="O77" s="122">
        <v>0</v>
      </c>
      <c r="P77" s="118"/>
      <c r="Q77" s="131">
        <f t="shared" si="3"/>
        <v>0</v>
      </c>
      <c r="R77" s="124"/>
      <c r="S77" s="124"/>
      <c r="T77" s="125">
        <f t="shared" si="2"/>
        <v>0</v>
      </c>
      <c r="U77" s="126"/>
      <c r="V77" s="132"/>
      <c r="W77" s="127"/>
      <c r="X77" s="128"/>
      <c r="Y77" s="128"/>
      <c r="Z77" s="128"/>
      <c r="AA77" s="128"/>
      <c r="AB77" s="128"/>
      <c r="AC77" s="128"/>
      <c r="AD77" s="128"/>
      <c r="AE77" s="128"/>
      <c r="AF77" s="128"/>
      <c r="AG77" s="128"/>
      <c r="AH77" s="128"/>
      <c r="AI77" s="128"/>
      <c r="AJ77" s="128"/>
      <c r="AK77" s="128"/>
      <c r="AL77" s="128"/>
    </row>
    <row r="78" spans="1:38" s="90" customFormat="1" ht="25.5" customHeight="1">
      <c r="A78" s="95" t="s">
        <v>491</v>
      </c>
      <c r="B78" s="113" t="s">
        <v>533</v>
      </c>
      <c r="C78" s="139" t="s">
        <v>292</v>
      </c>
      <c r="D78" s="140" t="s">
        <v>293</v>
      </c>
      <c r="E78" s="114" t="s">
        <v>564</v>
      </c>
      <c r="F78" s="141">
        <v>125150</v>
      </c>
      <c r="G78" s="139" t="s">
        <v>562</v>
      </c>
      <c r="H78" s="335" t="s">
        <v>552</v>
      </c>
      <c r="I78" s="139"/>
      <c r="J78" s="129">
        <v>1000</v>
      </c>
      <c r="K78" s="118">
        <f>+SUMIF('Nhập kho  입'!A:A,C78,'Nhập kho  입'!E:E)</f>
        <v>0</v>
      </c>
      <c r="L78" s="119">
        <f>+SUMIF(' Xuất kho 출'!A:A,C78,' Xuất kho 출'!E:E)</f>
        <v>0</v>
      </c>
      <c r="M78" s="120"/>
      <c r="N78" s="130"/>
      <c r="O78" s="122">
        <v>0</v>
      </c>
      <c r="P78" s="118"/>
      <c r="Q78" s="131">
        <f t="shared" si="3"/>
        <v>1000</v>
      </c>
      <c r="R78" s="124">
        <v>1000</v>
      </c>
      <c r="S78" s="124"/>
      <c r="T78" s="125">
        <f t="shared" si="2"/>
        <v>0</v>
      </c>
      <c r="U78" s="126"/>
      <c r="V78" s="132"/>
      <c r="W78" s="127"/>
      <c r="X78" s="128"/>
      <c r="Y78" s="128"/>
      <c r="Z78" s="128"/>
      <c r="AA78" s="128"/>
      <c r="AB78" s="128"/>
      <c r="AC78" s="128"/>
      <c r="AD78" s="128"/>
      <c r="AE78" s="128"/>
      <c r="AF78" s="128"/>
      <c r="AG78" s="128"/>
      <c r="AH78" s="128"/>
      <c r="AI78" s="128"/>
      <c r="AJ78" s="128"/>
      <c r="AK78" s="128"/>
      <c r="AL78" s="128"/>
    </row>
    <row r="79" spans="1:38" s="90" customFormat="1" ht="25.5" customHeight="1">
      <c r="A79" s="95"/>
      <c r="B79" s="113" t="s">
        <v>533</v>
      </c>
      <c r="C79" s="139" t="s">
        <v>908</v>
      </c>
      <c r="D79" s="140" t="s">
        <v>468</v>
      </c>
      <c r="E79" s="114" t="s">
        <v>561</v>
      </c>
      <c r="F79" s="141"/>
      <c r="G79" s="139" t="s">
        <v>562</v>
      </c>
      <c r="H79" s="335" t="s">
        <v>552</v>
      </c>
      <c r="I79" s="139"/>
      <c r="J79" s="129">
        <v>850</v>
      </c>
      <c r="K79" s="118">
        <f>+SUMIF('Nhập kho  입'!A:A,C79,'Nhập kho  입'!E:E)</f>
        <v>0</v>
      </c>
      <c r="L79" s="119">
        <f>+SUMIF(' Xuất kho 출'!A:A,C79,' Xuất kho 출'!E:E)</f>
        <v>0</v>
      </c>
      <c r="M79" s="120"/>
      <c r="N79" s="130"/>
      <c r="O79" s="122">
        <v>0</v>
      </c>
      <c r="P79" s="118"/>
      <c r="Q79" s="131">
        <f t="shared" si="3"/>
        <v>850</v>
      </c>
      <c r="R79" s="124">
        <f>11*50+300</f>
        <v>850</v>
      </c>
      <c r="S79" s="134"/>
      <c r="T79" s="125">
        <f t="shared" si="2"/>
        <v>0</v>
      </c>
      <c r="U79" s="126"/>
      <c r="V79" s="132"/>
      <c r="W79" s="127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  <c r="AH79" s="128"/>
      <c r="AI79" s="128"/>
      <c r="AJ79" s="128"/>
      <c r="AK79" s="128"/>
      <c r="AL79" s="128"/>
    </row>
    <row r="80" spans="1:38" s="90" customFormat="1" ht="25.5" customHeight="1">
      <c r="A80" s="95"/>
      <c r="B80" s="113" t="s">
        <v>533</v>
      </c>
      <c r="C80" s="139" t="s">
        <v>372</v>
      </c>
      <c r="D80" s="140" t="s">
        <v>373</v>
      </c>
      <c r="E80" s="114"/>
      <c r="F80" s="139"/>
      <c r="G80" s="139" t="s">
        <v>534</v>
      </c>
      <c r="H80" s="335" t="s">
        <v>552</v>
      </c>
      <c r="I80" s="139"/>
      <c r="J80" s="129">
        <v>1200</v>
      </c>
      <c r="K80" s="118">
        <f>+SUMIF('Nhập kho  입'!A:A,C80,'Nhập kho  입'!E:E)</f>
        <v>0</v>
      </c>
      <c r="L80" s="119">
        <f>+SUMIF(' Xuất kho 출'!A:A,C80,' Xuất kho 출'!E:E)</f>
        <v>0</v>
      </c>
      <c r="M80" s="120"/>
      <c r="N80" s="130"/>
      <c r="O80" s="122">
        <v>0</v>
      </c>
      <c r="P80" s="118"/>
      <c r="Q80" s="131">
        <f t="shared" si="3"/>
        <v>1200</v>
      </c>
      <c r="R80" s="124">
        <f>24*50</f>
        <v>1200</v>
      </c>
      <c r="S80" s="134"/>
      <c r="T80" s="125">
        <f t="shared" si="2"/>
        <v>0</v>
      </c>
      <c r="U80" s="126"/>
      <c r="V80" s="132"/>
      <c r="W80" s="127"/>
      <c r="X80" s="128"/>
      <c r="Y80" s="128"/>
      <c r="Z80" s="128"/>
      <c r="AA80" s="128"/>
      <c r="AB80" s="128"/>
      <c r="AC80" s="128"/>
      <c r="AD80" s="128"/>
      <c r="AE80" s="128"/>
      <c r="AF80" s="128"/>
      <c r="AG80" s="128"/>
      <c r="AH80" s="128"/>
      <c r="AI80" s="128"/>
      <c r="AJ80" s="128"/>
      <c r="AK80" s="128"/>
      <c r="AL80" s="128"/>
    </row>
    <row r="81" spans="1:38" s="90" customFormat="1" ht="25.5" customHeight="1">
      <c r="A81" s="95"/>
      <c r="B81" s="113" t="s">
        <v>533</v>
      </c>
      <c r="C81" s="139" t="s">
        <v>21</v>
      </c>
      <c r="D81" s="140" t="s">
        <v>22</v>
      </c>
      <c r="E81" s="114" t="s">
        <v>565</v>
      </c>
      <c r="F81" s="139">
        <v>125150</v>
      </c>
      <c r="G81" s="139" t="s">
        <v>562</v>
      </c>
      <c r="H81" s="335" t="s">
        <v>552</v>
      </c>
      <c r="I81" s="336" t="s">
        <v>541</v>
      </c>
      <c r="J81" s="129">
        <v>300</v>
      </c>
      <c r="K81" s="118">
        <f>+SUMIF('Nhập kho  입'!A:A,C81,'Nhập kho  입'!E:E)</f>
        <v>0</v>
      </c>
      <c r="L81" s="119">
        <f>+SUMIF(' Xuất kho 출'!A:A,C81,' Xuất kho 출'!E:E)</f>
        <v>0</v>
      </c>
      <c r="M81" s="120"/>
      <c r="N81" s="130"/>
      <c r="O81" s="122">
        <v>0</v>
      </c>
      <c r="P81" s="118"/>
      <c r="Q81" s="131">
        <f t="shared" si="3"/>
        <v>300</v>
      </c>
      <c r="R81" s="124">
        <v>300</v>
      </c>
      <c r="S81" s="124"/>
      <c r="T81" s="125">
        <f t="shared" si="2"/>
        <v>0</v>
      </c>
      <c r="U81" s="126"/>
      <c r="V81" s="132"/>
      <c r="W81" s="127"/>
      <c r="X81" s="128"/>
      <c r="Y81" s="128"/>
      <c r="Z81" s="128"/>
      <c r="AA81" s="128"/>
      <c r="AB81" s="128"/>
      <c r="AC81" s="128"/>
      <c r="AD81" s="128"/>
      <c r="AE81" s="128"/>
      <c r="AF81" s="128"/>
      <c r="AG81" s="128"/>
      <c r="AH81" s="128"/>
      <c r="AI81" s="128"/>
      <c r="AJ81" s="128"/>
      <c r="AK81" s="128"/>
      <c r="AL81" s="128"/>
    </row>
    <row r="82" spans="1:38" s="90" customFormat="1" ht="25.5" customHeight="1">
      <c r="A82" s="95"/>
      <c r="B82" s="113" t="s">
        <v>533</v>
      </c>
      <c r="C82" s="139" t="s">
        <v>427</v>
      </c>
      <c r="D82" s="140" t="s">
        <v>428</v>
      </c>
      <c r="E82" s="114" t="s">
        <v>542</v>
      </c>
      <c r="F82" s="139"/>
      <c r="G82" s="139" t="s">
        <v>562</v>
      </c>
      <c r="H82" s="335" t="s">
        <v>552</v>
      </c>
      <c r="I82" s="139"/>
      <c r="J82" s="129">
        <v>8100</v>
      </c>
      <c r="K82" s="118">
        <f>+SUMIF('Nhập kho  입'!A:A,C82,'Nhập kho  입'!E:E)</f>
        <v>0</v>
      </c>
      <c r="L82" s="119">
        <f>+SUMIF(' Xuất kho 출'!A:A,C82,' Xuất kho 출'!E:E)</f>
        <v>0</v>
      </c>
      <c r="M82" s="120"/>
      <c r="N82" s="130"/>
      <c r="O82" s="122"/>
      <c r="P82" s="118"/>
      <c r="Q82" s="131">
        <f t="shared" si="3"/>
        <v>8100</v>
      </c>
      <c r="R82" s="124">
        <f>32*50+50+14*50+43*50+3600</f>
        <v>8100</v>
      </c>
      <c r="S82" s="134"/>
      <c r="T82" s="125">
        <f t="shared" si="2"/>
        <v>0</v>
      </c>
      <c r="U82" s="126"/>
      <c r="V82" s="132"/>
      <c r="W82" s="127"/>
      <c r="X82" s="128"/>
      <c r="Y82" s="128"/>
      <c r="Z82" s="128"/>
      <c r="AA82" s="128"/>
      <c r="AB82" s="128"/>
      <c r="AC82" s="128"/>
      <c r="AD82" s="128"/>
      <c r="AE82" s="128"/>
      <c r="AF82" s="128"/>
      <c r="AG82" s="128"/>
      <c r="AH82" s="128"/>
      <c r="AI82" s="128"/>
      <c r="AJ82" s="128"/>
      <c r="AK82" s="128"/>
      <c r="AL82" s="128"/>
    </row>
    <row r="83" spans="1:38" s="90" customFormat="1" ht="25.5" customHeight="1">
      <c r="A83" s="95"/>
      <c r="B83" s="113" t="s">
        <v>533</v>
      </c>
      <c r="C83" s="139" t="s">
        <v>411</v>
      </c>
      <c r="D83" s="140" t="s">
        <v>412</v>
      </c>
      <c r="E83" s="114" t="s">
        <v>579</v>
      </c>
      <c r="F83" s="139"/>
      <c r="G83" s="139" t="s">
        <v>562</v>
      </c>
      <c r="H83" s="335" t="s">
        <v>552</v>
      </c>
      <c r="I83" s="139"/>
      <c r="J83" s="129">
        <v>500</v>
      </c>
      <c r="K83" s="118">
        <f>+SUMIF('Nhập kho  입'!A:A,C83,'Nhập kho  입'!E:E)</f>
        <v>1200</v>
      </c>
      <c r="L83" s="119">
        <f>+SUMIF(' Xuất kho 출'!A:A,C83,' Xuất kho 출'!E:E)</f>
        <v>0</v>
      </c>
      <c r="M83" s="120"/>
      <c r="N83" s="130"/>
      <c r="O83" s="122">
        <v>0</v>
      </c>
      <c r="P83" s="118"/>
      <c r="Q83" s="131">
        <f t="shared" si="3"/>
        <v>1700</v>
      </c>
      <c r="R83" s="124">
        <f>150+200+150</f>
        <v>500</v>
      </c>
      <c r="S83" s="124"/>
      <c r="T83" s="125">
        <f t="shared" si="2"/>
        <v>-1200</v>
      </c>
      <c r="U83" s="126"/>
      <c r="V83" s="132"/>
      <c r="W83" s="127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  <c r="AK83" s="128"/>
      <c r="AL83" s="128"/>
    </row>
    <row r="84" spans="1:38" s="90" customFormat="1" ht="25.5" customHeight="1">
      <c r="A84" s="95"/>
      <c r="B84" s="113" t="s">
        <v>533</v>
      </c>
      <c r="C84" s="139" t="s">
        <v>71</v>
      </c>
      <c r="D84" s="140" t="s">
        <v>72</v>
      </c>
      <c r="E84" s="114" t="s">
        <v>585</v>
      </c>
      <c r="F84" s="139" t="s">
        <v>537</v>
      </c>
      <c r="G84" s="139" t="s">
        <v>562</v>
      </c>
      <c r="H84" s="335" t="s">
        <v>552</v>
      </c>
      <c r="I84" s="139"/>
      <c r="J84" s="129">
        <v>500</v>
      </c>
      <c r="K84" s="118">
        <f>+SUMIF('Nhập kho  입'!A:A,C84,'Nhập kho  입'!E:E)</f>
        <v>0</v>
      </c>
      <c r="L84" s="119">
        <f>+SUMIF(' Xuất kho 출'!A:A,C84,' Xuất kho 출'!E:E)</f>
        <v>0</v>
      </c>
      <c r="M84" s="120"/>
      <c r="N84" s="130"/>
      <c r="O84" s="122">
        <v>0</v>
      </c>
      <c r="P84" s="118"/>
      <c r="Q84" s="131">
        <f t="shared" si="3"/>
        <v>500</v>
      </c>
      <c r="R84" s="124">
        <v>500</v>
      </c>
      <c r="S84" s="124"/>
      <c r="T84" s="125">
        <f t="shared" si="2"/>
        <v>0</v>
      </c>
      <c r="U84" s="126"/>
      <c r="V84" s="132"/>
      <c r="W84" s="127"/>
      <c r="X84" s="128"/>
      <c r="Y84" s="128"/>
      <c r="Z84" s="128"/>
      <c r="AA84" s="128"/>
      <c r="AB84" s="128"/>
      <c r="AC84" s="128"/>
      <c r="AD84" s="128"/>
      <c r="AE84" s="128"/>
      <c r="AF84" s="128"/>
      <c r="AG84" s="128"/>
      <c r="AH84" s="128"/>
      <c r="AI84" s="128"/>
      <c r="AJ84" s="128"/>
      <c r="AK84" s="128"/>
      <c r="AL84" s="128"/>
    </row>
    <row r="85" spans="1:38" s="90" customFormat="1" ht="25.5" customHeight="1">
      <c r="A85" s="95"/>
      <c r="B85" s="135" t="s">
        <v>533</v>
      </c>
      <c r="C85" s="142" t="s">
        <v>389</v>
      </c>
      <c r="D85" s="143" t="s">
        <v>390</v>
      </c>
      <c r="E85" s="114" t="s">
        <v>586</v>
      </c>
      <c r="F85" s="139"/>
      <c r="G85" s="139" t="s">
        <v>562</v>
      </c>
      <c r="H85" s="335" t="s">
        <v>552</v>
      </c>
      <c r="I85" s="139"/>
      <c r="J85" s="129">
        <v>400</v>
      </c>
      <c r="K85" s="118">
        <f>+SUMIF('Nhập kho  입'!A:A,C85,'Nhập kho  입'!E:E)</f>
        <v>0</v>
      </c>
      <c r="L85" s="119">
        <f>+SUMIF(' Xuất kho 출'!A:A,C85,' Xuất kho 출'!E:E)</f>
        <v>0</v>
      </c>
      <c r="M85" s="120"/>
      <c r="N85" s="130"/>
      <c r="O85" s="122">
        <v>0</v>
      </c>
      <c r="P85" s="118"/>
      <c r="Q85" s="131">
        <f t="shared" si="3"/>
        <v>400</v>
      </c>
      <c r="R85" s="124">
        <f>200+200</f>
        <v>400</v>
      </c>
      <c r="S85" s="134"/>
      <c r="T85" s="125">
        <f t="shared" si="2"/>
        <v>0</v>
      </c>
      <c r="U85" s="126"/>
      <c r="V85" s="132"/>
      <c r="W85" s="127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  <c r="AK85" s="128"/>
      <c r="AL85" s="128"/>
    </row>
    <row r="86" spans="1:38" s="90" customFormat="1" ht="25.5" hidden="1" customHeight="1">
      <c r="A86" s="95"/>
      <c r="B86" s="113" t="s">
        <v>533</v>
      </c>
      <c r="C86" s="139" t="s">
        <v>449</v>
      </c>
      <c r="D86" s="140" t="s">
        <v>450</v>
      </c>
      <c r="E86" s="114" t="s">
        <v>587</v>
      </c>
      <c r="F86" s="139"/>
      <c r="G86" s="142" t="s">
        <v>534</v>
      </c>
      <c r="H86" s="335" t="s">
        <v>552</v>
      </c>
      <c r="I86" s="139"/>
      <c r="J86" s="129">
        <v>0</v>
      </c>
      <c r="K86" s="118">
        <f>+SUMIF('Nhập kho  입'!A:A,C86,'Nhập kho  입'!E:E)</f>
        <v>0</v>
      </c>
      <c r="L86" s="119">
        <f>+SUMIF(' Xuất kho 출'!A:A,C86,' Xuất kho 출'!E:E)</f>
        <v>0</v>
      </c>
      <c r="M86" s="120"/>
      <c r="N86" s="130"/>
      <c r="O86" s="122">
        <v>0</v>
      </c>
      <c r="P86" s="118"/>
      <c r="Q86" s="131">
        <f t="shared" si="3"/>
        <v>0</v>
      </c>
      <c r="R86" s="124"/>
      <c r="S86" s="124"/>
      <c r="T86" s="125">
        <f t="shared" si="2"/>
        <v>0</v>
      </c>
      <c r="U86" s="126"/>
      <c r="V86" s="132"/>
      <c r="W86" s="127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  <c r="AK86" s="128"/>
      <c r="AL86" s="128"/>
    </row>
    <row r="87" spans="1:38" s="90" customFormat="1" ht="25.5" customHeight="1">
      <c r="A87" s="95"/>
      <c r="B87" s="113" t="s">
        <v>533</v>
      </c>
      <c r="C87" s="139" t="s">
        <v>451</v>
      </c>
      <c r="D87" s="140" t="s">
        <v>450</v>
      </c>
      <c r="E87" s="114" t="s">
        <v>566</v>
      </c>
      <c r="F87" s="139"/>
      <c r="G87" s="139" t="s">
        <v>534</v>
      </c>
      <c r="H87" s="335" t="s">
        <v>552</v>
      </c>
      <c r="I87" s="139"/>
      <c r="J87" s="129">
        <v>200</v>
      </c>
      <c r="K87" s="118">
        <f>+SUMIF('Nhập kho  입'!A:A,C87,'Nhập kho  입'!E:E)</f>
        <v>0</v>
      </c>
      <c r="L87" s="119">
        <f>+SUMIF(' Xuất kho 출'!A:A,C87,' Xuất kho 출'!E:E)</f>
        <v>0</v>
      </c>
      <c r="M87" s="120"/>
      <c r="N87" s="130"/>
      <c r="O87" s="122">
        <v>0</v>
      </c>
      <c r="P87" s="118"/>
      <c r="Q87" s="131">
        <f t="shared" si="3"/>
        <v>200</v>
      </c>
      <c r="R87" s="124">
        <v>200</v>
      </c>
      <c r="S87" s="134"/>
      <c r="T87" s="125">
        <f t="shared" si="2"/>
        <v>0</v>
      </c>
      <c r="U87" s="126"/>
      <c r="V87" s="132"/>
      <c r="W87" s="127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  <c r="AH87" s="128"/>
      <c r="AI87" s="128"/>
      <c r="AJ87" s="128"/>
      <c r="AK87" s="128"/>
      <c r="AL87" s="128"/>
    </row>
    <row r="88" spans="1:38" s="90" customFormat="1" ht="25.5" hidden="1" customHeight="1" collapsed="1">
      <c r="A88" s="95"/>
      <c r="B88" s="113" t="s">
        <v>533</v>
      </c>
      <c r="C88" s="139" t="s">
        <v>139</v>
      </c>
      <c r="D88" s="140" t="s">
        <v>140</v>
      </c>
      <c r="E88" s="114"/>
      <c r="F88" s="139">
        <v>125150</v>
      </c>
      <c r="G88" s="139" t="s">
        <v>562</v>
      </c>
      <c r="H88" s="114"/>
      <c r="I88" s="139"/>
      <c r="J88" s="129">
        <v>0</v>
      </c>
      <c r="K88" s="118">
        <f>+SUMIF('Nhập kho  입'!A:A,C88,'Nhập kho  입'!E:E)</f>
        <v>0</v>
      </c>
      <c r="L88" s="119">
        <f>+SUMIF(' Xuất kho 출'!A:A,C88,' Xuất kho 출'!E:E)</f>
        <v>0</v>
      </c>
      <c r="M88" s="120"/>
      <c r="N88" s="130"/>
      <c r="O88" s="122">
        <v>0</v>
      </c>
      <c r="P88" s="118"/>
      <c r="Q88" s="131">
        <f t="shared" si="3"/>
        <v>0</v>
      </c>
      <c r="R88" s="124"/>
      <c r="S88" s="124"/>
      <c r="T88" s="125">
        <f t="shared" si="2"/>
        <v>0</v>
      </c>
      <c r="U88" s="126"/>
      <c r="V88" s="132"/>
      <c r="W88" s="127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  <c r="AK88" s="128"/>
      <c r="AL88" s="128"/>
    </row>
    <row r="89" spans="1:38" s="90" customFormat="1" ht="25.5" customHeight="1">
      <c r="A89" s="95"/>
      <c r="B89" s="135" t="s">
        <v>533</v>
      </c>
      <c r="C89" s="136" t="s">
        <v>1295</v>
      </c>
      <c r="D89" s="140" t="s">
        <v>10</v>
      </c>
      <c r="E89" s="114" t="s">
        <v>588</v>
      </c>
      <c r="F89" s="139">
        <v>125140</v>
      </c>
      <c r="G89" s="139" t="s">
        <v>534</v>
      </c>
      <c r="H89" s="335" t="s">
        <v>552</v>
      </c>
      <c r="I89" s="336" t="s">
        <v>556</v>
      </c>
      <c r="J89" s="129">
        <v>950</v>
      </c>
      <c r="K89" s="118">
        <f>+SUMIF('Nhập kho  입'!A:A,C89,'Nhập kho  입'!E:E)</f>
        <v>0</v>
      </c>
      <c r="L89" s="119">
        <f>+SUMIF(' Xuất kho 출'!A:A,C89,' Xuất kho 출'!E:E)</f>
        <v>200</v>
      </c>
      <c r="M89" s="120"/>
      <c r="N89" s="130"/>
      <c r="O89" s="122">
        <v>0</v>
      </c>
      <c r="P89" s="118"/>
      <c r="Q89" s="131">
        <f t="shared" si="3"/>
        <v>750</v>
      </c>
      <c r="R89" s="124">
        <f>22*50</f>
        <v>1100</v>
      </c>
      <c r="S89" s="134"/>
      <c r="T89" s="125">
        <f t="shared" si="2"/>
        <v>350</v>
      </c>
      <c r="U89" s="126"/>
      <c r="V89" s="132"/>
      <c r="W89" s="127"/>
      <c r="X89" s="128"/>
      <c r="Y89" s="128"/>
      <c r="Z89" s="128"/>
      <c r="AA89" s="128"/>
      <c r="AB89" s="128"/>
      <c r="AC89" s="128"/>
      <c r="AD89" s="128"/>
      <c r="AE89" s="128"/>
      <c r="AF89" s="128"/>
      <c r="AG89" s="128"/>
      <c r="AH89" s="128"/>
      <c r="AI89" s="128"/>
      <c r="AJ89" s="128"/>
      <c r="AK89" s="128"/>
      <c r="AL89" s="128"/>
    </row>
    <row r="90" spans="1:38" s="90" customFormat="1" ht="25.5" customHeight="1">
      <c r="A90" s="95"/>
      <c r="B90" s="135" t="s">
        <v>533</v>
      </c>
      <c r="C90" s="142" t="s">
        <v>87</v>
      </c>
      <c r="D90" s="143" t="s">
        <v>88</v>
      </c>
      <c r="E90" s="114"/>
      <c r="F90" s="139" t="s">
        <v>574</v>
      </c>
      <c r="G90" s="142" t="s">
        <v>562</v>
      </c>
      <c r="H90" s="335" t="s">
        <v>552</v>
      </c>
      <c r="I90" s="142"/>
      <c r="J90" s="129">
        <v>200</v>
      </c>
      <c r="K90" s="118">
        <f>+SUMIF('Nhập kho  입'!A:A,C90,'Nhập kho  입'!E:E)</f>
        <v>0</v>
      </c>
      <c r="L90" s="119">
        <f>+SUMIF(' Xuất kho 출'!A:A,C90,' Xuất kho 출'!E:E)</f>
        <v>0</v>
      </c>
      <c r="M90" s="120"/>
      <c r="N90" s="130"/>
      <c r="O90" s="122">
        <v>0</v>
      </c>
      <c r="P90" s="118"/>
      <c r="Q90" s="131">
        <f t="shared" si="3"/>
        <v>200</v>
      </c>
      <c r="R90" s="124">
        <v>200</v>
      </c>
      <c r="S90" s="134"/>
      <c r="T90" s="125">
        <f t="shared" si="2"/>
        <v>0</v>
      </c>
      <c r="U90" s="126"/>
      <c r="V90" s="132"/>
      <c r="W90" s="127"/>
      <c r="X90" s="128"/>
      <c r="Y90" s="128"/>
      <c r="Z90" s="128"/>
      <c r="AA90" s="128"/>
      <c r="AB90" s="128"/>
      <c r="AC90" s="128"/>
      <c r="AD90" s="128"/>
      <c r="AE90" s="128"/>
      <c r="AF90" s="128"/>
      <c r="AG90" s="128"/>
      <c r="AH90" s="128"/>
      <c r="AI90" s="128"/>
      <c r="AJ90" s="128"/>
      <c r="AK90" s="128"/>
      <c r="AL90" s="128"/>
    </row>
    <row r="91" spans="1:38" s="90" customFormat="1" ht="25.5" customHeight="1">
      <c r="A91" s="95"/>
      <c r="B91" s="135" t="s">
        <v>533</v>
      </c>
      <c r="C91" s="142" t="s">
        <v>1138</v>
      </c>
      <c r="D91" s="143" t="s">
        <v>837</v>
      </c>
      <c r="E91" s="114" t="s">
        <v>585</v>
      </c>
      <c r="F91" s="142" t="s">
        <v>589</v>
      </c>
      <c r="G91" s="142" t="s">
        <v>590</v>
      </c>
      <c r="H91" s="335" t="s">
        <v>552</v>
      </c>
      <c r="I91" s="142"/>
      <c r="J91" s="129">
        <v>4050</v>
      </c>
      <c r="K91" s="118">
        <f>+SUMIF('Nhập kho  입'!A:A,C91,'Nhập kho  입'!E:E)</f>
        <v>5100</v>
      </c>
      <c r="L91" s="119">
        <f>+SUMIF(' Xuất kho 출'!A:A,C91,' Xuất kho 출'!E:E)</f>
        <v>7000</v>
      </c>
      <c r="M91" s="120"/>
      <c r="N91" s="130"/>
      <c r="O91" s="144">
        <v>0</v>
      </c>
      <c r="P91" s="145"/>
      <c r="Q91" s="131">
        <f t="shared" si="3"/>
        <v>2150</v>
      </c>
      <c r="R91" s="124">
        <f>22*25+52*25+90*25</f>
        <v>4100</v>
      </c>
      <c r="S91" s="124"/>
      <c r="T91" s="125">
        <f t="shared" si="2"/>
        <v>1950</v>
      </c>
      <c r="U91" s="126"/>
      <c r="V91" s="132"/>
      <c r="W91" s="127"/>
      <c r="X91" s="128"/>
      <c r="Y91" s="128"/>
      <c r="Z91" s="128"/>
      <c r="AA91" s="128"/>
      <c r="AB91" s="128"/>
      <c r="AC91" s="128"/>
      <c r="AD91" s="128"/>
      <c r="AE91" s="128"/>
      <c r="AF91" s="128"/>
      <c r="AG91" s="128"/>
      <c r="AH91" s="128"/>
      <c r="AI91" s="128"/>
      <c r="AJ91" s="128"/>
      <c r="AK91" s="128"/>
      <c r="AL91" s="128"/>
    </row>
    <row r="92" spans="1:38" s="90" customFormat="1" ht="25.5" customHeight="1">
      <c r="A92" s="95"/>
      <c r="B92" s="146" t="s">
        <v>533</v>
      </c>
      <c r="C92" s="136" t="s">
        <v>360</v>
      </c>
      <c r="D92" s="137" t="s">
        <v>361</v>
      </c>
      <c r="E92" s="114" t="s">
        <v>591</v>
      </c>
      <c r="F92" s="136"/>
      <c r="G92" s="136" t="s">
        <v>562</v>
      </c>
      <c r="H92" s="335" t="s">
        <v>546</v>
      </c>
      <c r="I92" s="136"/>
      <c r="J92" s="129">
        <v>350</v>
      </c>
      <c r="K92" s="118">
        <f>+SUMIF('Nhập kho  입'!A:A,C92,'Nhập kho  입'!E:E)</f>
        <v>0</v>
      </c>
      <c r="L92" s="119">
        <f>+SUMIF(' Xuất kho 출'!A:A,C92,' Xuất kho 출'!E:E)</f>
        <v>0</v>
      </c>
      <c r="M92" s="120"/>
      <c r="N92" s="130"/>
      <c r="O92" s="144">
        <v>0</v>
      </c>
      <c r="P92" s="145"/>
      <c r="Q92" s="131">
        <f t="shared" si="3"/>
        <v>350</v>
      </c>
      <c r="R92" s="124">
        <f>100+250</f>
        <v>350</v>
      </c>
      <c r="S92" s="134"/>
      <c r="T92" s="125">
        <f t="shared" si="2"/>
        <v>0</v>
      </c>
      <c r="U92" s="126"/>
      <c r="V92" s="132"/>
      <c r="W92" s="127"/>
      <c r="X92" s="128"/>
      <c r="Y92" s="128"/>
      <c r="Z92" s="128"/>
      <c r="AA92" s="128"/>
      <c r="AB92" s="128"/>
      <c r="AC92" s="128"/>
      <c r="AD92" s="128"/>
      <c r="AE92" s="128"/>
      <c r="AF92" s="128"/>
      <c r="AG92" s="128"/>
      <c r="AH92" s="128"/>
      <c r="AI92" s="128"/>
      <c r="AJ92" s="128"/>
      <c r="AK92" s="128"/>
      <c r="AL92" s="128"/>
    </row>
    <row r="93" spans="1:38" s="90" customFormat="1" ht="25.5" customHeight="1">
      <c r="A93" s="95"/>
      <c r="B93" s="146" t="s">
        <v>533</v>
      </c>
      <c r="C93" s="136" t="s">
        <v>1181</v>
      </c>
      <c r="D93" s="137" t="s">
        <v>349</v>
      </c>
      <c r="E93" s="114" t="s">
        <v>561</v>
      </c>
      <c r="F93" s="136">
        <v>125150</v>
      </c>
      <c r="G93" s="136" t="s">
        <v>562</v>
      </c>
      <c r="H93" s="335" t="s">
        <v>552</v>
      </c>
      <c r="I93" s="136"/>
      <c r="J93" s="129">
        <v>1400</v>
      </c>
      <c r="K93" s="118">
        <f>+SUMIF('Nhập kho  입'!A:A,C93,'Nhập kho  입'!E:E)</f>
        <v>7850</v>
      </c>
      <c r="L93" s="119">
        <f>+SUMIF(' Xuất kho 출'!A:A,C93,' Xuất kho 출'!E:E)</f>
        <v>6000</v>
      </c>
      <c r="M93" s="120"/>
      <c r="N93" s="130"/>
      <c r="O93" s="144">
        <v>0</v>
      </c>
      <c r="P93" s="145"/>
      <c r="Q93" s="131">
        <f t="shared" si="3"/>
        <v>3250</v>
      </c>
      <c r="R93" s="124">
        <f>8*50+50+19*50</f>
        <v>1400</v>
      </c>
      <c r="S93" s="134"/>
      <c r="T93" s="125">
        <f t="shared" si="2"/>
        <v>-1850</v>
      </c>
      <c r="U93" s="126"/>
      <c r="V93" s="132"/>
      <c r="W93" s="127"/>
      <c r="X93" s="128"/>
      <c r="Y93" s="128"/>
      <c r="Z93" s="128"/>
      <c r="AA93" s="128"/>
      <c r="AB93" s="128"/>
      <c r="AC93" s="128"/>
      <c r="AD93" s="128"/>
      <c r="AE93" s="128"/>
      <c r="AF93" s="128"/>
      <c r="AG93" s="128"/>
      <c r="AH93" s="128"/>
      <c r="AI93" s="128"/>
      <c r="AJ93" s="128"/>
      <c r="AK93" s="128"/>
      <c r="AL93" s="128"/>
    </row>
    <row r="94" spans="1:38" s="90" customFormat="1" ht="25.5" customHeight="1" collapsed="1">
      <c r="A94" s="95"/>
      <c r="B94" s="146" t="s">
        <v>533</v>
      </c>
      <c r="C94" s="136" t="s">
        <v>336</v>
      </c>
      <c r="D94" s="137" t="s">
        <v>337</v>
      </c>
      <c r="E94" s="114" t="s">
        <v>585</v>
      </c>
      <c r="F94" s="142">
        <v>125150</v>
      </c>
      <c r="G94" s="136" t="s">
        <v>592</v>
      </c>
      <c r="H94" s="335" t="s">
        <v>552</v>
      </c>
      <c r="I94" s="136"/>
      <c r="J94" s="129">
        <v>425</v>
      </c>
      <c r="K94" s="118">
        <f>+SUMIF('Nhập kho  입'!A:A,C94,'Nhập kho  입'!E:E)</f>
        <v>0</v>
      </c>
      <c r="L94" s="119">
        <f>+SUMIF(' Xuất kho 출'!A:A,C94,' Xuất kho 출'!E:E)</f>
        <v>0</v>
      </c>
      <c r="M94" s="120"/>
      <c r="N94" s="130"/>
      <c r="O94" s="144">
        <v>0</v>
      </c>
      <c r="P94" s="145"/>
      <c r="Q94" s="131">
        <f t="shared" si="3"/>
        <v>425</v>
      </c>
      <c r="R94" s="124">
        <f>17*25</f>
        <v>425</v>
      </c>
      <c r="S94" s="124"/>
      <c r="T94" s="125">
        <f t="shared" si="2"/>
        <v>0</v>
      </c>
      <c r="U94" s="126"/>
      <c r="V94" s="132"/>
      <c r="W94" s="127"/>
      <c r="X94" s="128"/>
      <c r="Y94" s="128"/>
      <c r="Z94" s="128"/>
      <c r="AA94" s="128"/>
      <c r="AB94" s="128"/>
      <c r="AC94" s="128"/>
      <c r="AD94" s="128"/>
      <c r="AE94" s="128"/>
      <c r="AF94" s="128"/>
      <c r="AG94" s="128"/>
      <c r="AH94" s="128"/>
      <c r="AI94" s="128"/>
      <c r="AJ94" s="128"/>
      <c r="AK94" s="128"/>
      <c r="AL94" s="128"/>
    </row>
    <row r="95" spans="1:38" s="90" customFormat="1" ht="25.5" customHeight="1">
      <c r="A95" s="95"/>
      <c r="B95" s="146" t="s">
        <v>533</v>
      </c>
      <c r="C95" s="136" t="s">
        <v>1343</v>
      </c>
      <c r="D95" s="137" t="s">
        <v>191</v>
      </c>
      <c r="E95" s="114" t="s">
        <v>561</v>
      </c>
      <c r="F95" s="141">
        <v>125150</v>
      </c>
      <c r="G95" s="139" t="s">
        <v>562</v>
      </c>
      <c r="H95" s="335" t="s">
        <v>552</v>
      </c>
      <c r="I95" s="147"/>
      <c r="J95" s="129">
        <v>50</v>
      </c>
      <c r="K95" s="118">
        <f>+SUMIF('Nhập kho  입'!A:A,C95,'Nhập kho  입'!E:E)</f>
        <v>4350</v>
      </c>
      <c r="L95" s="119">
        <f>+SUMIF(' Xuất kho 출'!A:A,C95,' Xuất kho 출'!E:E)</f>
        <v>3000</v>
      </c>
      <c r="M95" s="120"/>
      <c r="N95" s="130"/>
      <c r="O95" s="148"/>
      <c r="P95" s="149"/>
      <c r="Q95" s="131">
        <f t="shared" si="3"/>
        <v>1400</v>
      </c>
      <c r="R95" s="124">
        <v>50</v>
      </c>
      <c r="S95" s="134"/>
      <c r="T95" s="125">
        <f t="shared" si="2"/>
        <v>-1350</v>
      </c>
      <c r="U95" s="126"/>
      <c r="V95" s="132"/>
      <c r="W95" s="127"/>
      <c r="X95" s="128"/>
      <c r="Y95" s="128"/>
      <c r="Z95" s="128"/>
      <c r="AA95" s="128"/>
      <c r="AB95" s="128"/>
      <c r="AC95" s="128"/>
      <c r="AD95" s="128"/>
      <c r="AE95" s="128"/>
      <c r="AF95" s="128"/>
      <c r="AG95" s="128"/>
      <c r="AH95" s="128"/>
      <c r="AI95" s="128"/>
      <c r="AJ95" s="128"/>
      <c r="AK95" s="128"/>
      <c r="AL95" s="128"/>
    </row>
    <row r="96" spans="1:38" s="90" customFormat="1" ht="25.5" hidden="1" customHeight="1">
      <c r="A96" s="95"/>
      <c r="B96" s="146" t="s">
        <v>533</v>
      </c>
      <c r="C96" s="136" t="s">
        <v>175</v>
      </c>
      <c r="D96" s="137" t="s">
        <v>176</v>
      </c>
      <c r="E96" s="114"/>
      <c r="F96" s="141" t="s">
        <v>540</v>
      </c>
      <c r="G96" s="139" t="s">
        <v>562</v>
      </c>
      <c r="H96" s="335" t="s">
        <v>552</v>
      </c>
      <c r="I96" s="147"/>
      <c r="J96" s="129">
        <v>0</v>
      </c>
      <c r="K96" s="118">
        <f>+SUMIF('Nhập kho  입'!A:A,C96,'Nhập kho  입'!E:E)</f>
        <v>0</v>
      </c>
      <c r="L96" s="119">
        <f>+SUMIF(' Xuất kho 출'!A:A,C96,' Xuất kho 출'!E:E)</f>
        <v>0</v>
      </c>
      <c r="M96" s="120"/>
      <c r="N96" s="130"/>
      <c r="O96" s="148"/>
      <c r="P96" s="149"/>
      <c r="Q96" s="131">
        <f t="shared" si="3"/>
        <v>0</v>
      </c>
      <c r="R96" s="124"/>
      <c r="S96" s="134"/>
      <c r="T96" s="125">
        <f t="shared" si="2"/>
        <v>0</v>
      </c>
      <c r="U96" s="126"/>
      <c r="V96" s="132"/>
      <c r="W96" s="127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I96" s="128"/>
      <c r="AJ96" s="128"/>
      <c r="AK96" s="128"/>
      <c r="AL96" s="128"/>
    </row>
    <row r="97" spans="1:38" s="90" customFormat="1" ht="25.5" customHeight="1">
      <c r="A97" s="95"/>
      <c r="B97" s="146" t="s">
        <v>533</v>
      </c>
      <c r="C97" s="136" t="s">
        <v>407</v>
      </c>
      <c r="D97" s="137" t="s">
        <v>408</v>
      </c>
      <c r="E97" s="114" t="s">
        <v>542</v>
      </c>
      <c r="F97" s="139"/>
      <c r="G97" s="142" t="s">
        <v>562</v>
      </c>
      <c r="H97" s="335" t="s">
        <v>552</v>
      </c>
      <c r="I97" s="147"/>
      <c r="J97" s="129">
        <v>2400</v>
      </c>
      <c r="K97" s="118">
        <f>+SUMIF('Nhập kho  입'!A:A,C97,'Nhập kho  입'!E:E)</f>
        <v>300</v>
      </c>
      <c r="L97" s="119">
        <f>+SUMIF(' Xuất kho 출'!A:A,C97,' Xuất kho 출'!E:E)</f>
        <v>0</v>
      </c>
      <c r="M97" s="120"/>
      <c r="N97" s="130"/>
      <c r="O97" s="148"/>
      <c r="P97" s="149"/>
      <c r="Q97" s="131">
        <f t="shared" si="3"/>
        <v>2700</v>
      </c>
      <c r="R97" s="124">
        <f>48*50</f>
        <v>2400</v>
      </c>
      <c r="S97" s="124"/>
      <c r="T97" s="125">
        <f t="shared" si="2"/>
        <v>-300</v>
      </c>
      <c r="U97" s="126"/>
      <c r="V97" s="132"/>
      <c r="W97" s="127"/>
      <c r="X97" s="128"/>
      <c r="Y97" s="128"/>
      <c r="Z97" s="128"/>
      <c r="AA97" s="128"/>
      <c r="AB97" s="128"/>
      <c r="AC97" s="128"/>
      <c r="AD97" s="128"/>
      <c r="AE97" s="128"/>
      <c r="AF97" s="128"/>
      <c r="AG97" s="128"/>
      <c r="AH97" s="128"/>
      <c r="AI97" s="128"/>
      <c r="AJ97" s="128"/>
      <c r="AK97" s="128"/>
      <c r="AL97" s="128"/>
    </row>
    <row r="98" spans="1:38" s="90" customFormat="1" ht="25.5" customHeight="1">
      <c r="A98" s="95"/>
      <c r="B98" s="146" t="s">
        <v>533</v>
      </c>
      <c r="C98" s="136" t="s">
        <v>425</v>
      </c>
      <c r="D98" s="137" t="s">
        <v>426</v>
      </c>
      <c r="E98" s="114" t="s">
        <v>576</v>
      </c>
      <c r="F98" s="142"/>
      <c r="G98" s="136" t="s">
        <v>562</v>
      </c>
      <c r="H98" s="335" t="s">
        <v>552</v>
      </c>
      <c r="I98" s="147"/>
      <c r="J98" s="129">
        <v>600</v>
      </c>
      <c r="K98" s="118">
        <f>+SUMIF('Nhập kho  입'!A:A,C98,'Nhập kho  입'!E:E)</f>
        <v>0</v>
      </c>
      <c r="L98" s="119">
        <f>+SUMIF(' Xuất kho 출'!A:A,C98,' Xuất kho 출'!E:E)</f>
        <v>0</v>
      </c>
      <c r="M98" s="120"/>
      <c r="N98" s="130"/>
      <c r="O98" s="148"/>
      <c r="P98" s="149"/>
      <c r="Q98" s="131">
        <f t="shared" si="3"/>
        <v>600</v>
      </c>
      <c r="R98" s="124">
        <f>12*50</f>
        <v>600</v>
      </c>
      <c r="S98" s="124"/>
      <c r="T98" s="125">
        <f t="shared" si="2"/>
        <v>0</v>
      </c>
      <c r="U98" s="126"/>
      <c r="V98" s="132"/>
      <c r="W98" s="127"/>
      <c r="X98" s="128"/>
      <c r="Y98" s="128"/>
      <c r="Z98" s="128"/>
      <c r="AA98" s="128"/>
      <c r="AB98" s="128"/>
      <c r="AC98" s="128"/>
      <c r="AD98" s="128"/>
      <c r="AE98" s="128"/>
      <c r="AF98" s="128"/>
      <c r="AG98" s="128"/>
      <c r="AH98" s="128"/>
      <c r="AI98" s="128"/>
      <c r="AJ98" s="128"/>
      <c r="AK98" s="128"/>
      <c r="AL98" s="128"/>
    </row>
    <row r="99" spans="1:38" s="90" customFormat="1" ht="25.5" customHeight="1">
      <c r="A99" s="95"/>
      <c r="B99" s="146" t="s">
        <v>533</v>
      </c>
      <c r="C99" s="136" t="s">
        <v>866</v>
      </c>
      <c r="D99" s="137" t="s">
        <v>868</v>
      </c>
      <c r="E99" s="114" t="s">
        <v>585</v>
      </c>
      <c r="F99" s="142" t="s">
        <v>537</v>
      </c>
      <c r="G99" s="142" t="s">
        <v>562</v>
      </c>
      <c r="H99" s="335" t="s">
        <v>552</v>
      </c>
      <c r="I99" s="147"/>
      <c r="J99" s="129">
        <v>50</v>
      </c>
      <c r="K99" s="118">
        <f>+SUMIF('Nhập kho  입'!A:A,C99,'Nhập kho  입'!E:E)</f>
        <v>0</v>
      </c>
      <c r="L99" s="119">
        <f>+SUMIF(' Xuất kho 출'!A:A,C99,' Xuất kho 출'!E:E)</f>
        <v>0</v>
      </c>
      <c r="M99" s="120"/>
      <c r="N99" s="130"/>
      <c r="O99" s="148"/>
      <c r="P99" s="149"/>
      <c r="Q99" s="131">
        <f t="shared" si="3"/>
        <v>50</v>
      </c>
      <c r="R99" s="124">
        <v>100</v>
      </c>
      <c r="S99" s="134"/>
      <c r="T99" s="125">
        <f t="shared" si="2"/>
        <v>50</v>
      </c>
      <c r="U99" s="126"/>
      <c r="V99" s="132"/>
      <c r="W99" s="127"/>
      <c r="X99" s="128"/>
      <c r="Y99" s="128"/>
      <c r="Z99" s="128"/>
      <c r="AA99" s="128"/>
      <c r="AB99" s="128"/>
      <c r="AC99" s="128"/>
      <c r="AD99" s="128"/>
      <c r="AE99" s="128"/>
      <c r="AF99" s="128"/>
      <c r="AG99" s="128"/>
      <c r="AH99" s="128"/>
      <c r="AI99" s="128"/>
      <c r="AJ99" s="128"/>
      <c r="AK99" s="128"/>
      <c r="AL99" s="128"/>
    </row>
    <row r="100" spans="1:38" s="90" customFormat="1" ht="25.5" customHeight="1">
      <c r="A100" s="95"/>
      <c r="B100" s="146" t="s">
        <v>533</v>
      </c>
      <c r="C100" s="136" t="s">
        <v>247</v>
      </c>
      <c r="D100" s="137" t="s">
        <v>248</v>
      </c>
      <c r="E100" s="114" t="s">
        <v>591</v>
      </c>
      <c r="F100" s="142">
        <v>125140</v>
      </c>
      <c r="G100" s="139" t="s">
        <v>562</v>
      </c>
      <c r="H100" s="335" t="s">
        <v>552</v>
      </c>
      <c r="I100" s="147"/>
      <c r="J100" s="129">
        <v>3400</v>
      </c>
      <c r="K100" s="118">
        <f>+SUMIF('Nhập kho  입'!A:A,C100,'Nhập kho  입'!E:E)</f>
        <v>0</v>
      </c>
      <c r="L100" s="119">
        <f>+SUMIF(' Xuất kho 출'!A:A,C100,' Xuất kho 출'!E:E)</f>
        <v>0</v>
      </c>
      <c r="M100" s="120"/>
      <c r="N100" s="130"/>
      <c r="O100" s="148"/>
      <c r="P100" s="149"/>
      <c r="Q100" s="131">
        <f t="shared" si="3"/>
        <v>3400</v>
      </c>
      <c r="R100" s="124">
        <f>17*50+51*50</f>
        <v>3400</v>
      </c>
      <c r="S100" s="124"/>
      <c r="T100" s="125">
        <f t="shared" si="2"/>
        <v>0</v>
      </c>
      <c r="U100" s="126"/>
      <c r="V100" s="132"/>
      <c r="W100" s="127"/>
      <c r="X100" s="128"/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128"/>
      <c r="AI100" s="128"/>
      <c r="AJ100" s="128"/>
      <c r="AK100" s="128"/>
      <c r="AL100" s="128"/>
    </row>
    <row r="101" spans="1:38" s="90" customFormat="1" ht="25.5" customHeight="1">
      <c r="A101" s="95"/>
      <c r="B101" s="146" t="s">
        <v>533</v>
      </c>
      <c r="C101" s="136" t="s">
        <v>1135</v>
      </c>
      <c r="D101" s="137" t="s">
        <v>323</v>
      </c>
      <c r="E101" s="114" t="s">
        <v>591</v>
      </c>
      <c r="F101" s="142"/>
      <c r="G101" s="139" t="s">
        <v>562</v>
      </c>
      <c r="H101" s="335" t="s">
        <v>552</v>
      </c>
      <c r="I101" s="147"/>
      <c r="J101" s="129">
        <v>1250</v>
      </c>
      <c r="K101" s="118">
        <f>+SUMIF('Nhập kho  입'!A:A,C101,'Nhập kho  입'!E:E)</f>
        <v>19550</v>
      </c>
      <c r="L101" s="119">
        <f>+SUMIF(' Xuất kho 출'!A:A,C101,' Xuất kho 출'!E:E)</f>
        <v>14400</v>
      </c>
      <c r="M101" s="120"/>
      <c r="N101" s="130"/>
      <c r="O101" s="148"/>
      <c r="P101" s="149"/>
      <c r="Q101" s="131">
        <f t="shared" si="3"/>
        <v>6400</v>
      </c>
      <c r="R101" s="124">
        <f>25*50</f>
        <v>1250</v>
      </c>
      <c r="S101" s="124"/>
      <c r="T101" s="125">
        <f t="shared" si="2"/>
        <v>-5150</v>
      </c>
      <c r="U101" s="126"/>
      <c r="V101" s="132"/>
      <c r="W101" s="127"/>
      <c r="X101" s="128"/>
      <c r="Y101" s="128"/>
      <c r="Z101" s="128"/>
      <c r="AA101" s="128"/>
      <c r="AB101" s="128"/>
      <c r="AC101" s="128"/>
      <c r="AD101" s="128"/>
      <c r="AE101" s="128"/>
      <c r="AF101" s="128"/>
      <c r="AG101" s="128"/>
      <c r="AH101" s="128"/>
      <c r="AI101" s="128"/>
      <c r="AJ101" s="128"/>
      <c r="AK101" s="128"/>
      <c r="AL101" s="128"/>
    </row>
    <row r="102" spans="1:38" s="90" customFormat="1" ht="25.5" customHeight="1">
      <c r="A102" s="95"/>
      <c r="B102" s="146" t="s">
        <v>533</v>
      </c>
      <c r="C102" s="136" t="s">
        <v>216</v>
      </c>
      <c r="D102" s="137" t="s">
        <v>217</v>
      </c>
      <c r="E102" s="114" t="s">
        <v>576</v>
      </c>
      <c r="F102" s="142">
        <v>125140</v>
      </c>
      <c r="G102" s="139" t="s">
        <v>562</v>
      </c>
      <c r="H102" s="335" t="s">
        <v>552</v>
      </c>
      <c r="I102" s="147"/>
      <c r="J102" s="129">
        <v>350</v>
      </c>
      <c r="K102" s="118">
        <f>+SUMIF('Nhập kho  입'!A:A,C102,'Nhập kho  입'!E:E)</f>
        <v>0</v>
      </c>
      <c r="L102" s="119">
        <f>+SUMIF(' Xuất kho 출'!A:A,C102,' Xuất kho 출'!E:E)</f>
        <v>0</v>
      </c>
      <c r="M102" s="120"/>
      <c r="N102" s="130"/>
      <c r="O102" s="148"/>
      <c r="P102" s="149"/>
      <c r="Q102" s="131">
        <f t="shared" si="3"/>
        <v>350</v>
      </c>
      <c r="R102" s="124">
        <v>350</v>
      </c>
      <c r="S102" s="134"/>
      <c r="T102" s="125">
        <f t="shared" si="2"/>
        <v>0</v>
      </c>
      <c r="U102" s="126"/>
      <c r="V102" s="132"/>
      <c r="W102" s="127"/>
      <c r="X102" s="128"/>
      <c r="Y102" s="128"/>
      <c r="Z102" s="128"/>
      <c r="AA102" s="128"/>
      <c r="AB102" s="128"/>
      <c r="AC102" s="128"/>
      <c r="AD102" s="128"/>
      <c r="AE102" s="128"/>
      <c r="AF102" s="128"/>
      <c r="AG102" s="128"/>
      <c r="AH102" s="128"/>
      <c r="AI102" s="128"/>
      <c r="AJ102" s="128"/>
      <c r="AK102" s="128"/>
      <c r="AL102" s="128"/>
    </row>
    <row r="103" spans="1:38" s="90" customFormat="1" ht="25.5" customHeight="1" collapsed="1">
      <c r="A103" s="95"/>
      <c r="B103" s="146" t="s">
        <v>533</v>
      </c>
      <c r="C103" s="136" t="s">
        <v>776</v>
      </c>
      <c r="D103" s="137" t="s">
        <v>774</v>
      </c>
      <c r="E103" s="114" t="s">
        <v>593</v>
      </c>
      <c r="F103" s="142"/>
      <c r="G103" s="139" t="s">
        <v>562</v>
      </c>
      <c r="H103" s="335" t="s">
        <v>552</v>
      </c>
      <c r="I103" s="147"/>
      <c r="J103" s="129">
        <v>400</v>
      </c>
      <c r="K103" s="118">
        <f>+SUMIF('Nhập kho  입'!A:A,C103,'Nhập kho  입'!E:E)</f>
        <v>0</v>
      </c>
      <c r="L103" s="119">
        <f>+SUMIF(' Xuất kho 출'!A:A,C103,' Xuất kho 출'!E:E)</f>
        <v>0</v>
      </c>
      <c r="M103" s="120"/>
      <c r="N103" s="130"/>
      <c r="O103" s="148"/>
      <c r="P103" s="149"/>
      <c r="Q103" s="131">
        <f t="shared" si="3"/>
        <v>400</v>
      </c>
      <c r="R103" s="124">
        <v>400</v>
      </c>
      <c r="S103" s="124"/>
      <c r="T103" s="125">
        <f t="shared" si="2"/>
        <v>0</v>
      </c>
      <c r="U103" s="126"/>
      <c r="V103" s="132"/>
      <c r="W103" s="127"/>
      <c r="X103" s="128"/>
      <c r="Y103" s="128"/>
      <c r="Z103" s="128"/>
      <c r="AA103" s="128"/>
      <c r="AB103" s="128"/>
      <c r="AC103" s="128"/>
      <c r="AD103" s="128"/>
      <c r="AE103" s="128"/>
      <c r="AF103" s="128"/>
      <c r="AG103" s="128"/>
      <c r="AH103" s="128"/>
      <c r="AI103" s="128"/>
      <c r="AJ103" s="128"/>
      <c r="AK103" s="128"/>
      <c r="AL103" s="128"/>
    </row>
    <row r="104" spans="1:38" s="90" customFormat="1" ht="25.5" customHeight="1">
      <c r="A104" s="95"/>
      <c r="B104" s="146" t="s">
        <v>533</v>
      </c>
      <c r="C104" s="136" t="s">
        <v>367</v>
      </c>
      <c r="D104" s="137" t="s">
        <v>368</v>
      </c>
      <c r="E104" s="114"/>
      <c r="F104" s="142"/>
      <c r="G104" s="142" t="s">
        <v>562</v>
      </c>
      <c r="H104" s="335" t="s">
        <v>552</v>
      </c>
      <c r="I104" s="147"/>
      <c r="J104" s="129">
        <v>200</v>
      </c>
      <c r="K104" s="118">
        <f>+SUMIF('Nhập kho  입'!A:A,C104,'Nhập kho  입'!E:E)</f>
        <v>0</v>
      </c>
      <c r="L104" s="119">
        <f>+SUMIF(' Xuất kho 출'!A:A,C104,' Xuất kho 출'!E:E)</f>
        <v>0</v>
      </c>
      <c r="M104" s="120"/>
      <c r="N104" s="130"/>
      <c r="O104" s="148"/>
      <c r="P104" s="149"/>
      <c r="Q104" s="131">
        <f t="shared" si="3"/>
        <v>200</v>
      </c>
      <c r="R104" s="124">
        <v>200</v>
      </c>
      <c r="S104" s="124"/>
      <c r="T104" s="125">
        <f t="shared" si="2"/>
        <v>0</v>
      </c>
      <c r="U104" s="126"/>
      <c r="V104" s="132"/>
      <c r="W104" s="127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28"/>
      <c r="AH104" s="128"/>
      <c r="AI104" s="128"/>
      <c r="AJ104" s="128"/>
      <c r="AK104" s="128"/>
      <c r="AL104" s="128"/>
    </row>
    <row r="105" spans="1:38" s="90" customFormat="1" ht="25.5" customHeight="1">
      <c r="A105" s="95"/>
      <c r="B105" s="146" t="s">
        <v>533</v>
      </c>
      <c r="C105" s="136" t="s">
        <v>369</v>
      </c>
      <c r="D105" s="137" t="s">
        <v>368</v>
      </c>
      <c r="E105" s="114" t="s">
        <v>594</v>
      </c>
      <c r="F105" s="139"/>
      <c r="G105" s="142" t="s">
        <v>562</v>
      </c>
      <c r="H105" s="335" t="s">
        <v>552</v>
      </c>
      <c r="I105" s="147"/>
      <c r="J105" s="129">
        <v>1450</v>
      </c>
      <c r="K105" s="118">
        <f>+SUMIF('Nhập kho  입'!A:A,C105,'Nhập kho  입'!E:E)</f>
        <v>0</v>
      </c>
      <c r="L105" s="119">
        <f>+SUMIF(' Xuất kho 출'!A:A,C105,' Xuất kho 출'!E:E)</f>
        <v>0</v>
      </c>
      <c r="M105" s="120"/>
      <c r="N105" s="130"/>
      <c r="O105" s="148"/>
      <c r="P105" s="149"/>
      <c r="Q105" s="131">
        <f t="shared" si="3"/>
        <v>1450</v>
      </c>
      <c r="R105" s="124">
        <f>29*50</f>
        <v>1450</v>
      </c>
      <c r="S105" s="134"/>
      <c r="T105" s="125">
        <f t="shared" si="2"/>
        <v>0</v>
      </c>
      <c r="U105" s="126"/>
      <c r="V105" s="132"/>
      <c r="W105" s="127"/>
      <c r="X105" s="128"/>
      <c r="Y105" s="128"/>
      <c r="Z105" s="128"/>
      <c r="AA105" s="128"/>
      <c r="AB105" s="128"/>
      <c r="AC105" s="128"/>
      <c r="AD105" s="128"/>
      <c r="AE105" s="128"/>
      <c r="AF105" s="128"/>
      <c r="AG105" s="128"/>
      <c r="AH105" s="128"/>
      <c r="AI105" s="128"/>
      <c r="AJ105" s="128"/>
      <c r="AK105" s="128"/>
      <c r="AL105" s="128"/>
    </row>
    <row r="106" spans="1:38" s="90" customFormat="1" ht="25.5" hidden="1" customHeight="1">
      <c r="A106" s="95"/>
      <c r="B106" s="146" t="s">
        <v>533</v>
      </c>
      <c r="C106" s="136" t="s">
        <v>477</v>
      </c>
      <c r="D106" s="137" t="s">
        <v>478</v>
      </c>
      <c r="E106" s="114" t="s">
        <v>595</v>
      </c>
      <c r="F106" s="141"/>
      <c r="G106" s="142" t="s">
        <v>562</v>
      </c>
      <c r="H106" s="335" t="s">
        <v>552</v>
      </c>
      <c r="I106" s="147"/>
      <c r="J106" s="129">
        <v>0</v>
      </c>
      <c r="K106" s="118">
        <f>+SUMIF('Nhập kho  입'!A:A,C106,'Nhập kho  입'!E:E)</f>
        <v>0</v>
      </c>
      <c r="L106" s="119">
        <f>+SUMIF(' Xuất kho 출'!A:A,C106,' Xuất kho 출'!E:E)</f>
        <v>0</v>
      </c>
      <c r="M106" s="120"/>
      <c r="N106" s="130"/>
      <c r="O106" s="148"/>
      <c r="P106" s="149"/>
      <c r="Q106" s="131">
        <f t="shared" si="3"/>
        <v>0</v>
      </c>
      <c r="R106" s="124"/>
      <c r="S106" s="124"/>
      <c r="T106" s="125">
        <f t="shared" si="2"/>
        <v>0</v>
      </c>
      <c r="U106" s="126"/>
      <c r="V106" s="132"/>
      <c r="W106" s="127"/>
      <c r="X106" s="128"/>
      <c r="Y106" s="128"/>
      <c r="Z106" s="128"/>
      <c r="AA106" s="128"/>
      <c r="AB106" s="128"/>
      <c r="AC106" s="128"/>
      <c r="AD106" s="128"/>
      <c r="AE106" s="128"/>
      <c r="AF106" s="128"/>
      <c r="AG106" s="128"/>
      <c r="AH106" s="128"/>
      <c r="AI106" s="128"/>
      <c r="AJ106" s="128"/>
      <c r="AK106" s="128"/>
      <c r="AL106" s="128"/>
    </row>
    <row r="107" spans="1:38" s="90" customFormat="1" ht="25.5" hidden="1" customHeight="1" collapsed="1">
      <c r="A107" s="95"/>
      <c r="B107" s="146" t="s">
        <v>533</v>
      </c>
      <c r="C107" s="136" t="s">
        <v>420</v>
      </c>
      <c r="D107" s="137" t="s">
        <v>421</v>
      </c>
      <c r="E107" s="114"/>
      <c r="F107" s="142"/>
      <c r="G107" s="139" t="s">
        <v>562</v>
      </c>
      <c r="H107" s="335" t="s">
        <v>552</v>
      </c>
      <c r="I107" s="147"/>
      <c r="J107" s="129">
        <v>0</v>
      </c>
      <c r="K107" s="118">
        <f>+SUMIF('Nhập kho  입'!A:A,C107,'Nhập kho  입'!E:E)</f>
        <v>0</v>
      </c>
      <c r="L107" s="119">
        <f>+SUMIF(' Xuất kho 출'!A:A,C107,' Xuất kho 출'!E:E)</f>
        <v>0</v>
      </c>
      <c r="M107" s="120"/>
      <c r="N107" s="130"/>
      <c r="O107" s="148"/>
      <c r="P107" s="149"/>
      <c r="Q107" s="131">
        <f t="shared" si="3"/>
        <v>0</v>
      </c>
      <c r="R107" s="124">
        <v>100</v>
      </c>
      <c r="S107" s="124"/>
      <c r="T107" s="125">
        <f t="shared" si="2"/>
        <v>100</v>
      </c>
      <c r="U107" s="126"/>
      <c r="V107" s="132"/>
      <c r="W107" s="127"/>
      <c r="X107" s="128"/>
      <c r="Y107" s="128"/>
      <c r="Z107" s="128"/>
      <c r="AA107" s="128"/>
      <c r="AB107" s="128"/>
      <c r="AC107" s="128"/>
      <c r="AD107" s="128"/>
      <c r="AE107" s="128"/>
      <c r="AF107" s="128"/>
      <c r="AG107" s="128"/>
      <c r="AH107" s="128"/>
      <c r="AI107" s="128"/>
      <c r="AJ107" s="128"/>
      <c r="AK107" s="128"/>
      <c r="AL107" s="128"/>
    </row>
    <row r="108" spans="1:38" s="90" customFormat="1" ht="25.5" customHeight="1">
      <c r="A108" s="95"/>
      <c r="B108" s="146" t="s">
        <v>533</v>
      </c>
      <c r="C108" s="136" t="s">
        <v>439</v>
      </c>
      <c r="D108" s="137" t="s">
        <v>440</v>
      </c>
      <c r="E108" s="114" t="s">
        <v>596</v>
      </c>
      <c r="F108" s="142"/>
      <c r="G108" s="136" t="s">
        <v>534</v>
      </c>
      <c r="H108" s="335" t="s">
        <v>538</v>
      </c>
      <c r="I108" s="147"/>
      <c r="J108" s="129">
        <v>150</v>
      </c>
      <c r="K108" s="118">
        <f>+SUMIF('Nhập kho  입'!A:A,C108,'Nhập kho  입'!E:E)</f>
        <v>0</v>
      </c>
      <c r="L108" s="119">
        <f>+SUMIF(' Xuất kho 출'!A:A,C108,' Xuất kho 출'!E:E)</f>
        <v>0</v>
      </c>
      <c r="M108" s="120"/>
      <c r="N108" s="130"/>
      <c r="O108" s="148"/>
      <c r="P108" s="149"/>
      <c r="Q108" s="131">
        <f t="shared" si="3"/>
        <v>150</v>
      </c>
      <c r="R108" s="124">
        <v>150</v>
      </c>
      <c r="S108" s="134"/>
      <c r="T108" s="125">
        <f t="shared" si="2"/>
        <v>0</v>
      </c>
      <c r="U108" s="126"/>
      <c r="V108" s="132"/>
      <c r="W108" s="127"/>
      <c r="X108" s="128"/>
      <c r="Y108" s="128"/>
      <c r="Z108" s="128"/>
      <c r="AA108" s="128"/>
      <c r="AB108" s="128"/>
      <c r="AC108" s="128"/>
      <c r="AD108" s="128"/>
      <c r="AE108" s="128"/>
      <c r="AF108" s="128"/>
      <c r="AG108" s="128"/>
      <c r="AH108" s="128"/>
      <c r="AI108" s="128"/>
      <c r="AJ108" s="128"/>
      <c r="AK108" s="128"/>
      <c r="AL108" s="128"/>
    </row>
    <row r="109" spans="1:38" s="90" customFormat="1" ht="25.5" customHeight="1">
      <c r="A109" s="95"/>
      <c r="B109" s="146" t="s">
        <v>533</v>
      </c>
      <c r="C109" s="136" t="s">
        <v>892</v>
      </c>
      <c r="D109" s="137" t="s">
        <v>239</v>
      </c>
      <c r="E109" s="114" t="s">
        <v>566</v>
      </c>
      <c r="F109" s="142" t="s">
        <v>537</v>
      </c>
      <c r="G109" s="136" t="s">
        <v>562</v>
      </c>
      <c r="H109" s="335" t="s">
        <v>552</v>
      </c>
      <c r="I109" s="147"/>
      <c r="J109" s="129">
        <v>1400</v>
      </c>
      <c r="K109" s="118">
        <f>+SUMIF('Nhập kho  입'!A:A,C109,'Nhập kho  입'!E:E)</f>
        <v>0</v>
      </c>
      <c r="L109" s="119">
        <f>+SUMIF(' Xuất kho 출'!A:A,C109,' Xuất kho 출'!E:E)</f>
        <v>0</v>
      </c>
      <c r="M109" s="120"/>
      <c r="N109" s="130"/>
      <c r="O109" s="148"/>
      <c r="P109" s="149"/>
      <c r="Q109" s="131">
        <f t="shared" si="3"/>
        <v>1400</v>
      </c>
      <c r="R109" s="124">
        <f>29*50</f>
        <v>1450</v>
      </c>
      <c r="S109" s="124"/>
      <c r="T109" s="125">
        <f t="shared" si="2"/>
        <v>50</v>
      </c>
      <c r="U109" s="126"/>
      <c r="V109" s="132"/>
      <c r="W109" s="127"/>
      <c r="X109" s="128"/>
      <c r="Y109" s="128"/>
      <c r="Z109" s="128"/>
      <c r="AA109" s="128"/>
      <c r="AB109" s="128"/>
      <c r="AC109" s="128"/>
      <c r="AD109" s="128"/>
      <c r="AE109" s="128"/>
      <c r="AF109" s="128"/>
      <c r="AG109" s="128"/>
      <c r="AH109" s="128"/>
      <c r="AI109" s="128"/>
      <c r="AJ109" s="128"/>
      <c r="AK109" s="128"/>
      <c r="AL109" s="128"/>
    </row>
    <row r="110" spans="1:38" s="90" customFormat="1" ht="25.5" hidden="1" customHeight="1">
      <c r="A110" s="95"/>
      <c r="B110" s="146" t="s">
        <v>533</v>
      </c>
      <c r="C110" s="136" t="s">
        <v>240</v>
      </c>
      <c r="D110" s="137" t="s">
        <v>239</v>
      </c>
      <c r="E110" s="114" t="s">
        <v>587</v>
      </c>
      <c r="F110" s="142"/>
      <c r="G110" s="136"/>
      <c r="H110" s="335" t="s">
        <v>552</v>
      </c>
      <c r="I110" s="147"/>
      <c r="J110" s="129">
        <v>0</v>
      </c>
      <c r="K110" s="118">
        <f>+SUMIF('Nhập kho  입'!A:A,C110,'Nhập kho  입'!E:E)</f>
        <v>0</v>
      </c>
      <c r="L110" s="119">
        <f>+SUMIF(' Xuất kho 출'!A:A,C110,' Xuất kho 출'!E:E)</f>
        <v>0</v>
      </c>
      <c r="M110" s="120"/>
      <c r="N110" s="130"/>
      <c r="O110" s="148"/>
      <c r="P110" s="149"/>
      <c r="Q110" s="131">
        <f t="shared" si="3"/>
        <v>0</v>
      </c>
      <c r="R110" s="124"/>
      <c r="S110" s="134"/>
      <c r="T110" s="125">
        <f t="shared" si="2"/>
        <v>0</v>
      </c>
      <c r="U110" s="126"/>
      <c r="V110" s="132"/>
      <c r="W110" s="127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</row>
    <row r="111" spans="1:38" s="90" customFormat="1" ht="25.5" hidden="1" customHeight="1">
      <c r="A111" s="95"/>
      <c r="B111" s="146" t="s">
        <v>533</v>
      </c>
      <c r="C111" s="136" t="s">
        <v>41</v>
      </c>
      <c r="D111" s="137" t="s">
        <v>42</v>
      </c>
      <c r="E111" s="114"/>
      <c r="F111" s="142" t="s">
        <v>540</v>
      </c>
      <c r="G111" s="139" t="s">
        <v>562</v>
      </c>
      <c r="H111" s="335" t="s">
        <v>552</v>
      </c>
      <c r="I111" s="337" t="s">
        <v>541</v>
      </c>
      <c r="J111" s="129">
        <v>0</v>
      </c>
      <c r="K111" s="118">
        <f>+SUMIF('Nhập kho  입'!A:A,C111,'Nhập kho  입'!E:E)</f>
        <v>0</v>
      </c>
      <c r="L111" s="119">
        <f>+SUMIF(' Xuất kho 출'!A:A,C111,' Xuất kho 출'!E:E)</f>
        <v>0</v>
      </c>
      <c r="M111" s="120"/>
      <c r="N111" s="130"/>
      <c r="O111" s="148"/>
      <c r="P111" s="149"/>
      <c r="Q111" s="131">
        <f t="shared" si="3"/>
        <v>0</v>
      </c>
      <c r="R111" s="124"/>
      <c r="S111" s="124"/>
      <c r="T111" s="125">
        <f t="shared" si="2"/>
        <v>0</v>
      </c>
      <c r="U111" s="126"/>
      <c r="V111" s="132"/>
      <c r="W111" s="127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128"/>
      <c r="AI111" s="128"/>
      <c r="AJ111" s="128"/>
      <c r="AK111" s="128"/>
      <c r="AL111" s="128"/>
    </row>
    <row r="112" spans="1:38" s="90" customFormat="1" ht="25.5" customHeight="1">
      <c r="A112" s="95"/>
      <c r="B112" s="146" t="s">
        <v>533</v>
      </c>
      <c r="C112" s="136" t="s">
        <v>43</v>
      </c>
      <c r="D112" s="137" t="s">
        <v>42</v>
      </c>
      <c r="E112" s="114" t="s">
        <v>564</v>
      </c>
      <c r="F112" s="142" t="s">
        <v>537</v>
      </c>
      <c r="G112" s="139" t="s">
        <v>562</v>
      </c>
      <c r="H112" s="335" t="s">
        <v>552</v>
      </c>
      <c r="I112" s="337" t="s">
        <v>541</v>
      </c>
      <c r="J112" s="129">
        <v>650</v>
      </c>
      <c r="K112" s="118">
        <f>+SUMIF('Nhập kho  입'!A:A,C112,'Nhập kho  입'!E:E)</f>
        <v>0</v>
      </c>
      <c r="L112" s="119">
        <f>+SUMIF(' Xuất kho 출'!A:A,C112,' Xuất kho 출'!E:E)</f>
        <v>0</v>
      </c>
      <c r="M112" s="120"/>
      <c r="N112" s="130"/>
      <c r="O112" s="148"/>
      <c r="P112" s="149"/>
      <c r="Q112" s="131">
        <f t="shared" si="3"/>
        <v>650</v>
      </c>
      <c r="R112" s="124">
        <f>12*50+50</f>
        <v>650</v>
      </c>
      <c r="S112" s="124"/>
      <c r="T112" s="125">
        <f t="shared" si="2"/>
        <v>0</v>
      </c>
      <c r="U112" s="126"/>
      <c r="V112" s="132"/>
      <c r="W112" s="127"/>
      <c r="X112" s="128"/>
      <c r="Y112" s="128"/>
      <c r="Z112" s="128"/>
      <c r="AA112" s="128"/>
      <c r="AB112" s="128"/>
      <c r="AC112" s="128"/>
      <c r="AD112" s="128"/>
      <c r="AE112" s="128"/>
      <c r="AF112" s="128"/>
      <c r="AG112" s="128"/>
      <c r="AH112" s="128"/>
      <c r="AI112" s="128"/>
      <c r="AJ112" s="128"/>
      <c r="AK112" s="128"/>
      <c r="AL112" s="128"/>
    </row>
    <row r="113" spans="1:38" s="90" customFormat="1" ht="25.5" customHeight="1">
      <c r="A113" s="95"/>
      <c r="B113" s="146" t="s">
        <v>533</v>
      </c>
      <c r="C113" s="136" t="s">
        <v>1445</v>
      </c>
      <c r="D113" s="137" t="s">
        <v>186</v>
      </c>
      <c r="E113" s="114" t="s">
        <v>568</v>
      </c>
      <c r="F113" s="142" t="s">
        <v>537</v>
      </c>
      <c r="G113" s="139" t="s">
        <v>534</v>
      </c>
      <c r="H113" s="335" t="s">
        <v>546</v>
      </c>
      <c r="I113" s="147"/>
      <c r="J113" s="129">
        <v>2050</v>
      </c>
      <c r="K113" s="118">
        <f>+SUMIF('Nhập kho  입'!A:A,C113,'Nhập kho  입'!E:E)</f>
        <v>4250</v>
      </c>
      <c r="L113" s="119">
        <f>+SUMIF(' Xuất kho 출'!A:A,C113,' Xuất kho 출'!E:E)</f>
        <v>5000</v>
      </c>
      <c r="M113" s="120"/>
      <c r="N113" s="130"/>
      <c r="O113" s="148"/>
      <c r="P113" s="149"/>
      <c r="Q113" s="131">
        <v>8300</v>
      </c>
      <c r="R113" s="124">
        <f>42*50</f>
        <v>2100</v>
      </c>
      <c r="S113" s="124"/>
      <c r="T113" s="125">
        <f t="shared" si="2"/>
        <v>-6200</v>
      </c>
      <c r="U113" s="126"/>
      <c r="V113" s="132"/>
      <c r="W113" s="127"/>
      <c r="X113" s="128"/>
      <c r="Y113" s="128"/>
      <c r="Z113" s="128"/>
      <c r="AA113" s="128"/>
      <c r="AB113" s="128"/>
      <c r="AC113" s="128"/>
      <c r="AD113" s="128"/>
      <c r="AE113" s="128"/>
      <c r="AF113" s="128"/>
      <c r="AG113" s="128"/>
      <c r="AH113" s="128"/>
      <c r="AI113" s="128"/>
      <c r="AJ113" s="128"/>
      <c r="AK113" s="128"/>
      <c r="AL113" s="128"/>
    </row>
    <row r="114" spans="1:38" s="90" customFormat="1" ht="25.5" customHeight="1">
      <c r="A114" s="95"/>
      <c r="B114" s="146" t="s">
        <v>533</v>
      </c>
      <c r="C114" s="136" t="s">
        <v>1118</v>
      </c>
      <c r="D114" s="137" t="s">
        <v>186</v>
      </c>
      <c r="E114" s="114" t="s">
        <v>543</v>
      </c>
      <c r="F114" s="141" t="s">
        <v>537</v>
      </c>
      <c r="G114" s="142" t="s">
        <v>534</v>
      </c>
      <c r="H114" s="335" t="s">
        <v>552</v>
      </c>
      <c r="I114" s="147"/>
      <c r="J114" s="129">
        <v>3750</v>
      </c>
      <c r="K114" s="118">
        <f>+SUMIF('Nhập kho  입'!A:A,C114,'Nhập kho  입'!E:E)</f>
        <v>6200</v>
      </c>
      <c r="L114" s="119">
        <f>+SUMIF(' Xuất kho 출'!A:A,C114,' Xuất kho 출'!E:E)</f>
        <v>4900</v>
      </c>
      <c r="M114" s="120"/>
      <c r="N114" s="130"/>
      <c r="O114" s="148"/>
      <c r="P114" s="149"/>
      <c r="Q114" s="131">
        <f t="shared" si="3"/>
        <v>5050</v>
      </c>
      <c r="R114" s="124">
        <f>350+65*50+150</f>
        <v>3750</v>
      </c>
      <c r="S114" s="124"/>
      <c r="T114" s="125">
        <f t="shared" si="2"/>
        <v>-1300</v>
      </c>
      <c r="U114" s="126"/>
      <c r="V114" s="132"/>
      <c r="W114" s="127"/>
      <c r="X114" s="128"/>
      <c r="Y114" s="128"/>
      <c r="Z114" s="128"/>
      <c r="AA114" s="128"/>
      <c r="AB114" s="128"/>
      <c r="AC114" s="128"/>
      <c r="AD114" s="128"/>
      <c r="AE114" s="128"/>
      <c r="AF114" s="128"/>
      <c r="AG114" s="128"/>
      <c r="AH114" s="128"/>
      <c r="AI114" s="128"/>
      <c r="AJ114" s="128"/>
      <c r="AK114" s="128"/>
      <c r="AL114" s="128"/>
    </row>
    <row r="115" spans="1:38" s="90" customFormat="1" ht="25.5" customHeight="1">
      <c r="A115" s="95" t="s">
        <v>499</v>
      </c>
      <c r="B115" s="146" t="s">
        <v>533</v>
      </c>
      <c r="C115" s="136" t="s">
        <v>206</v>
      </c>
      <c r="D115" s="137" t="s">
        <v>186</v>
      </c>
      <c r="E115" s="114" t="s">
        <v>597</v>
      </c>
      <c r="F115" s="142" t="s">
        <v>537</v>
      </c>
      <c r="G115" s="139" t="s">
        <v>534</v>
      </c>
      <c r="H115" s="335" t="s">
        <v>546</v>
      </c>
      <c r="I115" s="147"/>
      <c r="J115" s="129">
        <v>2300</v>
      </c>
      <c r="K115" s="118">
        <f>+SUMIF('Nhập kho  입'!A:A,C115,'Nhập kho  입'!E:E)</f>
        <v>8250</v>
      </c>
      <c r="L115" s="119">
        <f>+SUMIF(' Xuất kho 출'!A:A,C115,' Xuất kho 출'!E:E)</f>
        <v>2000</v>
      </c>
      <c r="M115" s="120"/>
      <c r="N115" s="130"/>
      <c r="O115" s="148"/>
      <c r="P115" s="149"/>
      <c r="Q115" s="131">
        <f t="shared" si="3"/>
        <v>8550</v>
      </c>
      <c r="R115" s="124">
        <f>14*50+32*50</f>
        <v>2300</v>
      </c>
      <c r="S115" s="124"/>
      <c r="T115" s="125">
        <f t="shared" si="2"/>
        <v>-6250</v>
      </c>
      <c r="U115" s="126"/>
      <c r="V115" s="132"/>
      <c r="W115" s="127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128"/>
      <c r="AJ115" s="128"/>
      <c r="AK115" s="128"/>
      <c r="AL115" s="128"/>
    </row>
    <row r="116" spans="1:38" s="90" customFormat="1" ht="25.5" customHeight="1">
      <c r="A116" s="95"/>
      <c r="B116" s="146" t="s">
        <v>533</v>
      </c>
      <c r="C116" s="136" t="s">
        <v>114</v>
      </c>
      <c r="D116" s="150" t="s">
        <v>115</v>
      </c>
      <c r="E116" s="114" t="s">
        <v>598</v>
      </c>
      <c r="F116" s="141" t="s">
        <v>540</v>
      </c>
      <c r="G116" s="142" t="s">
        <v>549</v>
      </c>
      <c r="H116" s="335" t="s">
        <v>552</v>
      </c>
      <c r="I116" s="147"/>
      <c r="J116" s="129">
        <v>400</v>
      </c>
      <c r="K116" s="118">
        <f>+SUMIF('Nhập kho  입'!A:A,C116,'Nhập kho  입'!E:E)</f>
        <v>0</v>
      </c>
      <c r="L116" s="119">
        <f>+SUMIF(' Xuất kho 출'!A:A,C116,' Xuất kho 출'!E:E)</f>
        <v>0</v>
      </c>
      <c r="M116" s="120"/>
      <c r="N116" s="130"/>
      <c r="O116" s="148"/>
      <c r="P116" s="149"/>
      <c r="Q116" s="131">
        <f t="shared" si="3"/>
        <v>400</v>
      </c>
      <c r="R116" s="124">
        <v>400</v>
      </c>
      <c r="S116" s="124"/>
      <c r="T116" s="125">
        <f t="shared" si="2"/>
        <v>0</v>
      </c>
      <c r="U116" s="126"/>
      <c r="V116" s="132"/>
      <c r="W116" s="127"/>
      <c r="X116" s="128"/>
      <c r="Y116" s="128"/>
      <c r="Z116" s="128"/>
      <c r="AA116" s="128"/>
      <c r="AB116" s="128"/>
      <c r="AC116" s="128"/>
      <c r="AD116" s="128"/>
      <c r="AE116" s="128"/>
      <c r="AF116" s="128"/>
      <c r="AG116" s="128"/>
      <c r="AH116" s="128"/>
      <c r="AI116" s="128"/>
      <c r="AJ116" s="128"/>
      <c r="AK116" s="128"/>
      <c r="AL116" s="128"/>
    </row>
    <row r="117" spans="1:38" s="90" customFormat="1" ht="25.5" customHeight="1">
      <c r="A117" s="95"/>
      <c r="B117" s="146" t="s">
        <v>533</v>
      </c>
      <c r="C117" s="136" t="s">
        <v>787</v>
      </c>
      <c r="D117" s="150" t="s">
        <v>212</v>
      </c>
      <c r="E117" s="114" t="s">
        <v>561</v>
      </c>
      <c r="F117" s="142" t="s">
        <v>540</v>
      </c>
      <c r="G117" s="142" t="s">
        <v>534</v>
      </c>
      <c r="H117" s="335" t="s">
        <v>546</v>
      </c>
      <c r="I117" s="147"/>
      <c r="J117" s="129">
        <v>2650</v>
      </c>
      <c r="K117" s="118">
        <f>+SUMIF('Nhập kho  입'!A:A,C117,'Nhập kho  입'!E:E)</f>
        <v>2150</v>
      </c>
      <c r="L117" s="119">
        <f>+SUMIF(' Xuất kho 출'!A:A,C117,' Xuất kho 출'!E:E)</f>
        <v>300</v>
      </c>
      <c r="M117" s="120"/>
      <c r="N117" s="130"/>
      <c r="O117" s="148"/>
      <c r="P117" s="149"/>
      <c r="Q117" s="131">
        <f t="shared" si="3"/>
        <v>4500</v>
      </c>
      <c r="R117" s="124">
        <f>30*50+24*50</f>
        <v>2700</v>
      </c>
      <c r="S117" s="124"/>
      <c r="T117" s="125">
        <f t="shared" si="2"/>
        <v>-1800</v>
      </c>
      <c r="U117" s="126"/>
      <c r="V117" s="132"/>
      <c r="W117" s="127"/>
      <c r="X117" s="128"/>
      <c r="Y117" s="128"/>
      <c r="Z117" s="128"/>
      <c r="AA117" s="128"/>
      <c r="AB117" s="128"/>
      <c r="AC117" s="128"/>
      <c r="AD117" s="128"/>
      <c r="AE117" s="128"/>
      <c r="AF117" s="128"/>
      <c r="AG117" s="128"/>
      <c r="AH117" s="128"/>
      <c r="AI117" s="128"/>
      <c r="AJ117" s="128"/>
      <c r="AK117" s="128"/>
      <c r="AL117" s="128"/>
    </row>
    <row r="118" spans="1:38" s="90" customFormat="1" ht="25.5" hidden="1" customHeight="1">
      <c r="A118" s="95" t="s">
        <v>492</v>
      </c>
      <c r="B118" s="146" t="s">
        <v>533</v>
      </c>
      <c r="C118" s="136" t="s">
        <v>213</v>
      </c>
      <c r="D118" s="137" t="s">
        <v>212</v>
      </c>
      <c r="E118" s="114" t="s">
        <v>599</v>
      </c>
      <c r="F118" s="142" t="s">
        <v>537</v>
      </c>
      <c r="G118" s="139" t="s">
        <v>534</v>
      </c>
      <c r="H118" s="114"/>
      <c r="I118" s="147"/>
      <c r="J118" s="129">
        <v>0</v>
      </c>
      <c r="K118" s="118">
        <f>+SUMIF('Nhập kho  입'!A:A,C118,'Nhập kho  입'!E:E)</f>
        <v>0</v>
      </c>
      <c r="L118" s="119">
        <f>+SUMIF(' Xuất kho 출'!A:A,C118,' Xuất kho 출'!E:E)</f>
        <v>0</v>
      </c>
      <c r="M118" s="120"/>
      <c r="N118" s="130"/>
      <c r="O118" s="148"/>
      <c r="P118" s="149"/>
      <c r="Q118" s="131">
        <f t="shared" si="3"/>
        <v>0</v>
      </c>
      <c r="R118" s="124"/>
      <c r="S118" s="124"/>
      <c r="T118" s="125">
        <f t="shared" si="2"/>
        <v>0</v>
      </c>
      <c r="U118" s="126"/>
      <c r="V118" s="132"/>
      <c r="W118" s="127"/>
      <c r="X118" s="128"/>
      <c r="Y118" s="128"/>
      <c r="Z118" s="128"/>
      <c r="AA118" s="128"/>
      <c r="AB118" s="128"/>
      <c r="AC118" s="128"/>
      <c r="AD118" s="128"/>
      <c r="AE118" s="128"/>
      <c r="AF118" s="128"/>
      <c r="AG118" s="128"/>
      <c r="AH118" s="128"/>
      <c r="AI118" s="128"/>
      <c r="AJ118" s="128"/>
      <c r="AK118" s="128"/>
      <c r="AL118" s="128"/>
    </row>
    <row r="119" spans="1:38" s="90" customFormat="1" ht="25.5" customHeight="1">
      <c r="A119" s="95"/>
      <c r="B119" s="146" t="s">
        <v>533</v>
      </c>
      <c r="C119" s="136" t="s">
        <v>151</v>
      </c>
      <c r="D119" s="137" t="s">
        <v>152</v>
      </c>
      <c r="E119" s="114" t="s">
        <v>539</v>
      </c>
      <c r="F119" s="141" t="s">
        <v>540</v>
      </c>
      <c r="G119" s="142" t="s">
        <v>534</v>
      </c>
      <c r="H119" s="335" t="s">
        <v>546</v>
      </c>
      <c r="I119" s="147"/>
      <c r="J119" s="129">
        <v>650</v>
      </c>
      <c r="K119" s="118">
        <f>+SUMIF('Nhập kho  입'!A:A,C119,'Nhập kho  입'!E:E)</f>
        <v>0</v>
      </c>
      <c r="L119" s="119">
        <f>+SUMIF(' Xuất kho 출'!A:A,C119,' Xuất kho 출'!E:E)</f>
        <v>0</v>
      </c>
      <c r="M119" s="120"/>
      <c r="N119" s="130"/>
      <c r="O119" s="148"/>
      <c r="P119" s="149"/>
      <c r="Q119" s="131">
        <f t="shared" si="3"/>
        <v>650</v>
      </c>
      <c r="R119" s="124">
        <f>200+11*50</f>
        <v>750</v>
      </c>
      <c r="S119" s="124"/>
      <c r="T119" s="125">
        <f t="shared" si="2"/>
        <v>100</v>
      </c>
      <c r="U119" s="126"/>
      <c r="V119" s="132"/>
      <c r="W119" s="127"/>
      <c r="X119" s="128"/>
      <c r="Y119" s="128"/>
      <c r="Z119" s="128"/>
      <c r="AA119" s="128"/>
      <c r="AB119" s="128"/>
      <c r="AC119" s="128"/>
      <c r="AD119" s="128"/>
      <c r="AE119" s="128"/>
      <c r="AF119" s="128"/>
      <c r="AG119" s="128"/>
      <c r="AH119" s="128"/>
      <c r="AI119" s="128"/>
      <c r="AJ119" s="128"/>
      <c r="AK119" s="128"/>
      <c r="AL119" s="128"/>
    </row>
    <row r="120" spans="1:38" s="90" customFormat="1" ht="25.5" customHeight="1">
      <c r="A120" s="95"/>
      <c r="B120" s="146" t="s">
        <v>533</v>
      </c>
      <c r="C120" s="136" t="s">
        <v>89</v>
      </c>
      <c r="D120" s="137" t="s">
        <v>90</v>
      </c>
      <c r="E120" s="114" t="s">
        <v>542</v>
      </c>
      <c r="F120" s="141" t="s">
        <v>540</v>
      </c>
      <c r="G120" s="142" t="s">
        <v>562</v>
      </c>
      <c r="H120" s="335" t="s">
        <v>552</v>
      </c>
      <c r="I120" s="147"/>
      <c r="J120" s="129">
        <v>30500</v>
      </c>
      <c r="K120" s="118">
        <f>+SUMIF('Nhập kho  입'!A:A,C120,'Nhập kho  입'!E:E)</f>
        <v>0</v>
      </c>
      <c r="L120" s="119">
        <f>+SUMIF(' Xuất kho 출'!A:A,C120,' Xuất kho 출'!E:E)</f>
        <v>5800</v>
      </c>
      <c r="M120" s="120"/>
      <c r="N120" s="130"/>
      <c r="O120" s="148"/>
      <c r="P120" s="149"/>
      <c r="Q120" s="131">
        <f t="shared" si="3"/>
        <v>24700</v>
      </c>
      <c r="R120" s="124">
        <f>12*50+38*50+56*50+3600*7</f>
        <v>30500</v>
      </c>
      <c r="S120" s="124"/>
      <c r="T120" s="125">
        <f t="shared" si="2"/>
        <v>5800</v>
      </c>
      <c r="U120" s="126"/>
      <c r="V120" s="132"/>
      <c r="W120" s="127"/>
      <c r="X120" s="128"/>
      <c r="Y120" s="128"/>
      <c r="Z120" s="128"/>
      <c r="AA120" s="128"/>
      <c r="AB120" s="128"/>
      <c r="AC120" s="128"/>
      <c r="AD120" s="128"/>
      <c r="AE120" s="128"/>
      <c r="AF120" s="128"/>
      <c r="AG120" s="128"/>
      <c r="AH120" s="128"/>
      <c r="AI120" s="128"/>
      <c r="AJ120" s="128"/>
      <c r="AK120" s="128"/>
      <c r="AL120" s="128"/>
    </row>
    <row r="121" spans="1:38" s="90" customFormat="1" ht="25.5" customHeight="1">
      <c r="A121" s="95"/>
      <c r="B121" s="146" t="s">
        <v>533</v>
      </c>
      <c r="C121" s="136" t="s">
        <v>1208</v>
      </c>
      <c r="D121" s="137" t="s">
        <v>74</v>
      </c>
      <c r="E121" s="114" t="s">
        <v>547</v>
      </c>
      <c r="F121" s="142" t="s">
        <v>540</v>
      </c>
      <c r="G121" s="139" t="s">
        <v>549</v>
      </c>
      <c r="H121" s="335" t="s">
        <v>552</v>
      </c>
      <c r="I121" s="147"/>
      <c r="J121" s="129">
        <v>11400</v>
      </c>
      <c r="K121" s="118">
        <f>+SUMIF('Nhập kho  입'!A:A,C121,'Nhập kho  입'!E:E)</f>
        <v>7900</v>
      </c>
      <c r="L121" s="119">
        <f>+SUMIF(' Xuất kho 출'!A:A,C121,' Xuất kho 출'!E:E)</f>
        <v>0</v>
      </c>
      <c r="M121" s="120"/>
      <c r="N121" s="130"/>
      <c r="O121" s="148"/>
      <c r="P121" s="149"/>
      <c r="Q121" s="131">
        <f t="shared" si="3"/>
        <v>19300</v>
      </c>
      <c r="R121" s="124">
        <f>3600+2800+3600+1100+300</f>
        <v>11400</v>
      </c>
      <c r="S121" s="134"/>
      <c r="T121" s="125">
        <f t="shared" si="2"/>
        <v>-7900</v>
      </c>
      <c r="U121" s="126"/>
      <c r="V121" s="132"/>
      <c r="W121" s="127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8"/>
      <c r="AK121" s="128"/>
      <c r="AL121" s="128"/>
    </row>
    <row r="122" spans="1:38" s="90" customFormat="1" ht="25.5" customHeight="1">
      <c r="A122" s="95"/>
      <c r="B122" s="146" t="s">
        <v>533</v>
      </c>
      <c r="C122" s="136" t="s">
        <v>870</v>
      </c>
      <c r="D122" s="137" t="s">
        <v>382</v>
      </c>
      <c r="E122" s="114" t="s">
        <v>871</v>
      </c>
      <c r="F122" s="141"/>
      <c r="G122" s="142"/>
      <c r="H122" s="114"/>
      <c r="I122" s="147"/>
      <c r="J122" s="129">
        <v>1900</v>
      </c>
      <c r="K122" s="118">
        <f>+SUMIF('Nhập kho  입'!A:A,C122,'Nhập kho  입'!E:E)</f>
        <v>0</v>
      </c>
      <c r="L122" s="119">
        <f>+SUMIF(' Xuất kho 출'!A:A,C122,' Xuất kho 출'!E:E)</f>
        <v>0</v>
      </c>
      <c r="M122" s="120"/>
      <c r="N122" s="130"/>
      <c r="O122" s="148"/>
      <c r="P122" s="149"/>
      <c r="Q122" s="131">
        <f t="shared" si="3"/>
        <v>1900</v>
      </c>
      <c r="R122" s="124">
        <f>38*50</f>
        <v>1900</v>
      </c>
      <c r="S122" s="124"/>
      <c r="T122" s="125">
        <f t="shared" si="2"/>
        <v>0</v>
      </c>
      <c r="U122" s="126"/>
      <c r="V122" s="132"/>
      <c r="W122" s="127"/>
      <c r="X122" s="128"/>
      <c r="Y122" s="128"/>
      <c r="Z122" s="128"/>
      <c r="AA122" s="128"/>
      <c r="AB122" s="128"/>
      <c r="AC122" s="128"/>
      <c r="AD122" s="128"/>
      <c r="AE122" s="128"/>
      <c r="AF122" s="128"/>
      <c r="AG122" s="128"/>
      <c r="AH122" s="128"/>
      <c r="AI122" s="128"/>
      <c r="AJ122" s="128"/>
      <c r="AK122" s="128"/>
      <c r="AL122" s="128"/>
    </row>
    <row r="123" spans="1:38" s="90" customFormat="1" ht="25.5" customHeight="1">
      <c r="A123" s="95"/>
      <c r="B123" s="146" t="s">
        <v>533</v>
      </c>
      <c r="C123" s="136" t="s">
        <v>935</v>
      </c>
      <c r="D123" s="137" t="s">
        <v>258</v>
      </c>
      <c r="E123" s="114" t="s">
        <v>561</v>
      </c>
      <c r="F123" s="142"/>
      <c r="G123" s="139" t="s">
        <v>534</v>
      </c>
      <c r="H123" s="335" t="s">
        <v>552</v>
      </c>
      <c r="I123" s="147"/>
      <c r="J123" s="129">
        <v>4200</v>
      </c>
      <c r="K123" s="118">
        <f>+SUMIF('Nhập kho  입'!A:A,C123,'Nhập kho  입'!E:E)</f>
        <v>0</v>
      </c>
      <c r="L123" s="119">
        <f>+SUMIF(' Xuất kho 출'!A:A,C123,' Xuất kho 출'!E:E)</f>
        <v>800</v>
      </c>
      <c r="M123" s="120"/>
      <c r="N123" s="130"/>
      <c r="O123" s="148"/>
      <c r="P123" s="149"/>
      <c r="Q123" s="131">
        <f t="shared" si="3"/>
        <v>3400</v>
      </c>
      <c r="R123" s="124">
        <f>48*50+36*50</f>
        <v>4200</v>
      </c>
      <c r="S123" s="134"/>
      <c r="T123" s="125">
        <f t="shared" si="2"/>
        <v>800</v>
      </c>
      <c r="U123" s="126"/>
      <c r="V123" s="132"/>
      <c r="W123" s="127"/>
      <c r="X123" s="128"/>
      <c r="Y123" s="128"/>
      <c r="Z123" s="128"/>
      <c r="AA123" s="128"/>
      <c r="AB123" s="128"/>
      <c r="AC123" s="128"/>
      <c r="AD123" s="128"/>
      <c r="AE123" s="128"/>
      <c r="AF123" s="128"/>
      <c r="AG123" s="128"/>
      <c r="AH123" s="128"/>
      <c r="AI123" s="128"/>
      <c r="AJ123" s="128"/>
      <c r="AK123" s="128"/>
      <c r="AL123" s="128"/>
    </row>
    <row r="124" spans="1:38" s="90" customFormat="1" ht="25.5" hidden="1" customHeight="1">
      <c r="A124" s="95"/>
      <c r="B124" s="146" t="s">
        <v>533</v>
      </c>
      <c r="C124" s="136" t="s">
        <v>141</v>
      </c>
      <c r="D124" s="137" t="s">
        <v>142</v>
      </c>
      <c r="E124" s="114" t="s">
        <v>600</v>
      </c>
      <c r="F124" s="142" t="s">
        <v>540</v>
      </c>
      <c r="G124" s="142" t="s">
        <v>549</v>
      </c>
      <c r="H124" s="335" t="s">
        <v>552</v>
      </c>
      <c r="I124" s="147"/>
      <c r="J124" s="129">
        <v>0</v>
      </c>
      <c r="K124" s="118">
        <f>+SUMIF('Nhập kho  입'!A:A,C124,'Nhập kho  입'!E:E)</f>
        <v>0</v>
      </c>
      <c r="L124" s="119">
        <f>+SUMIF(' Xuất kho 출'!A:A,C124,' Xuất kho 출'!E:E)</f>
        <v>0</v>
      </c>
      <c r="M124" s="120"/>
      <c r="N124" s="130"/>
      <c r="O124" s="148"/>
      <c r="P124" s="149"/>
      <c r="Q124" s="131">
        <f t="shared" si="3"/>
        <v>0</v>
      </c>
      <c r="R124" s="124"/>
      <c r="S124" s="124"/>
      <c r="T124" s="125">
        <f t="shared" si="2"/>
        <v>0</v>
      </c>
      <c r="U124" s="126"/>
      <c r="V124" s="132"/>
      <c r="W124" s="127"/>
      <c r="X124" s="128"/>
      <c r="Y124" s="128"/>
      <c r="Z124" s="128"/>
      <c r="AA124" s="128"/>
      <c r="AB124" s="128"/>
      <c r="AC124" s="128"/>
      <c r="AD124" s="128"/>
      <c r="AE124" s="128"/>
      <c r="AF124" s="128"/>
      <c r="AG124" s="128"/>
      <c r="AH124" s="128"/>
      <c r="AI124" s="128"/>
      <c r="AJ124" s="128"/>
      <c r="AK124" s="128"/>
      <c r="AL124" s="128"/>
    </row>
    <row r="125" spans="1:38" s="90" customFormat="1" ht="25.5" customHeight="1">
      <c r="A125" s="95"/>
      <c r="B125" s="146" t="s">
        <v>533</v>
      </c>
      <c r="C125" s="136" t="s">
        <v>1288</v>
      </c>
      <c r="D125" s="137" t="s">
        <v>19</v>
      </c>
      <c r="E125" s="114" t="s">
        <v>601</v>
      </c>
      <c r="F125" s="142" t="s">
        <v>602</v>
      </c>
      <c r="G125" s="142" t="s">
        <v>534</v>
      </c>
      <c r="H125" s="335" t="s">
        <v>552</v>
      </c>
      <c r="I125" s="337" t="s">
        <v>556</v>
      </c>
      <c r="J125" s="129">
        <v>400</v>
      </c>
      <c r="K125" s="118">
        <f>+SUMIF('Nhập kho  입'!A:A,C125,'Nhập kho  입'!E:E)</f>
        <v>0</v>
      </c>
      <c r="L125" s="119">
        <f>+SUMIF(' Xuất kho 출'!A:A,C125,' Xuất kho 출'!E:E)</f>
        <v>300</v>
      </c>
      <c r="M125" s="120"/>
      <c r="N125" s="130"/>
      <c r="O125" s="148"/>
      <c r="P125" s="149"/>
      <c r="Q125" s="131">
        <f t="shared" si="3"/>
        <v>100</v>
      </c>
      <c r="R125" s="124">
        <f>250+150</f>
        <v>400</v>
      </c>
      <c r="S125" s="124"/>
      <c r="T125" s="125">
        <f t="shared" si="2"/>
        <v>300</v>
      </c>
      <c r="U125" s="126"/>
      <c r="V125" s="132"/>
      <c r="W125" s="127"/>
      <c r="X125" s="128"/>
      <c r="Y125" s="128"/>
      <c r="Z125" s="128"/>
      <c r="AA125" s="128"/>
      <c r="AB125" s="128"/>
      <c r="AC125" s="128"/>
      <c r="AD125" s="128"/>
      <c r="AE125" s="128"/>
      <c r="AF125" s="128"/>
      <c r="AG125" s="128"/>
      <c r="AH125" s="128"/>
      <c r="AI125" s="128"/>
      <c r="AJ125" s="128"/>
      <c r="AK125" s="128"/>
      <c r="AL125" s="128"/>
    </row>
    <row r="126" spans="1:38" s="90" customFormat="1" ht="25.5" hidden="1" customHeight="1">
      <c r="A126" s="95"/>
      <c r="B126" s="146" t="s">
        <v>533</v>
      </c>
      <c r="C126" s="136" t="s">
        <v>20</v>
      </c>
      <c r="D126" s="137" t="s">
        <v>19</v>
      </c>
      <c r="E126" s="114"/>
      <c r="F126" s="142" t="s">
        <v>540</v>
      </c>
      <c r="G126" s="142" t="s">
        <v>534</v>
      </c>
      <c r="H126" s="335" t="s">
        <v>552</v>
      </c>
      <c r="I126" s="337" t="s">
        <v>556</v>
      </c>
      <c r="J126" s="129">
        <v>0</v>
      </c>
      <c r="K126" s="118">
        <f>+SUMIF('Nhập kho  입'!A:A,C126,'Nhập kho  입'!E:E)</f>
        <v>0</v>
      </c>
      <c r="L126" s="119">
        <f>+SUMIF(' Xuất kho 출'!A:A,C126,' Xuất kho 출'!E:E)</f>
        <v>0</v>
      </c>
      <c r="M126" s="120"/>
      <c r="N126" s="130"/>
      <c r="O126" s="148"/>
      <c r="P126" s="149"/>
      <c r="Q126" s="131">
        <f t="shared" si="3"/>
        <v>0</v>
      </c>
      <c r="R126" s="124"/>
      <c r="S126" s="124"/>
      <c r="T126" s="125">
        <f t="shared" si="2"/>
        <v>0</v>
      </c>
      <c r="U126" s="126"/>
      <c r="V126" s="132"/>
      <c r="W126" s="127"/>
      <c r="X126" s="128"/>
      <c r="Y126" s="128"/>
      <c r="Z126" s="128"/>
      <c r="AA126" s="128"/>
      <c r="AB126" s="128"/>
      <c r="AC126" s="128"/>
      <c r="AD126" s="128"/>
      <c r="AE126" s="128"/>
      <c r="AF126" s="128"/>
      <c r="AG126" s="128"/>
      <c r="AH126" s="128"/>
      <c r="AI126" s="128"/>
      <c r="AJ126" s="128"/>
      <c r="AK126" s="128"/>
      <c r="AL126" s="128"/>
    </row>
    <row r="127" spans="1:38" s="90" customFormat="1" ht="25.5" customHeight="1">
      <c r="A127" s="95"/>
      <c r="B127" s="146" t="s">
        <v>533</v>
      </c>
      <c r="C127" s="136" t="s">
        <v>1106</v>
      </c>
      <c r="D127" s="137" t="s">
        <v>210</v>
      </c>
      <c r="E127" s="114" t="s">
        <v>571</v>
      </c>
      <c r="F127" s="142" t="s">
        <v>537</v>
      </c>
      <c r="G127" s="142" t="s">
        <v>562</v>
      </c>
      <c r="H127" s="335" t="s">
        <v>552</v>
      </c>
      <c r="I127" s="147"/>
      <c r="J127" s="129">
        <v>20550</v>
      </c>
      <c r="K127" s="118">
        <f>+SUMIF('Nhập kho  입'!A:A,C127,'Nhập kho  입'!E:E)</f>
        <v>30650</v>
      </c>
      <c r="L127" s="119">
        <f>+SUMIF(' Xuất kho 출'!A:A,C127,' Xuất kho 출'!E:E)</f>
        <v>26000</v>
      </c>
      <c r="M127" s="120">
        <v>10000</v>
      </c>
      <c r="N127" s="130"/>
      <c r="O127" s="148"/>
      <c r="P127" s="149"/>
      <c r="Q127" s="131">
        <f t="shared" si="3"/>
        <v>25200</v>
      </c>
      <c r="R127" s="124">
        <f>48*50+24*50+48*50+36*50+11*50+44*50+10000</f>
        <v>20550</v>
      </c>
      <c r="S127" s="124"/>
      <c r="T127" s="125">
        <f t="shared" si="2"/>
        <v>-4650</v>
      </c>
      <c r="U127" s="126"/>
      <c r="V127" s="132"/>
      <c r="W127" s="127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8"/>
      <c r="AK127" s="128"/>
      <c r="AL127" s="128"/>
    </row>
    <row r="128" spans="1:38" s="90" customFormat="1" ht="25.5" customHeight="1">
      <c r="A128" s="95"/>
      <c r="B128" s="146" t="s">
        <v>533</v>
      </c>
      <c r="C128" s="136" t="s">
        <v>300</v>
      </c>
      <c r="D128" s="137" t="s">
        <v>301</v>
      </c>
      <c r="E128" s="114" t="s">
        <v>603</v>
      </c>
      <c r="F128" s="142">
        <v>125150</v>
      </c>
      <c r="G128" s="142" t="s">
        <v>562</v>
      </c>
      <c r="H128" s="335" t="s">
        <v>552</v>
      </c>
      <c r="I128" s="147"/>
      <c r="J128" s="129">
        <v>4000</v>
      </c>
      <c r="K128" s="118">
        <f>+SUMIF('Nhập kho  입'!A:A,C128,'Nhập kho  입'!E:E)</f>
        <v>0</v>
      </c>
      <c r="L128" s="119">
        <f>+SUMIF(' Xuất kho 출'!A:A,C128,' Xuất kho 출'!E:E)</f>
        <v>0</v>
      </c>
      <c r="M128" s="120"/>
      <c r="N128" s="130"/>
      <c r="O128" s="148"/>
      <c r="P128" s="149"/>
      <c r="Q128" s="131">
        <f t="shared" si="3"/>
        <v>4000</v>
      </c>
      <c r="R128" s="124">
        <f>400+3600</f>
        <v>4000</v>
      </c>
      <c r="S128" s="124"/>
      <c r="T128" s="125">
        <f t="shared" si="2"/>
        <v>0</v>
      </c>
      <c r="U128" s="126"/>
      <c r="V128" s="132"/>
      <c r="W128" s="127"/>
      <c r="X128" s="128"/>
      <c r="Y128" s="128"/>
      <c r="Z128" s="128"/>
      <c r="AA128" s="128"/>
      <c r="AB128" s="128"/>
      <c r="AC128" s="128"/>
      <c r="AD128" s="128"/>
      <c r="AE128" s="128"/>
      <c r="AF128" s="128"/>
      <c r="AG128" s="128"/>
      <c r="AH128" s="128"/>
      <c r="AI128" s="128"/>
      <c r="AJ128" s="128"/>
      <c r="AK128" s="128"/>
      <c r="AL128" s="128"/>
    </row>
    <row r="129" spans="1:38" s="90" customFormat="1" ht="25.5" customHeight="1">
      <c r="A129" s="95"/>
      <c r="B129" s="146" t="s">
        <v>533</v>
      </c>
      <c r="C129" s="136" t="s">
        <v>1073</v>
      </c>
      <c r="D129" s="137" t="s">
        <v>301</v>
      </c>
      <c r="E129" s="114" t="s">
        <v>564</v>
      </c>
      <c r="F129" s="338" t="s">
        <v>537</v>
      </c>
      <c r="G129" s="151" t="s">
        <v>534</v>
      </c>
      <c r="H129" s="335" t="s">
        <v>552</v>
      </c>
      <c r="I129" s="147"/>
      <c r="J129" s="129">
        <v>750</v>
      </c>
      <c r="K129" s="118">
        <f>+SUMIF('Nhập kho  입'!A:A,C129,'Nhập kho  입'!E:E)</f>
        <v>0</v>
      </c>
      <c r="L129" s="119">
        <f>+SUMIF(' Xuất kho 출'!A:A,C129,' Xuất kho 출'!E:E)</f>
        <v>400</v>
      </c>
      <c r="M129" s="120"/>
      <c r="N129" s="130"/>
      <c r="O129" s="148"/>
      <c r="P129" s="149"/>
      <c r="Q129" s="131">
        <f t="shared" si="3"/>
        <v>350</v>
      </c>
      <c r="R129" s="124">
        <f>50+15*50</f>
        <v>800</v>
      </c>
      <c r="S129" s="124"/>
      <c r="T129" s="125">
        <f t="shared" si="2"/>
        <v>450</v>
      </c>
      <c r="U129" s="126"/>
      <c r="V129" s="132"/>
      <c r="W129" s="127"/>
      <c r="X129" s="128"/>
      <c r="Y129" s="128"/>
      <c r="Z129" s="128"/>
      <c r="AA129" s="128"/>
      <c r="AB129" s="128"/>
      <c r="AC129" s="128"/>
      <c r="AD129" s="128"/>
      <c r="AE129" s="128"/>
      <c r="AF129" s="128"/>
      <c r="AG129" s="128"/>
      <c r="AH129" s="128"/>
      <c r="AI129" s="128"/>
      <c r="AJ129" s="128"/>
      <c r="AK129" s="128"/>
      <c r="AL129" s="128"/>
    </row>
    <row r="130" spans="1:38" s="90" customFormat="1" ht="25.5" customHeight="1">
      <c r="A130" s="95"/>
      <c r="B130" s="146" t="s">
        <v>533</v>
      </c>
      <c r="C130" s="136" t="s">
        <v>1035</v>
      </c>
      <c r="D130" s="137" t="s">
        <v>486</v>
      </c>
      <c r="E130" s="114" t="s">
        <v>604</v>
      </c>
      <c r="F130" s="141"/>
      <c r="G130" s="151" t="s">
        <v>549</v>
      </c>
      <c r="H130" s="335" t="s">
        <v>573</v>
      </c>
      <c r="I130" s="147"/>
      <c r="J130" s="129">
        <v>3500</v>
      </c>
      <c r="K130" s="118">
        <f>+SUMIF('Nhập kho  입'!A:A,C130,'Nhập kho  입'!E:E)</f>
        <v>38900</v>
      </c>
      <c r="L130" s="119">
        <f>+SUMIF(' Xuất kho 출'!A:A,C130,' Xuất kho 출'!E:E)</f>
        <v>28800</v>
      </c>
      <c r="M130" s="120"/>
      <c r="N130" s="130"/>
      <c r="O130" s="148"/>
      <c r="P130" s="149"/>
      <c r="Q130" s="131">
        <f t="shared" si="3"/>
        <v>13600</v>
      </c>
      <c r="R130" s="124">
        <f>100+2200+1200</f>
        <v>3500</v>
      </c>
      <c r="S130" s="124"/>
      <c r="T130" s="125">
        <f t="shared" si="2"/>
        <v>-10100</v>
      </c>
      <c r="U130" s="126"/>
      <c r="V130" s="132"/>
      <c r="W130" s="127"/>
      <c r="X130" s="128"/>
      <c r="Y130" s="128"/>
      <c r="Z130" s="128"/>
      <c r="AA130" s="128"/>
      <c r="AB130" s="128"/>
      <c r="AC130" s="128"/>
      <c r="AD130" s="128"/>
      <c r="AE130" s="128"/>
      <c r="AF130" s="128"/>
      <c r="AG130" s="128"/>
      <c r="AH130" s="128"/>
      <c r="AI130" s="128"/>
      <c r="AJ130" s="128"/>
      <c r="AK130" s="128"/>
      <c r="AL130" s="128"/>
    </row>
    <row r="131" spans="1:38" s="90" customFormat="1" ht="25.5" hidden="1" customHeight="1">
      <c r="A131" s="95"/>
      <c r="B131" s="146" t="s">
        <v>533</v>
      </c>
      <c r="C131" s="136" t="s">
        <v>365</v>
      </c>
      <c r="D131" s="137" t="s">
        <v>366</v>
      </c>
      <c r="E131" s="114"/>
      <c r="F131" s="141"/>
      <c r="G131" s="151"/>
      <c r="H131" s="335" t="s">
        <v>552</v>
      </c>
      <c r="I131" s="147"/>
      <c r="J131" s="129">
        <v>0</v>
      </c>
      <c r="K131" s="118">
        <f>+SUMIF('Nhập kho  입'!A:A,C131,'Nhập kho  입'!E:E)</f>
        <v>0</v>
      </c>
      <c r="L131" s="119">
        <f>+SUMIF(' Xuất kho 출'!A:A,C131,' Xuất kho 출'!E:E)</f>
        <v>0</v>
      </c>
      <c r="M131" s="120"/>
      <c r="N131" s="130"/>
      <c r="O131" s="148"/>
      <c r="P131" s="149"/>
      <c r="Q131" s="131">
        <f t="shared" si="3"/>
        <v>0</v>
      </c>
      <c r="R131" s="124"/>
      <c r="S131" s="124"/>
      <c r="T131" s="125">
        <f t="shared" si="2"/>
        <v>0</v>
      </c>
      <c r="U131" s="126"/>
      <c r="V131" s="132"/>
      <c r="W131" s="127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28"/>
      <c r="AH131" s="128"/>
      <c r="AI131" s="128"/>
      <c r="AJ131" s="128"/>
      <c r="AK131" s="128"/>
      <c r="AL131" s="128"/>
    </row>
    <row r="132" spans="1:38" s="90" customFormat="1" ht="25.5" customHeight="1">
      <c r="A132" s="95"/>
      <c r="B132" s="146" t="s">
        <v>533</v>
      </c>
      <c r="C132" s="136" t="s">
        <v>320</v>
      </c>
      <c r="D132" s="137" t="s">
        <v>321</v>
      </c>
      <c r="E132" s="114" t="s">
        <v>542</v>
      </c>
      <c r="F132" s="142" t="s">
        <v>537</v>
      </c>
      <c r="G132" s="151" t="s">
        <v>541</v>
      </c>
      <c r="H132" s="335" t="s">
        <v>552</v>
      </c>
      <c r="I132" s="147"/>
      <c r="J132" s="129">
        <v>2550</v>
      </c>
      <c r="K132" s="118">
        <f>+SUMIF('Nhập kho  입'!A:A,C132,'Nhập kho  입'!E:E)</f>
        <v>0</v>
      </c>
      <c r="L132" s="119">
        <f>+SUMIF(' Xuất kho 출'!A:A,C132,' Xuất kho 출'!E:E)</f>
        <v>0</v>
      </c>
      <c r="M132" s="120"/>
      <c r="N132" s="130"/>
      <c r="O132" s="148"/>
      <c r="P132" s="149"/>
      <c r="Q132" s="131">
        <f t="shared" si="3"/>
        <v>2550</v>
      </c>
      <c r="R132" s="124">
        <f>51*50</f>
        <v>2550</v>
      </c>
      <c r="S132" s="124"/>
      <c r="T132" s="125">
        <f t="shared" si="2"/>
        <v>0</v>
      </c>
      <c r="U132" s="126"/>
      <c r="V132" s="132"/>
      <c r="W132" s="127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28"/>
      <c r="AH132" s="128"/>
      <c r="AI132" s="128"/>
      <c r="AJ132" s="128"/>
      <c r="AK132" s="128"/>
      <c r="AL132" s="128"/>
    </row>
    <row r="133" spans="1:38" s="90" customFormat="1" ht="25.5" customHeight="1">
      <c r="A133" s="95"/>
      <c r="B133" s="146" t="s">
        <v>533</v>
      </c>
      <c r="C133" s="136" t="s">
        <v>865</v>
      </c>
      <c r="D133" s="137" t="s">
        <v>97</v>
      </c>
      <c r="E133" s="114" t="s">
        <v>605</v>
      </c>
      <c r="F133" s="142" t="s">
        <v>540</v>
      </c>
      <c r="G133" s="151" t="s">
        <v>549</v>
      </c>
      <c r="H133" s="335" t="s">
        <v>552</v>
      </c>
      <c r="I133" s="147"/>
      <c r="J133" s="129">
        <v>500</v>
      </c>
      <c r="K133" s="118">
        <f>+SUMIF('Nhập kho  입'!A:A,C133,'Nhập kho  입'!E:E)</f>
        <v>0</v>
      </c>
      <c r="L133" s="119">
        <f>+SUMIF(' Xuất kho 출'!A:A,C133,' Xuất kho 출'!E:E)</f>
        <v>0</v>
      </c>
      <c r="M133" s="120"/>
      <c r="N133" s="130"/>
      <c r="O133" s="148"/>
      <c r="P133" s="149"/>
      <c r="Q133" s="131">
        <f t="shared" si="3"/>
        <v>500</v>
      </c>
      <c r="R133" s="124">
        <v>500</v>
      </c>
      <c r="S133" s="124"/>
      <c r="T133" s="125">
        <f t="shared" si="2"/>
        <v>0</v>
      </c>
      <c r="U133" s="126"/>
      <c r="V133" s="132"/>
      <c r="W133" s="127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28"/>
      <c r="AH133" s="128"/>
      <c r="AI133" s="128"/>
      <c r="AJ133" s="128"/>
      <c r="AK133" s="128"/>
      <c r="AL133" s="128"/>
    </row>
    <row r="134" spans="1:38" s="90" customFormat="1" ht="25.5" customHeight="1">
      <c r="A134" s="95"/>
      <c r="B134" s="146" t="s">
        <v>533</v>
      </c>
      <c r="C134" s="136" t="s">
        <v>1250</v>
      </c>
      <c r="D134" s="137" t="s">
        <v>273</v>
      </c>
      <c r="E134" s="114" t="s">
        <v>561</v>
      </c>
      <c r="F134" s="142">
        <v>125150</v>
      </c>
      <c r="G134" s="142" t="s">
        <v>534</v>
      </c>
      <c r="H134" s="335" t="s">
        <v>552</v>
      </c>
      <c r="I134" s="147"/>
      <c r="J134" s="129">
        <v>800</v>
      </c>
      <c r="K134" s="118">
        <f>+SUMIF('Nhập kho  입'!A:A,C134,'Nhập kho  입'!E:E)</f>
        <v>0</v>
      </c>
      <c r="L134" s="119">
        <f>+SUMIF(' Xuất kho 출'!A:A,C134,' Xuất kho 출'!E:E)</f>
        <v>400</v>
      </c>
      <c r="M134" s="120"/>
      <c r="N134" s="130"/>
      <c r="O134" s="148"/>
      <c r="P134" s="149"/>
      <c r="Q134" s="131">
        <f t="shared" si="3"/>
        <v>400</v>
      </c>
      <c r="R134" s="124">
        <f>16*50</f>
        <v>800</v>
      </c>
      <c r="S134" s="124"/>
      <c r="T134" s="125">
        <f t="shared" si="2"/>
        <v>400</v>
      </c>
      <c r="U134" s="126"/>
      <c r="V134" s="132"/>
      <c r="W134" s="127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28"/>
      <c r="AH134" s="128"/>
      <c r="AI134" s="128"/>
      <c r="AJ134" s="128"/>
      <c r="AK134" s="128"/>
      <c r="AL134" s="128"/>
    </row>
    <row r="135" spans="1:38" s="90" customFormat="1" ht="25.5" hidden="1" customHeight="1">
      <c r="A135" s="95"/>
      <c r="B135" s="146" t="s">
        <v>533</v>
      </c>
      <c r="C135" s="136" t="s">
        <v>181</v>
      </c>
      <c r="D135" s="137" t="s">
        <v>182</v>
      </c>
      <c r="E135" s="114"/>
      <c r="F135" s="142" t="s">
        <v>606</v>
      </c>
      <c r="G135" s="151" t="s">
        <v>534</v>
      </c>
      <c r="H135" s="114"/>
      <c r="I135" s="147"/>
      <c r="J135" s="129">
        <v>0</v>
      </c>
      <c r="K135" s="118">
        <f>+SUMIF('Nhập kho  입'!A:A,C135,'Nhập kho  입'!E:E)</f>
        <v>0</v>
      </c>
      <c r="L135" s="119">
        <f>+SUMIF(' Xuất kho 출'!A:A,C135,' Xuất kho 출'!E:E)</f>
        <v>0</v>
      </c>
      <c r="M135" s="120"/>
      <c r="N135" s="130"/>
      <c r="O135" s="148"/>
      <c r="P135" s="149"/>
      <c r="Q135" s="131">
        <f t="shared" si="3"/>
        <v>0</v>
      </c>
      <c r="R135" s="124"/>
      <c r="S135" s="134"/>
      <c r="T135" s="125">
        <f t="shared" ref="T135:T200" si="4">+R135-Q135</f>
        <v>0</v>
      </c>
      <c r="U135" s="126"/>
      <c r="V135" s="132"/>
      <c r="W135" s="127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28"/>
      <c r="AH135" s="128"/>
      <c r="AI135" s="128"/>
      <c r="AJ135" s="128"/>
      <c r="AK135" s="128"/>
      <c r="AL135" s="128"/>
    </row>
    <row r="136" spans="1:38" s="90" customFormat="1" ht="25.5" customHeight="1">
      <c r="A136" s="95"/>
      <c r="B136" s="146" t="s">
        <v>533</v>
      </c>
      <c r="C136" s="136" t="s">
        <v>403</v>
      </c>
      <c r="D136" s="137" t="s">
        <v>404</v>
      </c>
      <c r="E136" s="114"/>
      <c r="F136" s="141"/>
      <c r="G136" s="151" t="s">
        <v>562</v>
      </c>
      <c r="H136" s="335" t="s">
        <v>552</v>
      </c>
      <c r="I136" s="147"/>
      <c r="J136" s="129">
        <v>50</v>
      </c>
      <c r="K136" s="118">
        <f>+SUMIF('Nhập kho  입'!A:A,C136,'Nhập kho  입'!E:E)</f>
        <v>0</v>
      </c>
      <c r="L136" s="119">
        <f>+SUMIF(' Xuất kho 출'!A:A,C136,' Xuất kho 출'!E:E)</f>
        <v>0</v>
      </c>
      <c r="M136" s="120"/>
      <c r="N136" s="130"/>
      <c r="O136" s="148"/>
      <c r="P136" s="149"/>
      <c r="Q136" s="131">
        <f t="shared" ref="Q136:Q201" si="5">+J136+K136-L136-N136</f>
        <v>50</v>
      </c>
      <c r="R136" s="124">
        <v>50</v>
      </c>
      <c r="S136" s="124"/>
      <c r="T136" s="125">
        <f t="shared" si="4"/>
        <v>0</v>
      </c>
      <c r="U136" s="126"/>
      <c r="V136" s="132"/>
      <c r="W136" s="127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28"/>
      <c r="AH136" s="128"/>
      <c r="AI136" s="128"/>
      <c r="AJ136" s="128"/>
      <c r="AK136" s="128"/>
      <c r="AL136" s="128"/>
    </row>
    <row r="137" spans="1:38" s="90" customFormat="1" ht="25.5" hidden="1" customHeight="1">
      <c r="A137" s="95"/>
      <c r="B137" s="146" t="s">
        <v>533</v>
      </c>
      <c r="C137" s="136" t="s">
        <v>441</v>
      </c>
      <c r="D137" s="137" t="s">
        <v>442</v>
      </c>
      <c r="E137" s="114" t="s">
        <v>601</v>
      </c>
      <c r="F137" s="142"/>
      <c r="G137" s="151"/>
      <c r="H137" s="335" t="s">
        <v>546</v>
      </c>
      <c r="I137" s="147"/>
      <c r="J137" s="129">
        <v>0</v>
      </c>
      <c r="K137" s="118">
        <f>+SUMIF('Nhập kho  입'!A:A,C137,'Nhập kho  입'!E:E)</f>
        <v>0</v>
      </c>
      <c r="L137" s="119">
        <f>+SUMIF(' Xuất kho 출'!A:A,C137,' Xuất kho 출'!E:E)</f>
        <v>0</v>
      </c>
      <c r="M137" s="120"/>
      <c r="N137" s="130"/>
      <c r="O137" s="148"/>
      <c r="P137" s="149"/>
      <c r="Q137" s="131">
        <f t="shared" si="5"/>
        <v>0</v>
      </c>
      <c r="R137" s="124"/>
      <c r="S137" s="124"/>
      <c r="T137" s="125">
        <f t="shared" si="4"/>
        <v>0</v>
      </c>
      <c r="U137" s="126"/>
      <c r="V137" s="132"/>
      <c r="W137" s="127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28"/>
      <c r="AJ137" s="128"/>
      <c r="AK137" s="128"/>
      <c r="AL137" s="128"/>
    </row>
    <row r="138" spans="1:38" s="90" customFormat="1" ht="25.5" customHeight="1">
      <c r="A138" s="95"/>
      <c r="B138" s="146" t="s">
        <v>533</v>
      </c>
      <c r="C138" s="136" t="s">
        <v>790</v>
      </c>
      <c r="D138" s="137" t="s">
        <v>295</v>
      </c>
      <c r="E138" s="114" t="s">
        <v>607</v>
      </c>
      <c r="F138" s="141" t="s">
        <v>537</v>
      </c>
      <c r="G138" s="151" t="s">
        <v>534</v>
      </c>
      <c r="H138" s="335" t="s">
        <v>546</v>
      </c>
      <c r="I138" s="147"/>
      <c r="J138" s="129">
        <v>3700</v>
      </c>
      <c r="K138" s="118">
        <f>+SUMIF('Nhập kho  입'!A:A,C138,'Nhập kho  입'!E:E)</f>
        <v>0</v>
      </c>
      <c r="L138" s="119">
        <f>+SUMIF(' Xuất kho 출'!A:A,C138,' Xuất kho 출'!E:E)</f>
        <v>1000</v>
      </c>
      <c r="M138" s="120"/>
      <c r="N138" s="130"/>
      <c r="O138" s="148"/>
      <c r="P138" s="149"/>
      <c r="Q138" s="131">
        <f t="shared" si="5"/>
        <v>2700</v>
      </c>
      <c r="R138" s="124">
        <f>42*50+38*50</f>
        <v>4000</v>
      </c>
      <c r="S138" s="124"/>
      <c r="T138" s="125">
        <f t="shared" si="4"/>
        <v>1300</v>
      </c>
      <c r="U138" s="126"/>
      <c r="V138" s="132"/>
      <c r="W138" s="127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28"/>
      <c r="AH138" s="128"/>
      <c r="AI138" s="128"/>
      <c r="AJ138" s="128"/>
      <c r="AK138" s="128"/>
      <c r="AL138" s="128"/>
    </row>
    <row r="139" spans="1:38" s="90" customFormat="1" ht="25.5" customHeight="1">
      <c r="A139" s="95"/>
      <c r="B139" s="146" t="s">
        <v>533</v>
      </c>
      <c r="C139" s="136" t="s">
        <v>1201</v>
      </c>
      <c r="D139" s="137" t="s">
        <v>242</v>
      </c>
      <c r="E139" s="114" t="s">
        <v>608</v>
      </c>
      <c r="F139" s="141">
        <v>125140</v>
      </c>
      <c r="G139" s="142" t="s">
        <v>534</v>
      </c>
      <c r="H139" s="335" t="s">
        <v>552</v>
      </c>
      <c r="I139" s="147"/>
      <c r="J139" s="129">
        <v>1450</v>
      </c>
      <c r="K139" s="118">
        <f>+SUMIF('Nhập kho  입'!A:A,C139,'Nhập kho  입'!E:E)</f>
        <v>750</v>
      </c>
      <c r="L139" s="119">
        <f>+SUMIF(' Xuất kho 출'!A:A,C139,' Xuất kho 출'!E:E)</f>
        <v>0</v>
      </c>
      <c r="M139" s="120"/>
      <c r="N139" s="130"/>
      <c r="O139" s="148"/>
      <c r="P139" s="149"/>
      <c r="Q139" s="131">
        <f t="shared" si="5"/>
        <v>2200</v>
      </c>
      <c r="R139" s="124">
        <f>24*50+150+100</f>
        <v>1450</v>
      </c>
      <c r="S139" s="124"/>
      <c r="T139" s="125">
        <f t="shared" si="4"/>
        <v>-750</v>
      </c>
      <c r="U139" s="126"/>
      <c r="V139" s="132"/>
      <c r="W139" s="127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28"/>
      <c r="AH139" s="128"/>
      <c r="AI139" s="128"/>
      <c r="AJ139" s="128"/>
      <c r="AK139" s="128"/>
      <c r="AL139" s="128"/>
    </row>
    <row r="140" spans="1:38" s="90" customFormat="1" ht="25.5" customHeight="1">
      <c r="A140" s="95"/>
      <c r="B140" s="146" t="s">
        <v>533</v>
      </c>
      <c r="C140" s="142" t="s">
        <v>198</v>
      </c>
      <c r="D140" s="137" t="s">
        <v>199</v>
      </c>
      <c r="E140" s="114" t="s">
        <v>609</v>
      </c>
      <c r="F140" s="141" t="s">
        <v>540</v>
      </c>
      <c r="G140" s="142" t="s">
        <v>549</v>
      </c>
      <c r="H140" s="335" t="s">
        <v>552</v>
      </c>
      <c r="I140" s="147"/>
      <c r="J140" s="129">
        <v>300</v>
      </c>
      <c r="K140" s="118">
        <f>+SUMIF('Nhập kho  입'!A:A,C140,'Nhập kho  입'!E:E)</f>
        <v>0</v>
      </c>
      <c r="L140" s="119">
        <f>+SUMIF(' Xuất kho 출'!A:A,C140,' Xuất kho 출'!E:E)</f>
        <v>0</v>
      </c>
      <c r="M140" s="120"/>
      <c r="N140" s="130"/>
      <c r="O140" s="148"/>
      <c r="P140" s="149"/>
      <c r="Q140" s="131">
        <f t="shared" si="5"/>
        <v>300</v>
      </c>
      <c r="R140" s="124">
        <v>300</v>
      </c>
      <c r="S140" s="124"/>
      <c r="T140" s="125">
        <f t="shared" si="4"/>
        <v>0</v>
      </c>
      <c r="U140" s="126"/>
      <c r="V140" s="132"/>
      <c r="W140" s="127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28"/>
      <c r="AH140" s="128"/>
      <c r="AI140" s="128"/>
      <c r="AJ140" s="128"/>
      <c r="AK140" s="128"/>
      <c r="AL140" s="128"/>
    </row>
    <row r="141" spans="1:38" s="90" customFormat="1" ht="25.5" hidden="1" customHeight="1">
      <c r="A141" s="95"/>
      <c r="B141" s="146" t="s">
        <v>533</v>
      </c>
      <c r="C141" s="142" t="s">
        <v>30</v>
      </c>
      <c r="D141" s="137" t="s">
        <v>31</v>
      </c>
      <c r="E141" s="114"/>
      <c r="F141" s="141" t="s">
        <v>610</v>
      </c>
      <c r="G141" s="142" t="s">
        <v>534</v>
      </c>
      <c r="H141" s="335" t="s">
        <v>552</v>
      </c>
      <c r="I141" s="337" t="s">
        <v>541</v>
      </c>
      <c r="J141" s="129">
        <v>0</v>
      </c>
      <c r="K141" s="118">
        <f>+SUMIF('Nhập kho  입'!A:A,C141,'Nhập kho  입'!E:E)</f>
        <v>0</v>
      </c>
      <c r="L141" s="119">
        <f>+SUMIF(' Xuất kho 출'!A:A,C141,' Xuất kho 출'!E:E)</f>
        <v>0</v>
      </c>
      <c r="M141" s="120"/>
      <c r="N141" s="130"/>
      <c r="O141" s="148"/>
      <c r="P141" s="149"/>
      <c r="Q141" s="131">
        <f t="shared" si="5"/>
        <v>0</v>
      </c>
      <c r="R141" s="124"/>
      <c r="S141" s="124"/>
      <c r="T141" s="125">
        <f t="shared" si="4"/>
        <v>0</v>
      </c>
      <c r="U141" s="126"/>
      <c r="V141" s="132"/>
      <c r="W141" s="127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28"/>
      <c r="AH141" s="128"/>
      <c r="AI141" s="128"/>
      <c r="AJ141" s="128"/>
      <c r="AK141" s="128"/>
      <c r="AL141" s="128"/>
    </row>
    <row r="142" spans="1:38" s="90" customFormat="1" ht="25.5" hidden="1" customHeight="1">
      <c r="A142" s="95"/>
      <c r="B142" s="146" t="s">
        <v>533</v>
      </c>
      <c r="C142" s="142" t="s">
        <v>106</v>
      </c>
      <c r="D142" s="137" t="s">
        <v>107</v>
      </c>
      <c r="E142" s="114"/>
      <c r="F142" s="142" t="s">
        <v>540</v>
      </c>
      <c r="G142" s="142" t="s">
        <v>549</v>
      </c>
      <c r="H142" s="114"/>
      <c r="I142" s="147"/>
      <c r="J142" s="129">
        <v>0</v>
      </c>
      <c r="K142" s="118">
        <f>+SUMIF('Nhập kho  입'!A:A,C142,'Nhập kho  입'!E:E)</f>
        <v>0</v>
      </c>
      <c r="L142" s="119">
        <f>+SUMIF(' Xuất kho 출'!A:A,C142,' Xuất kho 출'!E:E)</f>
        <v>0</v>
      </c>
      <c r="M142" s="120"/>
      <c r="N142" s="130"/>
      <c r="O142" s="148"/>
      <c r="P142" s="149"/>
      <c r="Q142" s="131">
        <f t="shared" si="5"/>
        <v>0</v>
      </c>
      <c r="R142" s="124"/>
      <c r="S142" s="134"/>
      <c r="T142" s="125">
        <f t="shared" si="4"/>
        <v>0</v>
      </c>
      <c r="U142" s="126"/>
      <c r="V142" s="132"/>
      <c r="W142" s="127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28"/>
      <c r="AJ142" s="128"/>
      <c r="AK142" s="128"/>
      <c r="AL142" s="128"/>
    </row>
    <row r="143" spans="1:38" s="90" customFormat="1" ht="25.5" hidden="1" customHeight="1">
      <c r="A143" s="95"/>
      <c r="B143" s="146" t="s">
        <v>533</v>
      </c>
      <c r="C143" s="142" t="s">
        <v>83</v>
      </c>
      <c r="D143" s="137" t="s">
        <v>84</v>
      </c>
      <c r="E143" s="114"/>
      <c r="F143" s="142" t="s">
        <v>537</v>
      </c>
      <c r="G143" s="142" t="s">
        <v>534</v>
      </c>
      <c r="H143" s="114"/>
      <c r="I143" s="147"/>
      <c r="J143" s="129">
        <v>0</v>
      </c>
      <c r="K143" s="118">
        <f>+SUMIF('Nhập kho  입'!A:A,C143,'Nhập kho  입'!E:E)</f>
        <v>0</v>
      </c>
      <c r="L143" s="119">
        <f>+SUMIF(' Xuất kho 출'!A:A,C143,' Xuất kho 출'!E:E)</f>
        <v>0</v>
      </c>
      <c r="M143" s="120"/>
      <c r="N143" s="130"/>
      <c r="O143" s="148"/>
      <c r="P143" s="149"/>
      <c r="Q143" s="131">
        <f t="shared" si="5"/>
        <v>0</v>
      </c>
      <c r="R143" s="124"/>
      <c r="S143" s="124"/>
      <c r="T143" s="125">
        <f t="shared" si="4"/>
        <v>0</v>
      </c>
      <c r="U143" s="126"/>
      <c r="V143" s="132"/>
      <c r="W143" s="127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28"/>
      <c r="AH143" s="128"/>
      <c r="AI143" s="128"/>
      <c r="AJ143" s="128"/>
      <c r="AK143" s="128"/>
      <c r="AL143" s="128"/>
    </row>
    <row r="144" spans="1:38" s="90" customFormat="1" ht="25.5" hidden="1" customHeight="1">
      <c r="A144" s="95"/>
      <c r="B144" s="146" t="s">
        <v>533</v>
      </c>
      <c r="C144" s="142" t="s">
        <v>25</v>
      </c>
      <c r="D144" s="137" t="s">
        <v>26</v>
      </c>
      <c r="E144" s="114" t="s">
        <v>611</v>
      </c>
      <c r="F144" s="142">
        <v>125140</v>
      </c>
      <c r="G144" s="151" t="s">
        <v>534</v>
      </c>
      <c r="H144" s="335" t="s">
        <v>552</v>
      </c>
      <c r="I144" s="337" t="s">
        <v>541</v>
      </c>
      <c r="J144" s="129">
        <v>0</v>
      </c>
      <c r="K144" s="118">
        <f>+SUMIF('Nhập kho  입'!A:A,C144,'Nhập kho  입'!E:E)</f>
        <v>0</v>
      </c>
      <c r="L144" s="119">
        <f>+SUMIF(' Xuất kho 출'!A:A,C144,' Xuất kho 출'!E:E)</f>
        <v>0</v>
      </c>
      <c r="M144" s="120"/>
      <c r="N144" s="130"/>
      <c r="O144" s="148"/>
      <c r="P144" s="149"/>
      <c r="Q144" s="131">
        <f t="shared" si="5"/>
        <v>0</v>
      </c>
      <c r="R144" s="124"/>
      <c r="S144" s="124"/>
      <c r="T144" s="125">
        <f t="shared" si="4"/>
        <v>0</v>
      </c>
      <c r="U144" s="126"/>
      <c r="V144" s="132"/>
      <c r="W144" s="127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28"/>
      <c r="AH144" s="128"/>
      <c r="AI144" s="128"/>
      <c r="AJ144" s="128"/>
      <c r="AK144" s="128"/>
      <c r="AL144" s="128"/>
    </row>
    <row r="145" spans="1:38" s="90" customFormat="1" ht="25.5" hidden="1" customHeight="1">
      <c r="A145" s="95"/>
      <c r="B145" s="146" t="s">
        <v>533</v>
      </c>
      <c r="C145" s="142" t="s">
        <v>27</v>
      </c>
      <c r="D145" s="137" t="s">
        <v>26</v>
      </c>
      <c r="E145" s="114" t="s">
        <v>551</v>
      </c>
      <c r="F145" s="142">
        <v>125150</v>
      </c>
      <c r="G145" s="142" t="s">
        <v>534</v>
      </c>
      <c r="H145" s="335" t="s">
        <v>552</v>
      </c>
      <c r="I145" s="337" t="s">
        <v>541</v>
      </c>
      <c r="J145" s="129">
        <v>0</v>
      </c>
      <c r="K145" s="118">
        <f>+SUMIF('Nhập kho  입'!A:A,C145,'Nhập kho  입'!E:E)</f>
        <v>0</v>
      </c>
      <c r="L145" s="119">
        <f>+SUMIF(' Xuất kho 출'!A:A,C145,' Xuất kho 출'!E:E)</f>
        <v>0</v>
      </c>
      <c r="M145" s="120"/>
      <c r="N145" s="130"/>
      <c r="O145" s="148"/>
      <c r="P145" s="149"/>
      <c r="Q145" s="131">
        <f t="shared" si="5"/>
        <v>0</v>
      </c>
      <c r="R145" s="124"/>
      <c r="S145" s="124"/>
      <c r="T145" s="125">
        <f t="shared" si="4"/>
        <v>0</v>
      </c>
      <c r="U145" s="126"/>
      <c r="V145" s="132"/>
      <c r="W145" s="127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28"/>
      <c r="AH145" s="128"/>
      <c r="AI145" s="128"/>
      <c r="AJ145" s="128"/>
      <c r="AK145" s="128"/>
      <c r="AL145" s="128"/>
    </row>
    <row r="146" spans="1:38" s="90" customFormat="1" ht="25.5" customHeight="1">
      <c r="A146" s="95"/>
      <c r="B146" s="146" t="s">
        <v>533</v>
      </c>
      <c r="C146" s="142" t="s">
        <v>103</v>
      </c>
      <c r="D146" s="137" t="s">
        <v>104</v>
      </c>
      <c r="E146" s="114"/>
      <c r="F146" s="142" t="s">
        <v>540</v>
      </c>
      <c r="G146" s="142" t="s">
        <v>549</v>
      </c>
      <c r="H146" s="335" t="s">
        <v>552</v>
      </c>
      <c r="I146" s="147"/>
      <c r="J146" s="129">
        <v>1600</v>
      </c>
      <c r="K146" s="118">
        <f>+SUMIF('Nhập kho  입'!A:A,C146,'Nhập kho  입'!E:E)</f>
        <v>0</v>
      </c>
      <c r="L146" s="119">
        <f>+SUMIF(' Xuất kho 출'!A:A,C146,' Xuất kho 출'!E:E)</f>
        <v>0</v>
      </c>
      <c r="M146" s="120"/>
      <c r="N146" s="130"/>
      <c r="O146" s="148"/>
      <c r="P146" s="149"/>
      <c r="Q146" s="131">
        <f t="shared" si="5"/>
        <v>1600</v>
      </c>
      <c r="R146" s="124">
        <v>1500</v>
      </c>
      <c r="S146" s="124"/>
      <c r="T146" s="125">
        <f t="shared" si="4"/>
        <v>-100</v>
      </c>
      <c r="U146" s="126"/>
      <c r="V146" s="132"/>
      <c r="W146" s="127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28"/>
      <c r="AH146" s="128"/>
      <c r="AI146" s="128"/>
      <c r="AJ146" s="128"/>
      <c r="AK146" s="128"/>
      <c r="AL146" s="128"/>
    </row>
    <row r="147" spans="1:38" s="90" customFormat="1" ht="25.5" customHeight="1">
      <c r="A147" s="95"/>
      <c r="B147" s="146" t="s">
        <v>533</v>
      </c>
      <c r="C147" s="142" t="s">
        <v>1441</v>
      </c>
      <c r="D147" s="137" t="s">
        <v>201</v>
      </c>
      <c r="E147" s="114" t="s">
        <v>568</v>
      </c>
      <c r="F147" s="141" t="s">
        <v>537</v>
      </c>
      <c r="G147" s="142" t="s">
        <v>562</v>
      </c>
      <c r="H147" s="335" t="s">
        <v>552</v>
      </c>
      <c r="I147" s="147"/>
      <c r="J147" s="129">
        <v>1350</v>
      </c>
      <c r="K147" s="118">
        <f>+SUMIF('Nhập kho  입'!A:A,C147,'Nhập kho  입'!E:E)</f>
        <v>0</v>
      </c>
      <c r="L147" s="119">
        <f>+SUMIF(' Xuất kho 출'!A:A,C147,' Xuất kho 출'!E:E)</f>
        <v>300</v>
      </c>
      <c r="M147" s="120"/>
      <c r="N147" s="130"/>
      <c r="O147" s="148"/>
      <c r="P147" s="149"/>
      <c r="Q147" s="131">
        <f t="shared" si="5"/>
        <v>1050</v>
      </c>
      <c r="R147" s="124">
        <f>27*50</f>
        <v>1350</v>
      </c>
      <c r="S147" s="124"/>
      <c r="T147" s="125">
        <f t="shared" si="4"/>
        <v>300</v>
      </c>
      <c r="U147" s="126"/>
      <c r="V147" s="132"/>
      <c r="W147" s="127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28"/>
      <c r="AH147" s="128"/>
      <c r="AI147" s="128"/>
      <c r="AJ147" s="128"/>
      <c r="AK147" s="128"/>
      <c r="AL147" s="128"/>
    </row>
    <row r="148" spans="1:38" s="90" customFormat="1" ht="25.5" customHeight="1">
      <c r="A148" s="95"/>
      <c r="B148" s="146" t="s">
        <v>533</v>
      </c>
      <c r="C148" s="142" t="s">
        <v>416</v>
      </c>
      <c r="D148" s="137" t="s">
        <v>417</v>
      </c>
      <c r="E148" s="114" t="s">
        <v>542</v>
      </c>
      <c r="F148" s="142"/>
      <c r="G148" s="142" t="s">
        <v>562</v>
      </c>
      <c r="H148" s="335" t="s">
        <v>552</v>
      </c>
      <c r="I148" s="147"/>
      <c r="J148" s="129">
        <v>2900</v>
      </c>
      <c r="K148" s="118">
        <f>+SUMIF('Nhập kho  입'!A:A,C148,'Nhập kho  입'!E:E)</f>
        <v>0</v>
      </c>
      <c r="L148" s="119">
        <f>+SUMIF(' Xuất kho 출'!A:A,C148,' Xuất kho 출'!E:E)</f>
        <v>0</v>
      </c>
      <c r="M148" s="120"/>
      <c r="N148" s="130"/>
      <c r="O148" s="148"/>
      <c r="P148" s="149"/>
      <c r="Q148" s="131">
        <f t="shared" si="5"/>
        <v>2900</v>
      </c>
      <c r="R148" s="124">
        <f>29*50+29*50</f>
        <v>2900</v>
      </c>
      <c r="S148" s="124"/>
      <c r="T148" s="125">
        <f t="shared" si="4"/>
        <v>0</v>
      </c>
      <c r="U148" s="126"/>
      <c r="V148" s="132"/>
      <c r="W148" s="127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28"/>
      <c r="AJ148" s="128"/>
      <c r="AK148" s="128"/>
      <c r="AL148" s="128"/>
    </row>
    <row r="149" spans="1:38" s="90" customFormat="1" ht="25.5" customHeight="1">
      <c r="A149" s="95"/>
      <c r="B149" s="146" t="s">
        <v>533</v>
      </c>
      <c r="C149" s="142" t="s">
        <v>127</v>
      </c>
      <c r="D149" s="137" t="s">
        <v>128</v>
      </c>
      <c r="E149" s="114" t="s">
        <v>591</v>
      </c>
      <c r="F149" s="142" t="s">
        <v>540</v>
      </c>
      <c r="G149" s="142" t="s">
        <v>534</v>
      </c>
      <c r="H149" s="335" t="s">
        <v>552</v>
      </c>
      <c r="I149" s="147"/>
      <c r="J149" s="129">
        <v>250</v>
      </c>
      <c r="K149" s="118">
        <f>+SUMIF('Nhập kho  입'!A:A,C149,'Nhập kho  입'!E:E)</f>
        <v>0</v>
      </c>
      <c r="L149" s="119">
        <f>+SUMIF(' Xuất kho 출'!A:A,C149,' Xuất kho 출'!E:E)</f>
        <v>0</v>
      </c>
      <c r="M149" s="120"/>
      <c r="N149" s="130"/>
      <c r="O149" s="148"/>
      <c r="P149" s="149"/>
      <c r="Q149" s="131">
        <f t="shared" si="5"/>
        <v>250</v>
      </c>
      <c r="R149" s="124">
        <v>250</v>
      </c>
      <c r="S149" s="124"/>
      <c r="T149" s="125">
        <f t="shared" si="4"/>
        <v>0</v>
      </c>
      <c r="U149" s="126"/>
      <c r="V149" s="132"/>
      <c r="W149" s="127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28"/>
      <c r="AH149" s="128"/>
      <c r="AI149" s="128"/>
      <c r="AJ149" s="128"/>
      <c r="AK149" s="128"/>
      <c r="AL149" s="128"/>
    </row>
    <row r="150" spans="1:38" s="90" customFormat="1" ht="25.5" customHeight="1">
      <c r="A150" s="95"/>
      <c r="B150" s="146" t="s">
        <v>533</v>
      </c>
      <c r="C150" s="142" t="s">
        <v>1316</v>
      </c>
      <c r="D150" s="137" t="s">
        <v>99</v>
      </c>
      <c r="E150" s="114" t="s">
        <v>612</v>
      </c>
      <c r="F150" s="142" t="s">
        <v>540</v>
      </c>
      <c r="G150" s="151" t="s">
        <v>549</v>
      </c>
      <c r="H150" s="335" t="s">
        <v>552</v>
      </c>
      <c r="I150" s="147"/>
      <c r="J150" s="129">
        <v>0</v>
      </c>
      <c r="K150" s="118">
        <f>+SUMIF('Nhập kho  입'!A:A,C150,'Nhập kho  입'!E:E)</f>
        <v>300</v>
      </c>
      <c r="L150" s="119">
        <f>+SUMIF(' Xuất kho 출'!A:A,C150,' Xuất kho 출'!E:E)</f>
        <v>0</v>
      </c>
      <c r="M150" s="120"/>
      <c r="N150" s="130"/>
      <c r="O150" s="148"/>
      <c r="P150" s="149"/>
      <c r="Q150" s="131">
        <f t="shared" si="5"/>
        <v>300</v>
      </c>
      <c r="R150" s="124"/>
      <c r="S150" s="152"/>
      <c r="T150" s="125">
        <f t="shared" si="4"/>
        <v>-300</v>
      </c>
      <c r="U150" s="126"/>
      <c r="V150" s="132"/>
      <c r="W150" s="127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28"/>
      <c r="AH150" s="128"/>
      <c r="AI150" s="128"/>
      <c r="AJ150" s="128"/>
      <c r="AK150" s="128"/>
      <c r="AL150" s="128"/>
    </row>
    <row r="151" spans="1:38" s="90" customFormat="1" ht="25.5" customHeight="1">
      <c r="A151" s="95"/>
      <c r="B151" s="146" t="s">
        <v>533</v>
      </c>
      <c r="C151" s="142" t="s">
        <v>28</v>
      </c>
      <c r="D151" s="137" t="s">
        <v>29</v>
      </c>
      <c r="E151" s="114" t="s">
        <v>613</v>
      </c>
      <c r="F151" s="141">
        <v>125150</v>
      </c>
      <c r="G151" s="151" t="s">
        <v>534</v>
      </c>
      <c r="H151" s="335" t="s">
        <v>552</v>
      </c>
      <c r="I151" s="337" t="s">
        <v>541</v>
      </c>
      <c r="J151" s="129">
        <v>200</v>
      </c>
      <c r="K151" s="118">
        <f>+SUMIF('Nhập kho  입'!A:A,C151,'Nhập kho  입'!E:E)</f>
        <v>0</v>
      </c>
      <c r="L151" s="119">
        <f>+SUMIF(' Xuất kho 출'!A:A,C151,' Xuất kho 출'!E:E)</f>
        <v>0</v>
      </c>
      <c r="M151" s="120"/>
      <c r="N151" s="130"/>
      <c r="O151" s="148"/>
      <c r="P151" s="149"/>
      <c r="Q151" s="131">
        <f t="shared" si="5"/>
        <v>200</v>
      </c>
      <c r="R151" s="124">
        <v>200</v>
      </c>
      <c r="S151" s="134"/>
      <c r="T151" s="125">
        <f t="shared" si="4"/>
        <v>0</v>
      </c>
      <c r="U151" s="126"/>
      <c r="V151" s="132"/>
      <c r="W151" s="127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28"/>
      <c r="AH151" s="128"/>
      <c r="AI151" s="128"/>
      <c r="AJ151" s="128"/>
      <c r="AK151" s="128"/>
      <c r="AL151" s="128"/>
    </row>
    <row r="152" spans="1:38" s="90" customFormat="1" ht="25.5" customHeight="1">
      <c r="A152" s="95"/>
      <c r="B152" s="146" t="s">
        <v>533</v>
      </c>
      <c r="C152" s="142" t="s">
        <v>1550</v>
      </c>
      <c r="D152" s="137" t="s">
        <v>92</v>
      </c>
      <c r="E152" s="114" t="s">
        <v>614</v>
      </c>
      <c r="F152" s="142" t="s">
        <v>540</v>
      </c>
      <c r="G152" s="151" t="s">
        <v>549</v>
      </c>
      <c r="H152" s="335" t="s">
        <v>546</v>
      </c>
      <c r="I152" s="147"/>
      <c r="J152" s="129">
        <v>100</v>
      </c>
      <c r="K152" s="118">
        <f>+SUMIF('Nhập kho  입'!A:A,C152,'Nhập kho  입'!E:E)</f>
        <v>6800</v>
      </c>
      <c r="L152" s="119">
        <f>+SUMIF(' Xuất kho 출'!A:A,C152,' Xuất kho 출'!E:E)</f>
        <v>5300</v>
      </c>
      <c r="M152" s="120"/>
      <c r="N152" s="130"/>
      <c r="O152" s="148"/>
      <c r="P152" s="149"/>
      <c r="Q152" s="131">
        <f t="shared" si="5"/>
        <v>1600</v>
      </c>
      <c r="R152" s="124">
        <v>100</v>
      </c>
      <c r="S152" s="124"/>
      <c r="T152" s="125">
        <f t="shared" si="4"/>
        <v>-1500</v>
      </c>
      <c r="U152" s="126"/>
      <c r="V152" s="132"/>
      <c r="W152" s="127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28"/>
      <c r="AJ152" s="128"/>
      <c r="AK152" s="128"/>
      <c r="AL152" s="128"/>
    </row>
    <row r="153" spans="1:38" s="90" customFormat="1" ht="25.5" hidden="1" customHeight="1">
      <c r="A153" s="95"/>
      <c r="B153" s="146" t="s">
        <v>533</v>
      </c>
      <c r="C153" s="142" t="s">
        <v>93</v>
      </c>
      <c r="D153" s="137" t="s">
        <v>92</v>
      </c>
      <c r="E153" s="114"/>
      <c r="F153" s="141" t="s">
        <v>578</v>
      </c>
      <c r="G153" s="151"/>
      <c r="H153" s="335" t="s">
        <v>546</v>
      </c>
      <c r="I153" s="147"/>
      <c r="J153" s="129">
        <v>0</v>
      </c>
      <c r="K153" s="118">
        <f>+SUMIF('Nhập kho  입'!A:A,C153,'Nhập kho  입'!E:E)</f>
        <v>0</v>
      </c>
      <c r="L153" s="119">
        <f>+SUMIF(' Xuất kho 출'!A:A,C153,' Xuất kho 출'!E:E)</f>
        <v>0</v>
      </c>
      <c r="M153" s="120"/>
      <c r="N153" s="130"/>
      <c r="O153" s="148"/>
      <c r="P153" s="149"/>
      <c r="Q153" s="131">
        <f t="shared" si="5"/>
        <v>0</v>
      </c>
      <c r="R153" s="124"/>
      <c r="S153" s="124"/>
      <c r="T153" s="125">
        <f t="shared" si="4"/>
        <v>0</v>
      </c>
      <c r="U153" s="126"/>
      <c r="V153" s="132"/>
      <c r="W153" s="127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28"/>
      <c r="AH153" s="128"/>
      <c r="AI153" s="128"/>
      <c r="AJ153" s="128"/>
      <c r="AK153" s="128"/>
      <c r="AL153" s="128"/>
    </row>
    <row r="154" spans="1:38" s="90" customFormat="1" ht="25.5" hidden="1" customHeight="1">
      <c r="A154" s="95"/>
      <c r="B154" s="146" t="s">
        <v>533</v>
      </c>
      <c r="C154" s="142" t="s">
        <v>953</v>
      </c>
      <c r="D154" s="137" t="s">
        <v>380</v>
      </c>
      <c r="E154" s="114" t="s">
        <v>568</v>
      </c>
      <c r="F154" s="141"/>
      <c r="G154" s="151" t="s">
        <v>534</v>
      </c>
      <c r="H154" s="335" t="s">
        <v>552</v>
      </c>
      <c r="I154" s="147"/>
      <c r="J154" s="129">
        <v>0</v>
      </c>
      <c r="K154" s="118">
        <f>+SUMIF('Nhập kho  입'!A:A,C154,'Nhập kho  입'!E:E)</f>
        <v>0</v>
      </c>
      <c r="L154" s="119">
        <f>+SUMIF(' Xuất kho 출'!A:A,C154,' Xuất kho 출'!E:E)</f>
        <v>0</v>
      </c>
      <c r="M154" s="120"/>
      <c r="N154" s="130"/>
      <c r="O154" s="148"/>
      <c r="P154" s="149"/>
      <c r="Q154" s="131">
        <f t="shared" si="5"/>
        <v>0</v>
      </c>
      <c r="R154" s="124"/>
      <c r="S154" s="124"/>
      <c r="T154" s="125">
        <f t="shared" si="4"/>
        <v>0</v>
      </c>
      <c r="U154" s="126"/>
      <c r="V154" s="132"/>
      <c r="W154" s="127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28"/>
      <c r="AH154" s="128"/>
      <c r="AI154" s="128"/>
      <c r="AJ154" s="128"/>
      <c r="AK154" s="128"/>
      <c r="AL154" s="128"/>
    </row>
    <row r="155" spans="1:38" s="90" customFormat="1" ht="25.5" hidden="1" customHeight="1">
      <c r="A155" s="95"/>
      <c r="B155" s="146" t="s">
        <v>533</v>
      </c>
      <c r="C155" s="142" t="s">
        <v>383</v>
      </c>
      <c r="D155" s="137" t="s">
        <v>384</v>
      </c>
      <c r="E155" s="114"/>
      <c r="F155" s="141"/>
      <c r="G155" s="151"/>
      <c r="H155" s="114"/>
      <c r="I155" s="147"/>
      <c r="J155" s="129">
        <v>0</v>
      </c>
      <c r="K155" s="118">
        <f>+SUMIF('Nhập kho  입'!A:A,C155,'Nhập kho  입'!E:E)</f>
        <v>0</v>
      </c>
      <c r="L155" s="119">
        <f>+SUMIF(' Xuất kho 출'!A:A,C155,' Xuất kho 출'!E:E)</f>
        <v>0</v>
      </c>
      <c r="M155" s="120"/>
      <c r="N155" s="130"/>
      <c r="O155" s="148"/>
      <c r="P155" s="149"/>
      <c r="Q155" s="131">
        <f t="shared" si="5"/>
        <v>0</v>
      </c>
      <c r="R155" s="124"/>
      <c r="S155" s="124"/>
      <c r="T155" s="125">
        <f t="shared" si="4"/>
        <v>0</v>
      </c>
      <c r="U155" s="126"/>
      <c r="V155" s="132"/>
      <c r="W155" s="127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28"/>
      <c r="AH155" s="128"/>
      <c r="AI155" s="128"/>
      <c r="AJ155" s="128"/>
      <c r="AK155" s="128"/>
      <c r="AL155" s="128"/>
    </row>
    <row r="156" spans="1:38" s="90" customFormat="1" ht="25.5" hidden="1" customHeight="1">
      <c r="A156" s="95"/>
      <c r="B156" s="146" t="s">
        <v>533</v>
      </c>
      <c r="C156" s="142" t="s">
        <v>454</v>
      </c>
      <c r="D156" s="137" t="s">
        <v>455</v>
      </c>
      <c r="E156" s="114" t="s">
        <v>587</v>
      </c>
      <c r="F156" s="141"/>
      <c r="G156" s="142"/>
      <c r="H156" s="335" t="s">
        <v>552</v>
      </c>
      <c r="I156" s="147"/>
      <c r="J156" s="129">
        <v>0</v>
      </c>
      <c r="K156" s="118">
        <f>+SUMIF('Nhập kho  입'!A:A,C156,'Nhập kho  입'!E:E)</f>
        <v>0</v>
      </c>
      <c r="L156" s="119">
        <f>+SUMIF(' Xuất kho 출'!A:A,C156,' Xuất kho 출'!E:E)</f>
        <v>0</v>
      </c>
      <c r="M156" s="120"/>
      <c r="N156" s="130"/>
      <c r="O156" s="148"/>
      <c r="P156" s="149"/>
      <c r="Q156" s="131">
        <f t="shared" si="5"/>
        <v>0</v>
      </c>
      <c r="R156" s="124"/>
      <c r="S156" s="124"/>
      <c r="T156" s="125">
        <f t="shared" si="4"/>
        <v>0</v>
      </c>
      <c r="U156" s="126"/>
      <c r="V156" s="132"/>
      <c r="W156" s="127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28"/>
      <c r="AH156" s="128"/>
      <c r="AI156" s="128"/>
      <c r="AJ156" s="128"/>
      <c r="AK156" s="128"/>
      <c r="AL156" s="128"/>
    </row>
    <row r="157" spans="1:38" s="90" customFormat="1" ht="25.5" customHeight="1">
      <c r="A157" s="95"/>
      <c r="B157" s="146" t="s">
        <v>533</v>
      </c>
      <c r="C157" s="142" t="s">
        <v>955</v>
      </c>
      <c r="D157" s="137" t="s">
        <v>263</v>
      </c>
      <c r="E157" s="114" t="s">
        <v>542</v>
      </c>
      <c r="F157" s="142">
        <v>125150</v>
      </c>
      <c r="G157" s="151" t="s">
        <v>562</v>
      </c>
      <c r="H157" s="335" t="s">
        <v>552</v>
      </c>
      <c r="I157" s="147"/>
      <c r="J157" s="129">
        <v>1050</v>
      </c>
      <c r="K157" s="118">
        <f>+SUMIF('Nhập kho  입'!A:A,C157,'Nhập kho  입'!E:E)</f>
        <v>9100</v>
      </c>
      <c r="L157" s="119">
        <f>+SUMIF(' Xuất kho 출'!A:A,C157,' Xuất kho 출'!E:E)</f>
        <v>10000</v>
      </c>
      <c r="M157" s="120"/>
      <c r="N157" s="130"/>
      <c r="O157" s="148"/>
      <c r="P157" s="149"/>
      <c r="Q157" s="131">
        <f t="shared" si="5"/>
        <v>150</v>
      </c>
      <c r="R157" s="124">
        <f>20*50+50</f>
        <v>1050</v>
      </c>
      <c r="S157" s="124"/>
      <c r="T157" s="125">
        <f t="shared" si="4"/>
        <v>900</v>
      </c>
      <c r="U157" s="126"/>
      <c r="V157" s="132"/>
      <c r="W157" s="127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28"/>
      <c r="AH157" s="128"/>
      <c r="AI157" s="128"/>
      <c r="AJ157" s="128"/>
      <c r="AK157" s="128"/>
      <c r="AL157" s="128"/>
    </row>
    <row r="158" spans="1:38" s="90" customFormat="1" ht="25.5" customHeight="1">
      <c r="A158" s="95"/>
      <c r="B158" s="146" t="s">
        <v>533</v>
      </c>
      <c r="C158" s="142" t="s">
        <v>788</v>
      </c>
      <c r="D158" s="137" t="s">
        <v>325</v>
      </c>
      <c r="E158" s="114" t="s">
        <v>601</v>
      </c>
      <c r="F158" s="142" t="s">
        <v>615</v>
      </c>
      <c r="G158" s="151" t="s">
        <v>541</v>
      </c>
      <c r="H158" s="335" t="s">
        <v>552</v>
      </c>
      <c r="I158" s="147"/>
      <c r="J158" s="129">
        <v>3450</v>
      </c>
      <c r="K158" s="118">
        <f>+SUMIF('Nhập kho  입'!A:A,C158,'Nhập kho  입'!E:E)</f>
        <v>3300</v>
      </c>
      <c r="L158" s="119">
        <f>+SUMIF(' Xuất kho 출'!A:A,C158,' Xuất kho 출'!E:E)</f>
        <v>2000</v>
      </c>
      <c r="M158" s="120"/>
      <c r="N158" s="130"/>
      <c r="O158" s="148"/>
      <c r="P158" s="149"/>
      <c r="Q158" s="131">
        <f t="shared" si="5"/>
        <v>4750</v>
      </c>
      <c r="R158" s="124">
        <f>32*50+37*50</f>
        <v>3450</v>
      </c>
      <c r="S158" s="124"/>
      <c r="T158" s="125">
        <f t="shared" si="4"/>
        <v>-1300</v>
      </c>
      <c r="U158" s="126"/>
      <c r="V158" s="132"/>
      <c r="W158" s="127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28"/>
      <c r="AH158" s="128"/>
      <c r="AI158" s="128"/>
      <c r="AJ158" s="128"/>
      <c r="AK158" s="128"/>
      <c r="AL158" s="128"/>
    </row>
    <row r="159" spans="1:38" s="90" customFormat="1" ht="25.5" customHeight="1">
      <c r="A159" s="95"/>
      <c r="B159" s="146" t="s">
        <v>533</v>
      </c>
      <c r="C159" s="142" t="s">
        <v>326</v>
      </c>
      <c r="D159" s="137" t="s">
        <v>325</v>
      </c>
      <c r="E159" s="114" t="s">
        <v>616</v>
      </c>
      <c r="F159" s="142"/>
      <c r="G159" s="151" t="s">
        <v>541</v>
      </c>
      <c r="H159" s="335" t="s">
        <v>552</v>
      </c>
      <c r="I159" s="147"/>
      <c r="J159" s="129">
        <v>100</v>
      </c>
      <c r="K159" s="118">
        <f>+SUMIF('Nhập kho  입'!A:A,C159,'Nhập kho  입'!E:E)</f>
        <v>0</v>
      </c>
      <c r="L159" s="119">
        <f>+SUMIF(' Xuất kho 출'!A:A,C159,' Xuất kho 출'!E:E)</f>
        <v>0</v>
      </c>
      <c r="M159" s="120"/>
      <c r="N159" s="130"/>
      <c r="O159" s="148"/>
      <c r="P159" s="149"/>
      <c r="Q159" s="131">
        <f t="shared" si="5"/>
        <v>100</v>
      </c>
      <c r="R159" s="124">
        <v>100</v>
      </c>
      <c r="S159" s="124"/>
      <c r="T159" s="125">
        <f t="shared" si="4"/>
        <v>0</v>
      </c>
      <c r="U159" s="126"/>
      <c r="V159" s="132"/>
      <c r="W159" s="127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28"/>
      <c r="AH159" s="128"/>
      <c r="AI159" s="128"/>
      <c r="AJ159" s="128"/>
      <c r="AK159" s="128"/>
      <c r="AL159" s="128"/>
    </row>
    <row r="160" spans="1:38" s="90" customFormat="1" ht="25.5" customHeight="1">
      <c r="A160" s="95"/>
      <c r="B160" s="146" t="s">
        <v>533</v>
      </c>
      <c r="C160" s="142" t="s">
        <v>1048</v>
      </c>
      <c r="D160" s="137" t="s">
        <v>459</v>
      </c>
      <c r="E160" s="114" t="s">
        <v>591</v>
      </c>
      <c r="F160" s="142"/>
      <c r="G160" s="151" t="s">
        <v>534</v>
      </c>
      <c r="H160" s="335" t="s">
        <v>552</v>
      </c>
      <c r="I160" s="147"/>
      <c r="J160" s="129">
        <v>10800</v>
      </c>
      <c r="K160" s="118">
        <f>+SUMIF('Nhập kho  입'!A:A,C160,'Nhập kho  입'!E:E)</f>
        <v>26550</v>
      </c>
      <c r="L160" s="119">
        <f>+SUMIF(' Xuất kho 출'!A:A,C160,' Xuất kho 출'!E:E)</f>
        <v>28800</v>
      </c>
      <c r="M160" s="120"/>
      <c r="N160" s="130"/>
      <c r="O160" s="148"/>
      <c r="P160" s="149"/>
      <c r="Q160" s="131">
        <f t="shared" si="5"/>
        <v>8550</v>
      </c>
      <c r="R160" s="124">
        <f>3600+7200</f>
        <v>10800</v>
      </c>
      <c r="S160" s="124"/>
      <c r="T160" s="125">
        <f t="shared" si="4"/>
        <v>2250</v>
      </c>
      <c r="U160" s="126"/>
      <c r="V160" s="132"/>
      <c r="W160" s="127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28"/>
      <c r="AH160" s="128"/>
      <c r="AI160" s="128"/>
      <c r="AJ160" s="128"/>
      <c r="AK160" s="128"/>
      <c r="AL160" s="128"/>
    </row>
    <row r="161" spans="1:38" s="90" customFormat="1" ht="25.5" customHeight="1">
      <c r="A161" s="95"/>
      <c r="B161" s="146" t="s">
        <v>533</v>
      </c>
      <c r="C161" s="142" t="s">
        <v>1168</v>
      </c>
      <c r="D161" s="137" t="s">
        <v>37</v>
      </c>
      <c r="E161" s="114" t="s">
        <v>571</v>
      </c>
      <c r="F161" s="142" t="s">
        <v>537</v>
      </c>
      <c r="G161" s="142" t="s">
        <v>562</v>
      </c>
      <c r="H161" s="335" t="s">
        <v>552</v>
      </c>
      <c r="I161" s="337" t="s">
        <v>541</v>
      </c>
      <c r="J161" s="129">
        <v>0</v>
      </c>
      <c r="K161" s="118">
        <f>+SUMIF('Nhập kho  입'!A:A,C161,'Nhập kho  입'!E:E)</f>
        <v>8000</v>
      </c>
      <c r="L161" s="119">
        <f>+SUMIF(' Xuất kho 출'!A:A,C161,' Xuất kho 출'!E:E)</f>
        <v>1900</v>
      </c>
      <c r="M161" s="120">
        <v>3300</v>
      </c>
      <c r="N161" s="130"/>
      <c r="O161" s="148"/>
      <c r="P161" s="149"/>
      <c r="Q161" s="131">
        <f t="shared" si="5"/>
        <v>6100</v>
      </c>
      <c r="R161" s="124"/>
      <c r="S161" s="124"/>
      <c r="T161" s="125">
        <f t="shared" si="4"/>
        <v>-6100</v>
      </c>
      <c r="U161" s="126"/>
      <c r="V161" s="132"/>
      <c r="W161" s="127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28"/>
      <c r="AH161" s="128"/>
      <c r="AI161" s="128"/>
      <c r="AJ161" s="128"/>
      <c r="AK161" s="128"/>
      <c r="AL161" s="128"/>
    </row>
    <row r="162" spans="1:38" s="90" customFormat="1" ht="25.5" hidden="1" customHeight="1">
      <c r="A162" s="95"/>
      <c r="B162" s="146" t="s">
        <v>533</v>
      </c>
      <c r="C162" s="142" t="s">
        <v>807</v>
      </c>
      <c r="D162" s="137" t="s">
        <v>45</v>
      </c>
      <c r="E162" s="114" t="s">
        <v>547</v>
      </c>
      <c r="F162" s="142">
        <v>125150</v>
      </c>
      <c r="G162" s="142" t="s">
        <v>549</v>
      </c>
      <c r="H162" s="335" t="s">
        <v>552</v>
      </c>
      <c r="I162" s="337" t="s">
        <v>541</v>
      </c>
      <c r="J162" s="129">
        <v>2500</v>
      </c>
      <c r="K162" s="118">
        <f>+SUMIF('Nhập kho  입'!A:A,C162,'Nhập kho  입'!E:E)</f>
        <v>0</v>
      </c>
      <c r="L162" s="119">
        <f>+SUMIF(' Xuất kho 출'!A:A,C162,' Xuất kho 출'!E:E)</f>
        <v>2500</v>
      </c>
      <c r="M162" s="120">
        <v>2500</v>
      </c>
      <c r="N162" s="130"/>
      <c r="O162" s="148"/>
      <c r="P162" s="149"/>
      <c r="Q162" s="131">
        <f t="shared" si="5"/>
        <v>0</v>
      </c>
      <c r="R162" s="124">
        <v>2500</v>
      </c>
      <c r="S162" s="124"/>
      <c r="T162" s="125">
        <f t="shared" si="4"/>
        <v>2500</v>
      </c>
      <c r="U162" s="126"/>
      <c r="V162" s="132"/>
      <c r="W162" s="127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28"/>
      <c r="AH162" s="128"/>
      <c r="AI162" s="128"/>
      <c r="AJ162" s="128"/>
      <c r="AK162" s="128"/>
      <c r="AL162" s="128"/>
    </row>
    <row r="163" spans="1:38" s="90" customFormat="1" ht="25.5" customHeight="1">
      <c r="A163" s="95"/>
      <c r="B163" s="146" t="s">
        <v>533</v>
      </c>
      <c r="C163" s="142" t="s">
        <v>38</v>
      </c>
      <c r="D163" s="137" t="s">
        <v>39</v>
      </c>
      <c r="E163" s="114" t="s">
        <v>561</v>
      </c>
      <c r="F163" s="142">
        <v>125150</v>
      </c>
      <c r="G163" s="142" t="s">
        <v>562</v>
      </c>
      <c r="H163" s="335" t="s">
        <v>552</v>
      </c>
      <c r="I163" s="337" t="s">
        <v>541</v>
      </c>
      <c r="J163" s="129">
        <v>100</v>
      </c>
      <c r="K163" s="118">
        <f>+SUMIF('Nhập kho  입'!A:A,C163,'Nhập kho  입'!E:E)</f>
        <v>0</v>
      </c>
      <c r="L163" s="119">
        <f>+SUMIF(' Xuất kho 출'!A:A,C163,' Xuất kho 출'!E:E)</f>
        <v>0</v>
      </c>
      <c r="M163" s="120"/>
      <c r="N163" s="130"/>
      <c r="O163" s="148"/>
      <c r="P163" s="149"/>
      <c r="Q163" s="131">
        <f t="shared" si="5"/>
        <v>100</v>
      </c>
      <c r="R163" s="124">
        <v>100</v>
      </c>
      <c r="S163" s="124"/>
      <c r="T163" s="125"/>
      <c r="U163" s="126"/>
      <c r="V163" s="132"/>
      <c r="W163" s="127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28"/>
      <c r="AH163" s="128"/>
      <c r="AI163" s="128"/>
      <c r="AJ163" s="128"/>
      <c r="AK163" s="128"/>
      <c r="AL163" s="128"/>
    </row>
    <row r="164" spans="1:38" s="90" customFormat="1" ht="25.5" hidden="1" customHeight="1">
      <c r="A164" s="95"/>
      <c r="B164" s="146" t="s">
        <v>533</v>
      </c>
      <c r="C164" s="142" t="s">
        <v>40</v>
      </c>
      <c r="D164" s="137" t="s">
        <v>39</v>
      </c>
      <c r="E164" s="114"/>
      <c r="F164" s="142">
        <v>125150</v>
      </c>
      <c r="G164" s="151" t="s">
        <v>562</v>
      </c>
      <c r="H164" s="335" t="s">
        <v>552</v>
      </c>
      <c r="I164" s="337" t="s">
        <v>541</v>
      </c>
      <c r="J164" s="129">
        <v>0</v>
      </c>
      <c r="K164" s="118">
        <f>+SUMIF('Nhập kho  입'!A:A,C164,'Nhập kho  입'!E:E)</f>
        <v>0</v>
      </c>
      <c r="L164" s="119">
        <f>+SUMIF(' Xuất kho 출'!A:A,C164,' Xuất kho 출'!E:E)</f>
        <v>0</v>
      </c>
      <c r="M164" s="120"/>
      <c r="N164" s="130"/>
      <c r="O164" s="148"/>
      <c r="P164" s="149"/>
      <c r="Q164" s="131">
        <f t="shared" si="5"/>
        <v>0</v>
      </c>
      <c r="R164" s="124"/>
      <c r="S164" s="134"/>
      <c r="T164" s="125">
        <f t="shared" si="4"/>
        <v>0</v>
      </c>
      <c r="U164" s="126"/>
      <c r="V164" s="132"/>
      <c r="W164" s="127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28"/>
      <c r="AH164" s="128"/>
      <c r="AI164" s="128"/>
      <c r="AJ164" s="128"/>
      <c r="AK164" s="128"/>
      <c r="AL164" s="128"/>
    </row>
    <row r="165" spans="1:38" s="90" customFormat="1" ht="25.5" customHeight="1">
      <c r="A165" s="95"/>
      <c r="B165" s="146" t="s">
        <v>533</v>
      </c>
      <c r="C165" s="142" t="s">
        <v>920</v>
      </c>
      <c r="D165" s="137" t="s">
        <v>174</v>
      </c>
      <c r="E165" s="114" t="s">
        <v>605</v>
      </c>
      <c r="F165" s="141" t="s">
        <v>540</v>
      </c>
      <c r="G165" s="142" t="s">
        <v>617</v>
      </c>
      <c r="H165" s="335" t="s">
        <v>552</v>
      </c>
      <c r="I165" s="147"/>
      <c r="J165" s="129">
        <v>4300</v>
      </c>
      <c r="K165" s="118">
        <f>+SUMIF('Nhập kho  입'!A:A,C165,'Nhập kho  입'!E:E)</f>
        <v>7300</v>
      </c>
      <c r="L165" s="119">
        <f>+SUMIF(' Xuất kho 출'!A:A,C165,' Xuất kho 출'!E:E)</f>
        <v>6000</v>
      </c>
      <c r="M165" s="120"/>
      <c r="N165" s="130"/>
      <c r="O165" s="148"/>
      <c r="P165" s="149"/>
      <c r="Q165" s="131">
        <f t="shared" si="5"/>
        <v>5600</v>
      </c>
      <c r="R165" s="124">
        <f>1200+3100</f>
        <v>4300</v>
      </c>
      <c r="S165" s="124"/>
      <c r="T165" s="125">
        <f t="shared" si="4"/>
        <v>-1300</v>
      </c>
      <c r="U165" s="126"/>
      <c r="V165" s="132"/>
      <c r="W165" s="127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28"/>
      <c r="AH165" s="128"/>
      <c r="AI165" s="128"/>
      <c r="AJ165" s="128"/>
      <c r="AK165" s="128"/>
      <c r="AL165" s="128"/>
    </row>
    <row r="166" spans="1:38" s="90" customFormat="1" ht="25.5" customHeight="1">
      <c r="A166" s="95"/>
      <c r="B166" s="146" t="s">
        <v>533</v>
      </c>
      <c r="C166" s="142" t="s">
        <v>943</v>
      </c>
      <c r="D166" s="137" t="s">
        <v>945</v>
      </c>
      <c r="E166" s="114" t="s">
        <v>542</v>
      </c>
      <c r="F166" s="142" t="s">
        <v>574</v>
      </c>
      <c r="G166" s="151" t="s">
        <v>534</v>
      </c>
      <c r="H166" s="335" t="s">
        <v>546</v>
      </c>
      <c r="I166" s="147"/>
      <c r="J166" s="129">
        <v>50</v>
      </c>
      <c r="K166" s="118">
        <f>+SUMIF('Nhập kho  입'!A:A,C166,'Nhập kho  입'!E:E)</f>
        <v>0</v>
      </c>
      <c r="L166" s="119">
        <f>+SUMIF(' Xuất kho 출'!A:A,C166,' Xuất kho 출'!E:E)</f>
        <v>0</v>
      </c>
      <c r="M166" s="120"/>
      <c r="N166" s="130"/>
      <c r="O166" s="148"/>
      <c r="P166" s="149"/>
      <c r="Q166" s="131">
        <f t="shared" si="5"/>
        <v>50</v>
      </c>
      <c r="R166" s="124">
        <v>50</v>
      </c>
      <c r="S166" s="124"/>
      <c r="T166" s="125">
        <f t="shared" si="4"/>
        <v>0</v>
      </c>
      <c r="U166" s="126"/>
      <c r="V166" s="132"/>
      <c r="W166" s="127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28"/>
      <c r="AH166" s="128"/>
      <c r="AI166" s="128"/>
      <c r="AJ166" s="128"/>
      <c r="AK166" s="128"/>
      <c r="AL166" s="128"/>
    </row>
    <row r="167" spans="1:38" s="90" customFormat="1" ht="25.5" hidden="1" customHeight="1">
      <c r="A167" s="95"/>
      <c r="B167" s="146" t="s">
        <v>533</v>
      </c>
      <c r="C167" s="142" t="s">
        <v>157</v>
      </c>
      <c r="D167" s="137" t="s">
        <v>158</v>
      </c>
      <c r="E167" s="114" t="s">
        <v>600</v>
      </c>
      <c r="F167" s="142" t="s">
        <v>540</v>
      </c>
      <c r="G167" s="151" t="s">
        <v>617</v>
      </c>
      <c r="H167" s="335" t="s">
        <v>552</v>
      </c>
      <c r="I167" s="147"/>
      <c r="J167" s="129">
        <v>0</v>
      </c>
      <c r="K167" s="118">
        <f>+SUMIF('Nhập kho  입'!A:A,C167,'Nhập kho  입'!E:E)</f>
        <v>0</v>
      </c>
      <c r="L167" s="119">
        <f>+SUMIF(' Xuất kho 출'!A:A,C167,' Xuất kho 출'!E:E)</f>
        <v>0</v>
      </c>
      <c r="M167" s="120"/>
      <c r="N167" s="130"/>
      <c r="O167" s="148"/>
      <c r="P167" s="149"/>
      <c r="Q167" s="131">
        <f t="shared" si="5"/>
        <v>0</v>
      </c>
      <c r="R167" s="124">
        <v>3200</v>
      </c>
      <c r="S167" s="134"/>
      <c r="T167" s="125">
        <f t="shared" si="4"/>
        <v>3200</v>
      </c>
      <c r="U167" s="126"/>
      <c r="V167" s="132"/>
      <c r="W167" s="127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28"/>
      <c r="AH167" s="128"/>
      <c r="AI167" s="128"/>
      <c r="AJ167" s="128"/>
      <c r="AK167" s="128"/>
      <c r="AL167" s="128"/>
    </row>
    <row r="168" spans="1:38" s="90" customFormat="1" ht="25.5" customHeight="1">
      <c r="A168" s="95"/>
      <c r="B168" s="146" t="s">
        <v>533</v>
      </c>
      <c r="C168" s="142" t="s">
        <v>7</v>
      </c>
      <c r="D168" s="137" t="s">
        <v>8</v>
      </c>
      <c r="E168" s="114" t="s">
        <v>561</v>
      </c>
      <c r="F168" s="141">
        <v>125150</v>
      </c>
      <c r="G168" s="142" t="s">
        <v>562</v>
      </c>
      <c r="H168" s="335" t="s">
        <v>552</v>
      </c>
      <c r="I168" s="337" t="s">
        <v>541</v>
      </c>
      <c r="J168" s="129">
        <v>1300</v>
      </c>
      <c r="K168" s="118">
        <f>+SUMIF('Nhập kho  입'!A:A,C168,'Nhập kho  입'!E:E)</f>
        <v>0</v>
      </c>
      <c r="L168" s="119">
        <f>+SUMIF(' Xuất kho 출'!A:A,C168,' Xuất kho 출'!E:E)</f>
        <v>0</v>
      </c>
      <c r="M168" s="120"/>
      <c r="N168" s="130"/>
      <c r="O168" s="148"/>
      <c r="P168" s="149"/>
      <c r="Q168" s="131">
        <f t="shared" si="5"/>
        <v>1300</v>
      </c>
      <c r="R168" s="124">
        <f>8*50+18*50</f>
        <v>1300</v>
      </c>
      <c r="S168" s="124"/>
      <c r="T168" s="125">
        <f t="shared" si="4"/>
        <v>0</v>
      </c>
      <c r="U168" s="126"/>
      <c r="V168" s="132"/>
      <c r="W168" s="127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28"/>
      <c r="AH168" s="128"/>
      <c r="AI168" s="128"/>
      <c r="AJ168" s="128"/>
      <c r="AK168" s="128"/>
      <c r="AL168" s="128"/>
    </row>
    <row r="169" spans="1:38" s="90" customFormat="1" ht="25.5" customHeight="1">
      <c r="A169" s="95"/>
      <c r="B169" s="146" t="s">
        <v>533</v>
      </c>
      <c r="C169" s="142" t="s">
        <v>285</v>
      </c>
      <c r="D169" s="137" t="s">
        <v>286</v>
      </c>
      <c r="E169" s="114" t="s">
        <v>618</v>
      </c>
      <c r="F169" s="141" t="s">
        <v>537</v>
      </c>
      <c r="G169" s="136" t="s">
        <v>617</v>
      </c>
      <c r="H169" s="335" t="s">
        <v>552</v>
      </c>
      <c r="I169" s="147"/>
      <c r="J169" s="129">
        <v>2200</v>
      </c>
      <c r="K169" s="118">
        <f>+SUMIF('Nhập kho  입'!A:A,C169,'Nhập kho  입'!E:E)</f>
        <v>0</v>
      </c>
      <c r="L169" s="119">
        <f>+SUMIF(' Xuất kho 출'!A:A,C169,' Xuất kho 출'!E:E)</f>
        <v>0</v>
      </c>
      <c r="M169" s="120"/>
      <c r="N169" s="130"/>
      <c r="O169" s="148"/>
      <c r="P169" s="149"/>
      <c r="Q169" s="131">
        <f t="shared" si="5"/>
        <v>2200</v>
      </c>
      <c r="R169" s="124">
        <f>900+1300</f>
        <v>2200</v>
      </c>
      <c r="S169" s="124"/>
      <c r="T169" s="125">
        <f t="shared" si="4"/>
        <v>0</v>
      </c>
      <c r="U169" s="126"/>
      <c r="V169" s="132"/>
      <c r="W169" s="127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</row>
    <row r="170" spans="1:38" s="90" customFormat="1" ht="25.5" customHeight="1">
      <c r="A170" s="95"/>
      <c r="B170" s="146" t="s">
        <v>533</v>
      </c>
      <c r="C170" s="142" t="s">
        <v>1448</v>
      </c>
      <c r="D170" s="137" t="s">
        <v>119</v>
      </c>
      <c r="E170" s="114" t="s">
        <v>618</v>
      </c>
      <c r="F170" s="142" t="s">
        <v>537</v>
      </c>
      <c r="G170" s="151" t="s">
        <v>617</v>
      </c>
      <c r="H170" s="335" t="s">
        <v>552</v>
      </c>
      <c r="I170" s="147"/>
      <c r="J170" s="129">
        <v>17300</v>
      </c>
      <c r="K170" s="118">
        <f>+SUMIF('Nhập kho  입'!A:A,C170,'Nhập kho  입'!E:E)</f>
        <v>0</v>
      </c>
      <c r="L170" s="119">
        <f>+SUMIF(' Xuất kho 출'!A:A,C170,' Xuất kho 출'!E:E)</f>
        <v>5000</v>
      </c>
      <c r="M170" s="120"/>
      <c r="N170" s="130"/>
      <c r="O170" s="148"/>
      <c r="P170" s="149"/>
      <c r="Q170" s="131">
        <f t="shared" si="5"/>
        <v>12300</v>
      </c>
      <c r="R170" s="124">
        <f>400+1200+400+3300+3500+3600+800+3500+700+3400</f>
        <v>20800</v>
      </c>
      <c r="S170" s="124"/>
      <c r="T170" s="125">
        <f t="shared" si="4"/>
        <v>8500</v>
      </c>
      <c r="U170" s="126"/>
      <c r="V170" s="132"/>
      <c r="W170" s="127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28"/>
      <c r="AH170" s="128"/>
      <c r="AI170" s="128"/>
      <c r="AJ170" s="128"/>
      <c r="AK170" s="128"/>
      <c r="AL170" s="128"/>
    </row>
    <row r="171" spans="1:38" s="90" customFormat="1" ht="25.5" hidden="1" customHeight="1">
      <c r="A171" s="95"/>
      <c r="B171" s="146" t="s">
        <v>533</v>
      </c>
      <c r="C171" s="142" t="s">
        <v>120</v>
      </c>
      <c r="D171" s="137" t="s">
        <v>119</v>
      </c>
      <c r="E171" s="114" t="s">
        <v>619</v>
      </c>
      <c r="F171" s="142" t="s">
        <v>537</v>
      </c>
      <c r="G171" s="142" t="s">
        <v>617</v>
      </c>
      <c r="H171" s="335" t="s">
        <v>552</v>
      </c>
      <c r="I171" s="147"/>
      <c r="J171" s="129">
        <v>0</v>
      </c>
      <c r="K171" s="118">
        <f>+SUMIF('Nhập kho  입'!A:A,C171,'Nhập kho  입'!E:E)</f>
        <v>0</v>
      </c>
      <c r="L171" s="119">
        <f>+SUMIF(' Xuất kho 출'!A:A,C171,' Xuất kho 출'!E:E)</f>
        <v>0</v>
      </c>
      <c r="M171" s="120"/>
      <c r="N171" s="130"/>
      <c r="O171" s="148"/>
      <c r="P171" s="149"/>
      <c r="Q171" s="131">
        <f t="shared" si="5"/>
        <v>0</v>
      </c>
      <c r="R171" s="124"/>
      <c r="S171" s="124"/>
      <c r="T171" s="125">
        <f t="shared" si="4"/>
        <v>0</v>
      </c>
      <c r="U171" s="126"/>
      <c r="V171" s="132"/>
      <c r="W171" s="127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28"/>
      <c r="AH171" s="128"/>
      <c r="AI171" s="128"/>
      <c r="AJ171" s="128"/>
      <c r="AK171" s="128"/>
      <c r="AL171" s="128"/>
    </row>
    <row r="172" spans="1:38" s="90" customFormat="1" ht="25.5" hidden="1" customHeight="1">
      <c r="A172" s="95"/>
      <c r="B172" s="146" t="s">
        <v>533</v>
      </c>
      <c r="C172" s="142" t="s">
        <v>94</v>
      </c>
      <c r="D172" s="137" t="s">
        <v>95</v>
      </c>
      <c r="E172" s="114"/>
      <c r="F172" s="141" t="s">
        <v>537</v>
      </c>
      <c r="G172" s="142" t="s">
        <v>549</v>
      </c>
      <c r="H172" s="114"/>
      <c r="I172" s="147"/>
      <c r="J172" s="129">
        <v>0</v>
      </c>
      <c r="K172" s="118">
        <f>+SUMIF('Nhập kho  입'!A:A,C172,'Nhập kho  입'!E:E)</f>
        <v>0</v>
      </c>
      <c r="L172" s="119">
        <f>+SUMIF(' Xuất kho 출'!A:A,C172,' Xuất kho 출'!E:E)</f>
        <v>0</v>
      </c>
      <c r="M172" s="120"/>
      <c r="N172" s="130"/>
      <c r="O172" s="148"/>
      <c r="P172" s="149"/>
      <c r="Q172" s="131">
        <f t="shared" si="5"/>
        <v>0</v>
      </c>
      <c r="R172" s="124"/>
      <c r="S172" s="124"/>
      <c r="T172" s="125">
        <f t="shared" si="4"/>
        <v>0</v>
      </c>
      <c r="U172" s="126"/>
      <c r="V172" s="132"/>
      <c r="W172" s="127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28"/>
      <c r="AH172" s="128"/>
      <c r="AI172" s="128"/>
      <c r="AJ172" s="128"/>
      <c r="AK172" s="128"/>
      <c r="AL172" s="128"/>
    </row>
    <row r="173" spans="1:38" s="90" customFormat="1" ht="25.5" hidden="1" customHeight="1">
      <c r="A173" s="95"/>
      <c r="B173" s="146" t="s">
        <v>533</v>
      </c>
      <c r="C173" s="142" t="s">
        <v>164</v>
      </c>
      <c r="D173" s="137" t="s">
        <v>95</v>
      </c>
      <c r="E173" s="114"/>
      <c r="F173" s="141" t="s">
        <v>578</v>
      </c>
      <c r="G173" s="142" t="s">
        <v>617</v>
      </c>
      <c r="H173" s="335" t="s">
        <v>552</v>
      </c>
      <c r="I173" s="147"/>
      <c r="J173" s="129">
        <v>0</v>
      </c>
      <c r="K173" s="118">
        <f>+SUMIF('Nhập kho  입'!A:A,C173,'Nhập kho  입'!E:E)</f>
        <v>0</v>
      </c>
      <c r="L173" s="119">
        <f>+SUMIF(' Xuất kho 출'!A:A,C173,' Xuất kho 출'!E:E)</f>
        <v>0</v>
      </c>
      <c r="M173" s="120"/>
      <c r="N173" s="130"/>
      <c r="O173" s="148"/>
      <c r="P173" s="149"/>
      <c r="Q173" s="131">
        <f t="shared" si="5"/>
        <v>0</v>
      </c>
      <c r="R173" s="124"/>
      <c r="S173" s="124"/>
      <c r="T173" s="125">
        <f t="shared" si="4"/>
        <v>0</v>
      </c>
      <c r="U173" s="126"/>
      <c r="V173" s="132"/>
      <c r="W173" s="127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28"/>
      <c r="AH173" s="128"/>
      <c r="AI173" s="128"/>
      <c r="AJ173" s="128"/>
      <c r="AK173" s="128"/>
      <c r="AL173" s="128"/>
    </row>
    <row r="174" spans="1:38" s="90" customFormat="1" ht="25.5" customHeight="1">
      <c r="A174" s="95"/>
      <c r="B174" s="146" t="s">
        <v>533</v>
      </c>
      <c r="C174" s="142" t="s">
        <v>921</v>
      </c>
      <c r="D174" s="137" t="s">
        <v>347</v>
      </c>
      <c r="E174" s="114" t="s">
        <v>620</v>
      </c>
      <c r="F174" s="141" t="s">
        <v>540</v>
      </c>
      <c r="G174" s="151" t="s">
        <v>534</v>
      </c>
      <c r="H174" s="335" t="s">
        <v>546</v>
      </c>
      <c r="I174" s="147"/>
      <c r="J174" s="129">
        <v>3650</v>
      </c>
      <c r="K174" s="118">
        <f>+SUMIF('Nhập kho  입'!A:A,C174,'Nhập kho  입'!E:E)</f>
        <v>7850</v>
      </c>
      <c r="L174" s="119">
        <f>+SUMIF(' Xuất kho 출'!A:A,C174,' Xuất kho 출'!E:E)</f>
        <v>4500</v>
      </c>
      <c r="M174" s="120"/>
      <c r="N174" s="130"/>
      <c r="O174" s="148"/>
      <c r="P174" s="149"/>
      <c r="Q174" s="131">
        <f t="shared" si="5"/>
        <v>7000</v>
      </c>
      <c r="R174" s="124">
        <f>500+3150</f>
        <v>3650</v>
      </c>
      <c r="S174" s="124"/>
      <c r="T174" s="125">
        <f t="shared" si="4"/>
        <v>-3350</v>
      </c>
      <c r="U174" s="126"/>
      <c r="V174" s="132"/>
      <c r="W174" s="127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28"/>
      <c r="AH174" s="128"/>
      <c r="AI174" s="128"/>
      <c r="AJ174" s="128"/>
      <c r="AK174" s="128"/>
      <c r="AL174" s="128"/>
    </row>
    <row r="175" spans="1:38" s="90" customFormat="1" ht="25.5" customHeight="1">
      <c r="A175" s="95"/>
      <c r="B175" s="146" t="s">
        <v>533</v>
      </c>
      <c r="C175" s="142" t="s">
        <v>902</v>
      </c>
      <c r="D175" s="137" t="s">
        <v>78</v>
      </c>
      <c r="E175" s="114" t="s">
        <v>618</v>
      </c>
      <c r="F175" s="141" t="s">
        <v>537</v>
      </c>
      <c r="G175" s="151" t="s">
        <v>617</v>
      </c>
      <c r="H175" s="335" t="s">
        <v>552</v>
      </c>
      <c r="I175" s="147"/>
      <c r="J175" s="129">
        <v>1100</v>
      </c>
      <c r="K175" s="118">
        <f>+SUMIF('Nhập kho  입'!A:A,C175,'Nhập kho  입'!E:E)</f>
        <v>21000</v>
      </c>
      <c r="L175" s="119">
        <f>+SUMIF(' Xuất kho 출'!A:A,C175,' Xuất kho 출'!E:E)</f>
        <v>15000</v>
      </c>
      <c r="M175" s="120"/>
      <c r="N175" s="130"/>
      <c r="O175" s="148"/>
      <c r="P175" s="149"/>
      <c r="Q175" s="131">
        <f t="shared" si="5"/>
        <v>7100</v>
      </c>
      <c r="R175" s="124">
        <v>1100</v>
      </c>
      <c r="S175" s="124"/>
      <c r="T175" s="125">
        <f t="shared" si="4"/>
        <v>-6000</v>
      </c>
      <c r="U175" s="126"/>
      <c r="V175" s="132"/>
      <c r="W175" s="127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28"/>
      <c r="AH175" s="128"/>
      <c r="AI175" s="128"/>
      <c r="AJ175" s="128"/>
      <c r="AK175" s="128"/>
      <c r="AL175" s="128"/>
    </row>
    <row r="176" spans="1:38" s="90" customFormat="1" ht="25.5" hidden="1" customHeight="1">
      <c r="A176" s="95"/>
      <c r="B176" s="146" t="s">
        <v>533</v>
      </c>
      <c r="C176" s="142" t="s">
        <v>79</v>
      </c>
      <c r="D176" s="137" t="s">
        <v>78</v>
      </c>
      <c r="E176" s="114"/>
      <c r="F176" s="141" t="s">
        <v>537</v>
      </c>
      <c r="G176" s="151" t="s">
        <v>617</v>
      </c>
      <c r="H176" s="335" t="s">
        <v>552</v>
      </c>
      <c r="I176" s="147"/>
      <c r="J176" s="129">
        <v>0</v>
      </c>
      <c r="K176" s="118">
        <f>+SUMIF('Nhập kho  입'!A:A,C176,'Nhập kho  입'!E:E)</f>
        <v>0</v>
      </c>
      <c r="L176" s="119">
        <f>+SUMIF(' Xuất kho 출'!A:A,C176,' Xuất kho 출'!E:E)</f>
        <v>0</v>
      </c>
      <c r="M176" s="120"/>
      <c r="N176" s="130"/>
      <c r="O176" s="148"/>
      <c r="P176" s="149"/>
      <c r="Q176" s="131">
        <f t="shared" si="5"/>
        <v>0</v>
      </c>
      <c r="R176" s="124"/>
      <c r="S176" s="124"/>
      <c r="T176" s="125">
        <f t="shared" si="4"/>
        <v>0</v>
      </c>
      <c r="U176" s="126"/>
      <c r="V176" s="132"/>
      <c r="W176" s="127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28"/>
      <c r="AH176" s="128"/>
      <c r="AI176" s="128"/>
      <c r="AJ176" s="128"/>
      <c r="AK176" s="128"/>
      <c r="AL176" s="128"/>
    </row>
    <row r="177" spans="1:38" s="90" customFormat="1" ht="25.5" customHeight="1">
      <c r="A177" s="95"/>
      <c r="B177" s="146" t="s">
        <v>533</v>
      </c>
      <c r="C177" s="142" t="s">
        <v>1308</v>
      </c>
      <c r="D177" s="137" t="s">
        <v>345</v>
      </c>
      <c r="E177" s="114" t="s">
        <v>621</v>
      </c>
      <c r="F177" s="141">
        <v>125140</v>
      </c>
      <c r="G177" s="151" t="s">
        <v>562</v>
      </c>
      <c r="H177" s="335" t="s">
        <v>552</v>
      </c>
      <c r="I177" s="147"/>
      <c r="J177" s="129">
        <v>1600</v>
      </c>
      <c r="K177" s="118">
        <f>+SUMIF('Nhập kho  입'!A:A,C177,'Nhập kho  입'!E:E)</f>
        <v>4100</v>
      </c>
      <c r="L177" s="119">
        <f>+SUMIF(' Xuất kho 출'!A:A,C177,' Xuất kho 출'!E:E)</f>
        <v>0</v>
      </c>
      <c r="M177" s="120"/>
      <c r="N177" s="130"/>
      <c r="O177" s="148"/>
      <c r="P177" s="149"/>
      <c r="Q177" s="131">
        <f t="shared" si="5"/>
        <v>5700</v>
      </c>
      <c r="R177" s="124">
        <f>32*50</f>
        <v>1600</v>
      </c>
      <c r="S177" s="124"/>
      <c r="T177" s="125">
        <f t="shared" si="4"/>
        <v>-4100</v>
      </c>
      <c r="U177" s="126"/>
      <c r="V177" s="132"/>
      <c r="W177" s="127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28"/>
      <c r="AH177" s="128"/>
      <c r="AI177" s="128"/>
      <c r="AJ177" s="128"/>
      <c r="AK177" s="128"/>
      <c r="AL177" s="128"/>
    </row>
    <row r="178" spans="1:38" s="90" customFormat="1" ht="25.5" customHeight="1">
      <c r="A178" s="95"/>
      <c r="B178" s="146" t="s">
        <v>533</v>
      </c>
      <c r="C178" s="142" t="s">
        <v>1054</v>
      </c>
      <c r="D178" s="137" t="s">
        <v>1046</v>
      </c>
      <c r="E178" s="114" t="s">
        <v>622</v>
      </c>
      <c r="F178" s="141"/>
      <c r="G178" s="142" t="s">
        <v>562</v>
      </c>
      <c r="H178" s="335" t="s">
        <v>552</v>
      </c>
      <c r="I178" s="147"/>
      <c r="J178" s="129">
        <v>1050</v>
      </c>
      <c r="K178" s="118">
        <f>+SUMIF('Nhập kho  입'!A:A,C178,'Nhập kho  입'!E:E)</f>
        <v>74100</v>
      </c>
      <c r="L178" s="119">
        <f>+SUMIF(' Xuất kho 출'!A:A,C178,' Xuất kho 출'!E:E)</f>
        <v>50400</v>
      </c>
      <c r="M178" s="120"/>
      <c r="N178" s="130"/>
      <c r="O178" s="148"/>
      <c r="P178" s="149"/>
      <c r="Q178" s="131">
        <f t="shared" si="5"/>
        <v>24750</v>
      </c>
      <c r="R178" s="124">
        <f>500+550</f>
        <v>1050</v>
      </c>
      <c r="S178" s="124"/>
      <c r="T178" s="125">
        <f t="shared" si="4"/>
        <v>-23700</v>
      </c>
      <c r="U178" s="126"/>
      <c r="V178" s="132"/>
      <c r="W178" s="127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28"/>
      <c r="AH178" s="128"/>
      <c r="AI178" s="128"/>
      <c r="AJ178" s="128"/>
      <c r="AK178" s="128"/>
      <c r="AL178" s="128"/>
    </row>
    <row r="179" spans="1:38" s="90" customFormat="1" ht="25.5" customHeight="1">
      <c r="A179" s="95"/>
      <c r="B179" s="146" t="s">
        <v>533</v>
      </c>
      <c r="C179" s="142" t="s">
        <v>1298</v>
      </c>
      <c r="D179" s="137" t="s">
        <v>144</v>
      </c>
      <c r="E179" s="114" t="s">
        <v>623</v>
      </c>
      <c r="F179" s="142" t="s">
        <v>540</v>
      </c>
      <c r="G179" s="142" t="s">
        <v>549</v>
      </c>
      <c r="H179" s="335" t="s">
        <v>552</v>
      </c>
      <c r="I179" s="147"/>
      <c r="J179" s="129">
        <v>2200</v>
      </c>
      <c r="K179" s="118">
        <f>+SUMIF('Nhập kho  입'!A:A,C179,'Nhập kho  입'!E:E)</f>
        <v>0</v>
      </c>
      <c r="L179" s="119">
        <f>+SUMIF(' Xuất kho 출'!A:A,C179,' Xuất kho 출'!E:E)</f>
        <v>300</v>
      </c>
      <c r="M179" s="120"/>
      <c r="N179" s="130"/>
      <c r="O179" s="148"/>
      <c r="P179" s="149"/>
      <c r="Q179" s="131">
        <f t="shared" si="5"/>
        <v>1900</v>
      </c>
      <c r="R179" s="124">
        <v>2200</v>
      </c>
      <c r="S179" s="124"/>
      <c r="T179" s="125">
        <f t="shared" si="4"/>
        <v>300</v>
      </c>
      <c r="U179" s="126"/>
      <c r="V179" s="132"/>
      <c r="W179" s="127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28"/>
      <c r="AH179" s="128"/>
      <c r="AI179" s="128"/>
      <c r="AJ179" s="128"/>
      <c r="AK179" s="128"/>
      <c r="AL179" s="128"/>
    </row>
    <row r="180" spans="1:38" s="90" customFormat="1" ht="25.5" hidden="1" customHeight="1">
      <c r="A180" s="95"/>
      <c r="B180" s="146" t="s">
        <v>533</v>
      </c>
      <c r="C180" s="142" t="s">
        <v>145</v>
      </c>
      <c r="D180" s="137" t="s">
        <v>144</v>
      </c>
      <c r="E180" s="114"/>
      <c r="F180" s="142" t="s">
        <v>578</v>
      </c>
      <c r="G180" s="151" t="s">
        <v>549</v>
      </c>
      <c r="H180" s="335" t="s">
        <v>552</v>
      </c>
      <c r="I180" s="147"/>
      <c r="J180" s="129">
        <v>0</v>
      </c>
      <c r="K180" s="118">
        <f>+SUMIF('Nhập kho  입'!A:A,C180,'Nhập kho  입'!E:E)</f>
        <v>0</v>
      </c>
      <c r="L180" s="119">
        <f>+SUMIF(' Xuất kho 출'!A:A,C180,' Xuất kho 출'!E:E)</f>
        <v>0</v>
      </c>
      <c r="M180" s="120"/>
      <c r="N180" s="130"/>
      <c r="O180" s="148"/>
      <c r="P180" s="149"/>
      <c r="Q180" s="131">
        <f t="shared" si="5"/>
        <v>0</v>
      </c>
      <c r="R180" s="124"/>
      <c r="S180" s="124"/>
      <c r="T180" s="125">
        <f t="shared" si="4"/>
        <v>0</v>
      </c>
      <c r="U180" s="126"/>
      <c r="V180" s="132"/>
      <c r="W180" s="127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28"/>
      <c r="AH180" s="128"/>
      <c r="AI180" s="128"/>
      <c r="AJ180" s="128"/>
      <c r="AK180" s="128"/>
      <c r="AL180" s="128"/>
    </row>
    <row r="181" spans="1:38" s="90" customFormat="1" ht="25.5" customHeight="1">
      <c r="A181" s="95"/>
      <c r="B181" s="146" t="s">
        <v>533</v>
      </c>
      <c r="C181" s="142" t="s">
        <v>1248</v>
      </c>
      <c r="D181" s="137" t="s">
        <v>86</v>
      </c>
      <c r="E181" s="114" t="s">
        <v>571</v>
      </c>
      <c r="F181" s="142" t="s">
        <v>537</v>
      </c>
      <c r="G181" s="151" t="s">
        <v>562</v>
      </c>
      <c r="H181" s="335" t="s">
        <v>552</v>
      </c>
      <c r="I181" s="147"/>
      <c r="J181" s="129">
        <v>21150</v>
      </c>
      <c r="K181" s="118">
        <f>+SUMIF('Nhập kho  입'!A:A,C181,'Nhập kho  입'!E:E)</f>
        <v>14550</v>
      </c>
      <c r="L181" s="119">
        <f>+SUMIF(' Xuất kho 출'!A:A,C181,' Xuất kho 출'!E:E)</f>
        <v>26000</v>
      </c>
      <c r="M181" s="120"/>
      <c r="N181" s="130"/>
      <c r="O181" s="148"/>
      <c r="P181" s="149"/>
      <c r="Q181" s="131">
        <f t="shared" si="5"/>
        <v>9700</v>
      </c>
      <c r="R181" s="124">
        <f>32*50+48*50+48*50+47*50+10000+2400</f>
        <v>21150</v>
      </c>
      <c r="S181" s="124"/>
      <c r="T181" s="125">
        <f t="shared" si="4"/>
        <v>11450</v>
      </c>
      <c r="U181" s="126"/>
      <c r="V181" s="132"/>
      <c r="W181" s="127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28"/>
      <c r="AH181" s="128"/>
      <c r="AI181" s="128"/>
      <c r="AJ181" s="128"/>
      <c r="AK181" s="128"/>
      <c r="AL181" s="128"/>
    </row>
    <row r="182" spans="1:38" s="90" customFormat="1" ht="25.5" customHeight="1">
      <c r="A182" s="95"/>
      <c r="B182" s="146" t="s">
        <v>533</v>
      </c>
      <c r="C182" s="142" t="s">
        <v>235</v>
      </c>
      <c r="D182" s="137" t="s">
        <v>236</v>
      </c>
      <c r="E182" s="114" t="s">
        <v>587</v>
      </c>
      <c r="F182" s="142">
        <v>125150</v>
      </c>
      <c r="G182" s="142" t="s">
        <v>534</v>
      </c>
      <c r="H182" s="335" t="s">
        <v>546</v>
      </c>
      <c r="I182" s="147"/>
      <c r="J182" s="129">
        <v>150</v>
      </c>
      <c r="K182" s="118">
        <f>+SUMIF('Nhập kho  입'!A:A,C182,'Nhập kho  입'!E:E)</f>
        <v>0</v>
      </c>
      <c r="L182" s="119">
        <f>+SUMIF(' Xuất kho 출'!A:A,C182,' Xuất kho 출'!E:E)</f>
        <v>0</v>
      </c>
      <c r="M182" s="120"/>
      <c r="N182" s="130"/>
      <c r="O182" s="148"/>
      <c r="P182" s="149"/>
      <c r="Q182" s="131">
        <f t="shared" si="5"/>
        <v>150</v>
      </c>
      <c r="R182" s="124">
        <v>150</v>
      </c>
      <c r="S182" s="124"/>
      <c r="T182" s="125">
        <f t="shared" si="4"/>
        <v>0</v>
      </c>
      <c r="U182" s="126"/>
      <c r="V182" s="132"/>
      <c r="W182" s="127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28"/>
      <c r="AH182" s="128"/>
      <c r="AI182" s="128"/>
      <c r="AJ182" s="128"/>
      <c r="AK182" s="128"/>
      <c r="AL182" s="128"/>
    </row>
    <row r="183" spans="1:38" s="90" customFormat="1" ht="25.5" hidden="1" customHeight="1">
      <c r="A183" s="95"/>
      <c r="B183" s="146" t="s">
        <v>533</v>
      </c>
      <c r="C183" s="142" t="s">
        <v>237</v>
      </c>
      <c r="D183" s="137" t="s">
        <v>236</v>
      </c>
      <c r="E183" s="114" t="s">
        <v>579</v>
      </c>
      <c r="F183" s="142">
        <v>125150</v>
      </c>
      <c r="G183" s="142" t="s">
        <v>534</v>
      </c>
      <c r="H183" s="335" t="s">
        <v>546</v>
      </c>
      <c r="I183" s="147"/>
      <c r="J183" s="129">
        <v>0</v>
      </c>
      <c r="K183" s="118">
        <f>+SUMIF('Nhập kho  입'!A:A,C183,'Nhập kho  입'!E:E)</f>
        <v>0</v>
      </c>
      <c r="L183" s="119">
        <f>+SUMIF(' Xuất kho 출'!A:A,C183,' Xuất kho 출'!E:E)</f>
        <v>0</v>
      </c>
      <c r="M183" s="120"/>
      <c r="N183" s="130"/>
      <c r="O183" s="148"/>
      <c r="P183" s="149"/>
      <c r="Q183" s="131">
        <f t="shared" si="5"/>
        <v>0</v>
      </c>
      <c r="R183" s="124"/>
      <c r="S183" s="124"/>
      <c r="T183" s="125"/>
      <c r="U183" s="126"/>
      <c r="V183" s="132"/>
      <c r="W183" s="127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28"/>
      <c r="AH183" s="128"/>
      <c r="AI183" s="128"/>
      <c r="AJ183" s="128"/>
      <c r="AK183" s="128"/>
      <c r="AL183" s="128"/>
    </row>
    <row r="184" spans="1:38" s="90" customFormat="1" ht="25.5" customHeight="1">
      <c r="A184" s="95"/>
      <c r="B184" s="146" t="s">
        <v>533</v>
      </c>
      <c r="C184" s="142" t="s">
        <v>1533</v>
      </c>
      <c r="D184" s="137" t="s">
        <v>474</v>
      </c>
      <c r="E184" s="114" t="s">
        <v>566</v>
      </c>
      <c r="F184" s="142"/>
      <c r="G184" s="142" t="s">
        <v>562</v>
      </c>
      <c r="H184" s="335" t="s">
        <v>546</v>
      </c>
      <c r="I184" s="147"/>
      <c r="J184" s="129">
        <v>100</v>
      </c>
      <c r="K184" s="118">
        <f>+SUMIF('Nhập kho  입'!A:A,C184,'Nhập kho  입'!E:E)</f>
        <v>1400</v>
      </c>
      <c r="L184" s="119">
        <f>+SUMIF(' Xuất kho 출'!A:A,C184,' Xuất kho 출'!E:E)</f>
        <v>1300</v>
      </c>
      <c r="M184" s="120"/>
      <c r="N184" s="130"/>
      <c r="O184" s="148"/>
      <c r="P184" s="149"/>
      <c r="Q184" s="131">
        <f t="shared" si="5"/>
        <v>200</v>
      </c>
      <c r="R184" s="124">
        <v>100</v>
      </c>
      <c r="S184" s="124"/>
      <c r="T184" s="125">
        <f t="shared" si="4"/>
        <v>-100</v>
      </c>
      <c r="U184" s="126"/>
      <c r="V184" s="132"/>
      <c r="W184" s="127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28"/>
      <c r="AH184" s="128"/>
      <c r="AI184" s="128"/>
      <c r="AJ184" s="128"/>
      <c r="AK184" s="128"/>
      <c r="AL184" s="128"/>
    </row>
    <row r="185" spans="1:38" s="90" customFormat="1" ht="25.5" hidden="1" customHeight="1">
      <c r="A185" s="95"/>
      <c r="B185" s="146" t="s">
        <v>533</v>
      </c>
      <c r="C185" s="142" t="s">
        <v>121</v>
      </c>
      <c r="D185" s="137" t="s">
        <v>122</v>
      </c>
      <c r="E185" s="114"/>
      <c r="F185" s="142" t="s">
        <v>537</v>
      </c>
      <c r="G185" s="142" t="s">
        <v>617</v>
      </c>
      <c r="H185" s="114"/>
      <c r="I185" s="147"/>
      <c r="J185" s="129">
        <v>0</v>
      </c>
      <c r="K185" s="118">
        <f>+SUMIF('Nhập kho  입'!A:A,C185,'Nhập kho  입'!E:E)</f>
        <v>0</v>
      </c>
      <c r="L185" s="119">
        <f>+SUMIF(' Xuất kho 출'!A:A,C185,' Xuất kho 출'!E:E)</f>
        <v>0</v>
      </c>
      <c r="M185" s="120"/>
      <c r="N185" s="130"/>
      <c r="O185" s="148"/>
      <c r="P185" s="149"/>
      <c r="Q185" s="131">
        <f t="shared" si="5"/>
        <v>0</v>
      </c>
      <c r="R185" s="124"/>
      <c r="S185" s="124"/>
      <c r="T185" s="125">
        <f t="shared" si="4"/>
        <v>0</v>
      </c>
      <c r="U185" s="126"/>
      <c r="V185" s="132"/>
      <c r="W185" s="127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28"/>
      <c r="AH185" s="128"/>
      <c r="AI185" s="128"/>
      <c r="AJ185" s="128"/>
      <c r="AK185" s="128"/>
      <c r="AL185" s="128"/>
    </row>
    <row r="186" spans="1:38" s="90" customFormat="1" ht="25.5" customHeight="1">
      <c r="A186" s="95"/>
      <c r="B186" s="146" t="s">
        <v>533</v>
      </c>
      <c r="C186" s="142" t="s">
        <v>781</v>
      </c>
      <c r="D186" s="137" t="s">
        <v>149</v>
      </c>
      <c r="E186" s="114" t="s">
        <v>618</v>
      </c>
      <c r="F186" s="142" t="s">
        <v>540</v>
      </c>
      <c r="G186" s="151" t="s">
        <v>617</v>
      </c>
      <c r="H186" s="335" t="s">
        <v>552</v>
      </c>
      <c r="I186" s="147"/>
      <c r="J186" s="129">
        <v>9300</v>
      </c>
      <c r="K186" s="118">
        <f>+SUMIF('Nhập kho  입'!A:A,C186,'Nhập kho  입'!E:E)</f>
        <v>0</v>
      </c>
      <c r="L186" s="119">
        <f>+SUMIF(' Xuất kho 출'!A:A,C186,' Xuất kho 출'!E:E)</f>
        <v>0</v>
      </c>
      <c r="M186" s="120"/>
      <c r="N186" s="130"/>
      <c r="O186" s="148"/>
      <c r="P186" s="149"/>
      <c r="Q186" s="131">
        <f t="shared" si="5"/>
        <v>9300</v>
      </c>
      <c r="R186" s="124">
        <f>2900+4000+2400</f>
        <v>9300</v>
      </c>
      <c r="S186" s="124"/>
      <c r="T186" s="125">
        <f t="shared" si="4"/>
        <v>0</v>
      </c>
      <c r="U186" s="126"/>
      <c r="V186" s="132"/>
      <c r="W186" s="127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28"/>
      <c r="AH186" s="128"/>
      <c r="AI186" s="128"/>
      <c r="AJ186" s="128"/>
      <c r="AK186" s="128"/>
      <c r="AL186" s="128"/>
    </row>
    <row r="187" spans="1:38" s="90" customFormat="1" ht="25.5" hidden="1" customHeight="1">
      <c r="A187" s="95"/>
      <c r="B187" s="146" t="s">
        <v>533</v>
      </c>
      <c r="C187" s="142" t="s">
        <v>150</v>
      </c>
      <c r="D187" s="137" t="s">
        <v>149</v>
      </c>
      <c r="E187" s="114"/>
      <c r="F187" s="142" t="s">
        <v>540</v>
      </c>
      <c r="G187" s="151" t="s">
        <v>617</v>
      </c>
      <c r="H187" s="335" t="s">
        <v>552</v>
      </c>
      <c r="I187" s="147"/>
      <c r="J187" s="129">
        <v>0</v>
      </c>
      <c r="K187" s="118">
        <f>+SUMIF('Nhập kho  입'!A:A,C187,'Nhập kho  입'!E:E)</f>
        <v>0</v>
      </c>
      <c r="L187" s="119">
        <f>+SUMIF(' Xuất kho 출'!A:A,C187,' Xuất kho 출'!E:E)</f>
        <v>0</v>
      </c>
      <c r="M187" s="120"/>
      <c r="N187" s="130"/>
      <c r="O187" s="148"/>
      <c r="P187" s="149"/>
      <c r="Q187" s="131">
        <f t="shared" si="5"/>
        <v>0</v>
      </c>
      <c r="R187" s="124"/>
      <c r="S187" s="124"/>
      <c r="T187" s="125">
        <f t="shared" si="4"/>
        <v>0</v>
      </c>
      <c r="U187" s="126"/>
      <c r="V187" s="132"/>
      <c r="W187" s="127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28"/>
      <c r="AH187" s="128"/>
      <c r="AI187" s="128"/>
      <c r="AJ187" s="128"/>
      <c r="AK187" s="128"/>
      <c r="AL187" s="128"/>
    </row>
    <row r="188" spans="1:38" s="90" customFormat="1" ht="25.5" hidden="1" customHeight="1">
      <c r="A188" s="95"/>
      <c r="B188" s="146" t="s">
        <v>533</v>
      </c>
      <c r="C188" s="142" t="s">
        <v>56</v>
      </c>
      <c r="D188" s="137" t="s">
        <v>57</v>
      </c>
      <c r="E188" s="114"/>
      <c r="F188" s="142">
        <v>125140</v>
      </c>
      <c r="G188" s="339" t="s">
        <v>562</v>
      </c>
      <c r="H188" s="114"/>
      <c r="I188" s="337" t="s">
        <v>541</v>
      </c>
      <c r="J188" s="129">
        <v>0</v>
      </c>
      <c r="K188" s="118">
        <f>+SUMIF('Nhập kho  입'!A:A,C188,'Nhập kho  입'!E:E)</f>
        <v>0</v>
      </c>
      <c r="L188" s="119">
        <f>+SUMIF(' Xuất kho 출'!A:A,C188,' Xuất kho 출'!E:E)</f>
        <v>0</v>
      </c>
      <c r="M188" s="120"/>
      <c r="N188" s="130"/>
      <c r="O188" s="148"/>
      <c r="P188" s="149"/>
      <c r="Q188" s="131">
        <f t="shared" si="5"/>
        <v>0</v>
      </c>
      <c r="R188" s="124"/>
      <c r="S188" s="124"/>
      <c r="T188" s="125">
        <f t="shared" si="4"/>
        <v>0</v>
      </c>
      <c r="U188" s="126"/>
      <c r="V188" s="132"/>
      <c r="W188" s="127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28"/>
      <c r="AH188" s="128"/>
      <c r="AI188" s="128"/>
      <c r="AJ188" s="128"/>
      <c r="AK188" s="128"/>
      <c r="AL188" s="128"/>
    </row>
    <row r="189" spans="1:38" s="90" customFormat="1" ht="25.5" hidden="1" customHeight="1">
      <c r="A189" s="95"/>
      <c r="B189" s="146" t="s">
        <v>533</v>
      </c>
      <c r="C189" s="142" t="s">
        <v>131</v>
      </c>
      <c r="D189" s="137" t="s">
        <v>132</v>
      </c>
      <c r="E189" s="114"/>
      <c r="F189" s="141">
        <v>125140</v>
      </c>
      <c r="G189" s="136" t="s">
        <v>562</v>
      </c>
      <c r="H189" s="114"/>
      <c r="I189" s="147"/>
      <c r="J189" s="129">
        <v>0</v>
      </c>
      <c r="K189" s="118">
        <f>+SUMIF('Nhập kho  입'!A:A,C189,'Nhập kho  입'!E:E)</f>
        <v>0</v>
      </c>
      <c r="L189" s="119">
        <f>+SUMIF(' Xuất kho 출'!A:A,C189,' Xuất kho 출'!E:E)</f>
        <v>0</v>
      </c>
      <c r="M189" s="120"/>
      <c r="N189" s="130"/>
      <c r="O189" s="148"/>
      <c r="P189" s="149"/>
      <c r="Q189" s="131">
        <f t="shared" si="5"/>
        <v>0</v>
      </c>
      <c r="R189" s="124"/>
      <c r="S189" s="124"/>
      <c r="T189" s="125">
        <f t="shared" si="4"/>
        <v>0</v>
      </c>
      <c r="U189" s="126"/>
      <c r="V189" s="132"/>
      <c r="W189" s="127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</row>
    <row r="190" spans="1:38" s="90" customFormat="1" ht="25.5" hidden="1" customHeight="1">
      <c r="A190" s="95"/>
      <c r="B190" s="146" t="s">
        <v>533</v>
      </c>
      <c r="C190" s="136" t="s">
        <v>54</v>
      </c>
      <c r="D190" s="137" t="s">
        <v>55</v>
      </c>
      <c r="E190" s="114"/>
      <c r="F190" s="141">
        <v>125140</v>
      </c>
      <c r="G190" s="136" t="s">
        <v>562</v>
      </c>
      <c r="H190" s="114"/>
      <c r="I190" s="337" t="s">
        <v>541</v>
      </c>
      <c r="J190" s="129">
        <v>0</v>
      </c>
      <c r="K190" s="118">
        <f>+SUMIF('Nhập kho  입'!A:A,C190,'Nhập kho  입'!E:E)</f>
        <v>0</v>
      </c>
      <c r="L190" s="119">
        <f>+SUMIF(' Xuất kho 출'!A:A,C190,' Xuất kho 출'!E:E)</f>
        <v>0</v>
      </c>
      <c r="M190" s="120"/>
      <c r="N190" s="130"/>
      <c r="O190" s="148"/>
      <c r="P190" s="149"/>
      <c r="Q190" s="131">
        <f t="shared" si="5"/>
        <v>0</v>
      </c>
      <c r="R190" s="124"/>
      <c r="S190" s="124"/>
      <c r="T190" s="125">
        <f t="shared" si="4"/>
        <v>0</v>
      </c>
      <c r="U190" s="126"/>
      <c r="V190" s="132"/>
      <c r="W190" s="127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28"/>
      <c r="AH190" s="128"/>
      <c r="AI190" s="128"/>
      <c r="AJ190" s="128"/>
      <c r="AK190" s="128"/>
      <c r="AL190" s="128"/>
    </row>
    <row r="191" spans="1:38" s="90" customFormat="1" ht="25.5" customHeight="1">
      <c r="A191" s="95"/>
      <c r="B191" s="146" t="s">
        <v>533</v>
      </c>
      <c r="C191" s="142" t="s">
        <v>413</v>
      </c>
      <c r="D191" s="137" t="s">
        <v>414</v>
      </c>
      <c r="E191" s="114" t="s">
        <v>545</v>
      </c>
      <c r="F191" s="141"/>
      <c r="G191" s="339" t="s">
        <v>562</v>
      </c>
      <c r="H191" s="335" t="s">
        <v>552</v>
      </c>
      <c r="I191" s="147"/>
      <c r="J191" s="129">
        <v>1500</v>
      </c>
      <c r="K191" s="118">
        <f>+SUMIF('Nhập kho  입'!A:A,C191,'Nhập kho  입'!E:E)</f>
        <v>0</v>
      </c>
      <c r="L191" s="119">
        <f>+SUMIF(' Xuất kho 출'!A:A,C191,' Xuất kho 출'!E:E)</f>
        <v>0</v>
      </c>
      <c r="M191" s="120"/>
      <c r="N191" s="130"/>
      <c r="O191" s="148"/>
      <c r="P191" s="149"/>
      <c r="Q191" s="131">
        <f t="shared" si="5"/>
        <v>1500</v>
      </c>
      <c r="R191" s="124">
        <f>500+200+16*50</f>
        <v>1500</v>
      </c>
      <c r="S191" s="124"/>
      <c r="T191" s="125">
        <f t="shared" si="4"/>
        <v>0</v>
      </c>
      <c r="U191" s="126"/>
      <c r="V191" s="132"/>
      <c r="W191" s="127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28"/>
      <c r="AH191" s="128"/>
      <c r="AI191" s="128"/>
      <c r="AJ191" s="128"/>
      <c r="AK191" s="128"/>
      <c r="AL191" s="128"/>
    </row>
    <row r="192" spans="1:38" s="90" customFormat="1" ht="25.5" hidden="1" customHeight="1">
      <c r="A192" s="95"/>
      <c r="B192" s="146" t="s">
        <v>533</v>
      </c>
      <c r="C192" s="142" t="s">
        <v>415</v>
      </c>
      <c r="D192" s="137" t="s">
        <v>414</v>
      </c>
      <c r="E192" s="114" t="s">
        <v>566</v>
      </c>
      <c r="F192" s="141"/>
      <c r="G192" s="136" t="s">
        <v>562</v>
      </c>
      <c r="H192" s="335" t="s">
        <v>552</v>
      </c>
      <c r="I192" s="147"/>
      <c r="J192" s="129">
        <v>0</v>
      </c>
      <c r="K192" s="118">
        <f>+SUMIF('Nhập kho  입'!A:A,C192,'Nhập kho  입'!E:E)</f>
        <v>0</v>
      </c>
      <c r="L192" s="119">
        <f>+SUMIF(' Xuất kho 출'!A:A,C192,' Xuất kho 출'!E:E)</f>
        <v>0</v>
      </c>
      <c r="M192" s="120"/>
      <c r="N192" s="130"/>
      <c r="O192" s="148"/>
      <c r="P192" s="149"/>
      <c r="Q192" s="131">
        <f t="shared" si="5"/>
        <v>0</v>
      </c>
      <c r="R192" s="124"/>
      <c r="S192" s="124"/>
      <c r="T192" s="125">
        <f t="shared" si="4"/>
        <v>0</v>
      </c>
      <c r="U192" s="126"/>
      <c r="V192" s="132"/>
      <c r="W192" s="127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28"/>
      <c r="AH192" s="128"/>
      <c r="AI192" s="128"/>
      <c r="AJ192" s="128"/>
      <c r="AK192" s="128"/>
      <c r="AL192" s="128"/>
    </row>
    <row r="193" spans="1:38" s="90" customFormat="1" ht="25.5" customHeight="1">
      <c r="A193" s="95"/>
      <c r="B193" s="146" t="s">
        <v>533</v>
      </c>
      <c r="C193" s="136" t="s">
        <v>800</v>
      </c>
      <c r="D193" s="137" t="s">
        <v>464</v>
      </c>
      <c r="E193" s="114" t="s">
        <v>591</v>
      </c>
      <c r="F193" s="141"/>
      <c r="G193" s="136" t="s">
        <v>562</v>
      </c>
      <c r="H193" s="335" t="s">
        <v>552</v>
      </c>
      <c r="I193" s="147"/>
      <c r="J193" s="129">
        <v>2300</v>
      </c>
      <c r="K193" s="118">
        <f>+SUMIF('Nhập kho  입'!A:A,C193,'Nhập kho  입'!E:E)</f>
        <v>16750</v>
      </c>
      <c r="L193" s="119">
        <f>+SUMIF(' Xuất kho 출'!A:A,C193,' Xuất kho 출'!E:E)</f>
        <v>10800</v>
      </c>
      <c r="M193" s="120"/>
      <c r="N193" s="130"/>
      <c r="O193" s="148"/>
      <c r="P193" s="149"/>
      <c r="Q193" s="131">
        <f t="shared" si="5"/>
        <v>8250</v>
      </c>
      <c r="R193" s="124">
        <f>46*50</f>
        <v>2300</v>
      </c>
      <c r="S193" s="134"/>
      <c r="T193" s="125">
        <f t="shared" si="4"/>
        <v>-5950</v>
      </c>
      <c r="U193" s="126"/>
      <c r="V193" s="132"/>
      <c r="W193" s="127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28"/>
      <c r="AH193" s="128"/>
      <c r="AI193" s="128"/>
      <c r="AJ193" s="128"/>
      <c r="AK193" s="128"/>
      <c r="AL193" s="128"/>
    </row>
    <row r="194" spans="1:38" s="90" customFormat="1" ht="25.5" customHeight="1">
      <c r="A194" s="95"/>
      <c r="B194" s="146" t="s">
        <v>533</v>
      </c>
      <c r="C194" s="136" t="s">
        <v>207</v>
      </c>
      <c r="D194" s="137" t="s">
        <v>208</v>
      </c>
      <c r="E194" s="114"/>
      <c r="F194" s="142">
        <v>125140</v>
      </c>
      <c r="G194" s="136" t="s">
        <v>562</v>
      </c>
      <c r="H194" s="335" t="s">
        <v>552</v>
      </c>
      <c r="I194" s="147"/>
      <c r="J194" s="129">
        <v>1800</v>
      </c>
      <c r="K194" s="118">
        <f>+SUMIF('Nhập kho  입'!A:A,C194,'Nhập kho  입'!E:E)</f>
        <v>0</v>
      </c>
      <c r="L194" s="119">
        <f>+SUMIF(' Xuất kho 출'!A:A,C194,' Xuất kho 출'!E:E)</f>
        <v>0</v>
      </c>
      <c r="M194" s="120"/>
      <c r="N194" s="130"/>
      <c r="O194" s="148"/>
      <c r="P194" s="149"/>
      <c r="Q194" s="131">
        <f t="shared" si="5"/>
        <v>1800</v>
      </c>
      <c r="R194" s="124">
        <f>36*50</f>
        <v>1800</v>
      </c>
      <c r="S194" s="124"/>
      <c r="T194" s="125">
        <f t="shared" si="4"/>
        <v>0</v>
      </c>
      <c r="U194" s="126"/>
      <c r="V194" s="132"/>
      <c r="W194" s="127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28"/>
      <c r="AH194" s="128"/>
      <c r="AI194" s="128"/>
      <c r="AJ194" s="128"/>
      <c r="AK194" s="128"/>
      <c r="AL194" s="128"/>
    </row>
    <row r="195" spans="1:38" s="90" customFormat="1" ht="25.5" hidden="1" customHeight="1">
      <c r="A195" s="95"/>
      <c r="B195" s="146" t="s">
        <v>533</v>
      </c>
      <c r="C195" s="136" t="s">
        <v>153</v>
      </c>
      <c r="D195" s="137" t="s">
        <v>154</v>
      </c>
      <c r="E195" s="114"/>
      <c r="F195" s="141" t="s">
        <v>574</v>
      </c>
      <c r="G195" s="136" t="s">
        <v>534</v>
      </c>
      <c r="H195" s="114"/>
      <c r="I195" s="147"/>
      <c r="J195" s="129">
        <v>0</v>
      </c>
      <c r="K195" s="118">
        <f>+SUMIF('Nhập kho  입'!A:A,C195,'Nhập kho  입'!E:E)</f>
        <v>0</v>
      </c>
      <c r="L195" s="119">
        <f>+SUMIF(' Xuất kho 출'!A:A,C195,' Xuất kho 출'!E:E)</f>
        <v>0</v>
      </c>
      <c r="M195" s="120"/>
      <c r="N195" s="130"/>
      <c r="O195" s="148"/>
      <c r="P195" s="149"/>
      <c r="Q195" s="131">
        <f t="shared" si="5"/>
        <v>0</v>
      </c>
      <c r="R195" s="124"/>
      <c r="S195" s="124"/>
      <c r="T195" s="125">
        <f t="shared" si="4"/>
        <v>0</v>
      </c>
      <c r="U195" s="126"/>
      <c r="V195" s="132"/>
      <c r="W195" s="127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28"/>
      <c r="AH195" s="128"/>
      <c r="AI195" s="128"/>
      <c r="AJ195" s="128"/>
      <c r="AK195" s="128"/>
      <c r="AL195" s="128"/>
    </row>
    <row r="196" spans="1:38" s="90" customFormat="1" ht="25.5" customHeight="1">
      <c r="A196" s="95"/>
      <c r="B196" s="146" t="s">
        <v>533</v>
      </c>
      <c r="C196" s="136" t="s">
        <v>1246</v>
      </c>
      <c r="D196" s="137" t="s">
        <v>839</v>
      </c>
      <c r="E196" s="114" t="s">
        <v>568</v>
      </c>
      <c r="F196" s="142"/>
      <c r="G196" s="136" t="s">
        <v>562</v>
      </c>
      <c r="H196" s="335" t="s">
        <v>552</v>
      </c>
      <c r="I196" s="147"/>
      <c r="J196" s="129">
        <v>1000</v>
      </c>
      <c r="K196" s="118">
        <f>+SUMIF('Nhập kho  입'!A:A,C196,'Nhập kho  입'!E:E)</f>
        <v>4750</v>
      </c>
      <c r="L196" s="119">
        <f>+SUMIF(' Xuất kho 출'!A:A,C196,' Xuất kho 출'!E:E)</f>
        <v>5400</v>
      </c>
      <c r="M196" s="120"/>
      <c r="N196" s="130"/>
      <c r="O196" s="148"/>
      <c r="P196" s="149"/>
      <c r="Q196" s="131">
        <f t="shared" si="5"/>
        <v>350</v>
      </c>
      <c r="R196" s="124">
        <f>20*50</f>
        <v>1000</v>
      </c>
      <c r="S196" s="124"/>
      <c r="T196" s="125">
        <f t="shared" si="4"/>
        <v>650</v>
      </c>
      <c r="U196" s="126"/>
      <c r="V196" s="132"/>
      <c r="W196" s="127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28"/>
      <c r="AH196" s="128"/>
      <c r="AI196" s="128"/>
      <c r="AJ196" s="128"/>
      <c r="AK196" s="128"/>
      <c r="AL196" s="128"/>
    </row>
    <row r="197" spans="1:38" s="90" customFormat="1" ht="25.5" customHeight="1">
      <c r="A197" s="95"/>
      <c r="B197" s="146" t="s">
        <v>533</v>
      </c>
      <c r="C197" s="136" t="s">
        <v>1548</v>
      </c>
      <c r="D197" s="137" t="s">
        <v>288</v>
      </c>
      <c r="E197" s="114" t="s">
        <v>618</v>
      </c>
      <c r="F197" s="141" t="s">
        <v>540</v>
      </c>
      <c r="G197" s="136" t="s">
        <v>549</v>
      </c>
      <c r="H197" s="335" t="s">
        <v>552</v>
      </c>
      <c r="I197" s="147"/>
      <c r="J197" s="129">
        <v>4400</v>
      </c>
      <c r="K197" s="118">
        <f>+SUMIF('Nhập kho  입'!A:A,C197,'Nhập kho  입'!E:E)</f>
        <v>0</v>
      </c>
      <c r="L197" s="119">
        <f>+SUMIF(' Xuất kho 출'!A:A,C197,' Xuất kho 출'!E:E)</f>
        <v>300</v>
      </c>
      <c r="M197" s="120"/>
      <c r="N197" s="130"/>
      <c r="O197" s="148"/>
      <c r="P197" s="149"/>
      <c r="Q197" s="131">
        <f t="shared" si="5"/>
        <v>4100</v>
      </c>
      <c r="R197" s="124">
        <f>800+3600</f>
        <v>4400</v>
      </c>
      <c r="S197" s="124"/>
      <c r="T197" s="125">
        <f t="shared" si="4"/>
        <v>300</v>
      </c>
      <c r="U197" s="126"/>
      <c r="V197" s="132"/>
      <c r="W197" s="127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28"/>
      <c r="AH197" s="128"/>
      <c r="AI197" s="128"/>
      <c r="AJ197" s="128"/>
      <c r="AK197" s="128"/>
      <c r="AL197" s="128"/>
    </row>
    <row r="198" spans="1:38" s="90" customFormat="1" ht="25.5" hidden="1" customHeight="1">
      <c r="A198" s="95"/>
      <c r="B198" s="146" t="s">
        <v>533</v>
      </c>
      <c r="C198" s="136" t="s">
        <v>289</v>
      </c>
      <c r="D198" s="137" t="s">
        <v>288</v>
      </c>
      <c r="E198" s="114" t="s">
        <v>623</v>
      </c>
      <c r="F198" s="142" t="s">
        <v>540</v>
      </c>
      <c r="G198" s="136" t="s">
        <v>549</v>
      </c>
      <c r="H198" s="335" t="s">
        <v>552</v>
      </c>
      <c r="I198" s="147"/>
      <c r="J198" s="129">
        <v>0</v>
      </c>
      <c r="K198" s="118">
        <f>+SUMIF('Nhập kho  입'!A:A,C198,'Nhập kho  입'!E:E)</f>
        <v>0</v>
      </c>
      <c r="L198" s="119">
        <f>+SUMIF(' Xuất kho 출'!A:A,C198,' Xuất kho 출'!E:E)</f>
        <v>0</v>
      </c>
      <c r="M198" s="120"/>
      <c r="N198" s="130"/>
      <c r="O198" s="148"/>
      <c r="P198" s="149"/>
      <c r="Q198" s="131">
        <f t="shared" si="5"/>
        <v>0</v>
      </c>
      <c r="R198" s="124"/>
      <c r="S198" s="124"/>
      <c r="T198" s="125">
        <f t="shared" si="4"/>
        <v>0</v>
      </c>
      <c r="U198" s="126"/>
      <c r="V198" s="132"/>
      <c r="W198" s="127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28"/>
      <c r="AH198" s="128"/>
      <c r="AI198" s="128"/>
      <c r="AJ198" s="128"/>
      <c r="AK198" s="128"/>
      <c r="AL198" s="128"/>
    </row>
    <row r="199" spans="1:38" s="90" customFormat="1" ht="25.5" customHeight="1">
      <c r="A199" s="95"/>
      <c r="B199" s="146" t="s">
        <v>533</v>
      </c>
      <c r="C199" s="136" t="s">
        <v>1253</v>
      </c>
      <c r="D199" s="137" t="s">
        <v>432</v>
      </c>
      <c r="E199" s="114" t="s">
        <v>561</v>
      </c>
      <c r="F199" s="142"/>
      <c r="G199" s="136" t="s">
        <v>617</v>
      </c>
      <c r="H199" s="335" t="s">
        <v>552</v>
      </c>
      <c r="I199" s="147"/>
      <c r="J199" s="129">
        <v>2500</v>
      </c>
      <c r="K199" s="118">
        <f>+SUMIF('Nhập kho  입'!A:A,C199,'Nhập kho  입'!E:E)</f>
        <v>11500</v>
      </c>
      <c r="L199" s="119">
        <f>+SUMIF(' Xuất kho 출'!A:A,C199,' Xuất kho 출'!E:E)</f>
        <v>7000</v>
      </c>
      <c r="M199" s="120">
        <v>2400</v>
      </c>
      <c r="N199" s="130"/>
      <c r="O199" s="148"/>
      <c r="P199" s="149"/>
      <c r="Q199" s="131">
        <f t="shared" si="5"/>
        <v>7000</v>
      </c>
      <c r="R199" s="124">
        <f>300+2200</f>
        <v>2500</v>
      </c>
      <c r="S199" s="124"/>
      <c r="T199" s="125">
        <f t="shared" si="4"/>
        <v>-4500</v>
      </c>
      <c r="U199" s="126"/>
      <c r="V199" s="132"/>
      <c r="W199" s="127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28"/>
      <c r="AH199" s="128"/>
      <c r="AI199" s="128"/>
      <c r="AJ199" s="128"/>
      <c r="AK199" s="128"/>
      <c r="AL199" s="128"/>
    </row>
    <row r="200" spans="1:38" s="90" customFormat="1" ht="25.5" customHeight="1">
      <c r="A200" s="95"/>
      <c r="B200" s="146" t="s">
        <v>533</v>
      </c>
      <c r="C200" s="136" t="s">
        <v>873</v>
      </c>
      <c r="D200" s="137" t="s">
        <v>14</v>
      </c>
      <c r="E200" s="114"/>
      <c r="F200" s="142">
        <v>125150</v>
      </c>
      <c r="G200" s="136" t="s">
        <v>562</v>
      </c>
      <c r="H200" s="335" t="s">
        <v>552</v>
      </c>
      <c r="I200" s="337" t="s">
        <v>541</v>
      </c>
      <c r="J200" s="129">
        <v>1800</v>
      </c>
      <c r="K200" s="118">
        <f>+SUMIF('Nhập kho  입'!A:A,C200,'Nhập kho  입'!E:E)</f>
        <v>2400</v>
      </c>
      <c r="L200" s="119">
        <f>+SUMIF(' Xuất kho 출'!A:A,C200,' Xuất kho 출'!E:E)</f>
        <v>1000</v>
      </c>
      <c r="M200" s="120">
        <v>2000</v>
      </c>
      <c r="N200" s="130"/>
      <c r="O200" s="148"/>
      <c r="P200" s="149"/>
      <c r="Q200" s="131">
        <f t="shared" si="5"/>
        <v>3200</v>
      </c>
      <c r="R200" s="124">
        <f>36*50</f>
        <v>1800</v>
      </c>
      <c r="S200" s="124"/>
      <c r="T200" s="125">
        <f t="shared" si="4"/>
        <v>-1400</v>
      </c>
      <c r="U200" s="126"/>
      <c r="V200" s="132"/>
      <c r="W200" s="127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28"/>
      <c r="AH200" s="128"/>
      <c r="AI200" s="128"/>
      <c r="AJ200" s="128"/>
      <c r="AK200" s="128"/>
      <c r="AL200" s="128"/>
    </row>
    <row r="201" spans="1:38" s="90" customFormat="1" ht="25.5" hidden="1" customHeight="1">
      <c r="A201" s="95"/>
      <c r="B201" s="146" t="s">
        <v>533</v>
      </c>
      <c r="C201" s="136" t="s">
        <v>15</v>
      </c>
      <c r="D201" s="137" t="s">
        <v>14</v>
      </c>
      <c r="E201" s="114"/>
      <c r="F201" s="142">
        <v>125150</v>
      </c>
      <c r="G201" s="142" t="s">
        <v>562</v>
      </c>
      <c r="H201" s="335" t="s">
        <v>552</v>
      </c>
      <c r="I201" s="337" t="s">
        <v>541</v>
      </c>
      <c r="J201" s="129">
        <v>0</v>
      </c>
      <c r="K201" s="118">
        <f>+SUMIF('Nhập kho  입'!A:A,C201,'Nhập kho  입'!E:E)</f>
        <v>0</v>
      </c>
      <c r="L201" s="119">
        <f>+SUMIF(' Xuất kho 출'!A:A,C201,' Xuất kho 출'!E:E)</f>
        <v>0</v>
      </c>
      <c r="M201" s="120"/>
      <c r="N201" s="130"/>
      <c r="O201" s="148"/>
      <c r="P201" s="149"/>
      <c r="Q201" s="131">
        <f t="shared" si="5"/>
        <v>0</v>
      </c>
      <c r="R201" s="124"/>
      <c r="S201" s="124"/>
      <c r="T201" s="125">
        <f t="shared" ref="T201:T265" si="6">+R201-Q201</f>
        <v>0</v>
      </c>
      <c r="U201" s="126"/>
      <c r="V201" s="132"/>
      <c r="W201" s="127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28"/>
      <c r="AH201" s="128"/>
      <c r="AI201" s="128"/>
      <c r="AJ201" s="128"/>
      <c r="AK201" s="128"/>
      <c r="AL201" s="128"/>
    </row>
    <row r="202" spans="1:38" s="90" customFormat="1" ht="25.5" customHeight="1">
      <c r="A202" s="95"/>
      <c r="B202" s="146" t="s">
        <v>533</v>
      </c>
      <c r="C202" s="136" t="s">
        <v>471</v>
      </c>
      <c r="D202" s="137" t="s">
        <v>472</v>
      </c>
      <c r="E202" s="114" t="s">
        <v>620</v>
      </c>
      <c r="F202" s="142"/>
      <c r="G202" s="142" t="s">
        <v>562</v>
      </c>
      <c r="H202" s="335" t="s">
        <v>552</v>
      </c>
      <c r="I202" s="147"/>
      <c r="J202" s="129">
        <v>0</v>
      </c>
      <c r="K202" s="118">
        <f>+SUMIF('Nhập kho  입'!A:A,C202,'Nhập kho  입'!E:E)</f>
        <v>9050</v>
      </c>
      <c r="L202" s="119">
        <f>+SUMIF(' Xuất kho 출'!A:A,C202,' Xuất kho 출'!E:E)</f>
        <v>1100</v>
      </c>
      <c r="M202" s="120"/>
      <c r="N202" s="130"/>
      <c r="O202" s="148"/>
      <c r="P202" s="149"/>
      <c r="Q202" s="131">
        <f t="shared" ref="Q202:Q266" si="7">+J202+K202-L202-N202</f>
        <v>7950</v>
      </c>
      <c r="R202" s="124"/>
      <c r="S202" s="124"/>
      <c r="T202" s="125">
        <f t="shared" si="6"/>
        <v>-7950</v>
      </c>
      <c r="U202" s="126"/>
      <c r="V202" s="132"/>
      <c r="W202" s="127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28"/>
      <c r="AH202" s="128"/>
      <c r="AI202" s="128"/>
      <c r="AJ202" s="128"/>
      <c r="AK202" s="128"/>
      <c r="AL202" s="128"/>
    </row>
    <row r="203" spans="1:38" s="90" customFormat="1" ht="25.5" customHeight="1">
      <c r="A203" s="95"/>
      <c r="B203" s="146" t="s">
        <v>533</v>
      </c>
      <c r="C203" s="136" t="s">
        <v>298</v>
      </c>
      <c r="D203" s="137" t="s">
        <v>299</v>
      </c>
      <c r="E203" s="114" t="s">
        <v>620</v>
      </c>
      <c r="F203" s="142">
        <v>125150</v>
      </c>
      <c r="G203" s="151" t="s">
        <v>562</v>
      </c>
      <c r="H203" s="335" t="s">
        <v>552</v>
      </c>
      <c r="I203" s="147"/>
      <c r="J203" s="129">
        <v>1900</v>
      </c>
      <c r="K203" s="118">
        <f>+SUMIF('Nhập kho  입'!A:A,C203,'Nhập kho  입'!E:E)</f>
        <v>0</v>
      </c>
      <c r="L203" s="119">
        <f>+SUMIF(' Xuất kho 출'!A:A,C203,' Xuất kho 출'!E:E)</f>
        <v>0</v>
      </c>
      <c r="M203" s="120"/>
      <c r="N203" s="130"/>
      <c r="O203" s="148"/>
      <c r="P203" s="149"/>
      <c r="Q203" s="131">
        <f t="shared" si="7"/>
        <v>1900</v>
      </c>
      <c r="R203" s="124">
        <f>8*50+200+26*50</f>
        <v>1900</v>
      </c>
      <c r="S203" s="134"/>
      <c r="T203" s="125">
        <f t="shared" si="6"/>
        <v>0</v>
      </c>
      <c r="U203" s="126"/>
      <c r="V203" s="132"/>
      <c r="W203" s="127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28"/>
      <c r="AH203" s="128"/>
      <c r="AI203" s="128"/>
      <c r="AJ203" s="128"/>
      <c r="AK203" s="128"/>
      <c r="AL203" s="128"/>
    </row>
    <row r="204" spans="1:38" s="90" customFormat="1" ht="25.5" hidden="1" customHeight="1">
      <c r="A204" s="95"/>
      <c r="B204" s="146" t="s">
        <v>533</v>
      </c>
      <c r="C204" s="136" t="s">
        <v>123</v>
      </c>
      <c r="D204" s="137" t="s">
        <v>124</v>
      </c>
      <c r="E204" s="114"/>
      <c r="F204" s="142" t="s">
        <v>540</v>
      </c>
      <c r="G204" s="142" t="s">
        <v>549</v>
      </c>
      <c r="H204" s="114"/>
      <c r="I204" s="147"/>
      <c r="J204" s="129">
        <v>0</v>
      </c>
      <c r="K204" s="118">
        <f>+SUMIF('Nhập kho  입'!A:A,C204,'Nhập kho  입'!E:E)</f>
        <v>0</v>
      </c>
      <c r="L204" s="119">
        <f>+SUMIF(' Xuất kho 출'!A:A,C204,' Xuất kho 출'!E:E)</f>
        <v>0</v>
      </c>
      <c r="M204" s="120"/>
      <c r="N204" s="130"/>
      <c r="O204" s="148"/>
      <c r="P204" s="149"/>
      <c r="Q204" s="131">
        <f t="shared" si="7"/>
        <v>0</v>
      </c>
      <c r="R204" s="124"/>
      <c r="S204" s="134"/>
      <c r="T204" s="125">
        <f t="shared" si="6"/>
        <v>0</v>
      </c>
      <c r="U204" s="126"/>
      <c r="V204" s="132"/>
      <c r="W204" s="127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28"/>
      <c r="AH204" s="128"/>
      <c r="AI204" s="128"/>
      <c r="AJ204" s="128"/>
      <c r="AK204" s="128"/>
      <c r="AL204" s="128"/>
    </row>
    <row r="205" spans="1:38" s="90" customFormat="1" ht="25.5" hidden="1" customHeight="1">
      <c r="A205" s="95" t="s">
        <v>624</v>
      </c>
      <c r="B205" s="146" t="s">
        <v>533</v>
      </c>
      <c r="C205" s="136" t="s">
        <v>108</v>
      </c>
      <c r="D205" s="137" t="s">
        <v>109</v>
      </c>
      <c r="E205" s="114"/>
      <c r="F205" s="142">
        <v>125140</v>
      </c>
      <c r="G205" s="136" t="s">
        <v>562</v>
      </c>
      <c r="H205" s="114"/>
      <c r="I205" s="147"/>
      <c r="J205" s="129">
        <v>0</v>
      </c>
      <c r="K205" s="118">
        <f>+SUMIF('Nhập kho  입'!A:A,C205,'Nhập kho  입'!E:E)</f>
        <v>0</v>
      </c>
      <c r="L205" s="119">
        <f>+SUMIF(' Xuất kho 출'!A:A,C205,' Xuất kho 출'!E:E)</f>
        <v>0</v>
      </c>
      <c r="M205" s="120"/>
      <c r="N205" s="130"/>
      <c r="O205" s="148"/>
      <c r="P205" s="149"/>
      <c r="Q205" s="131">
        <f t="shared" si="7"/>
        <v>0</v>
      </c>
      <c r="R205" s="124"/>
      <c r="S205" s="124"/>
      <c r="T205" s="125">
        <f t="shared" si="6"/>
        <v>0</v>
      </c>
      <c r="U205" s="126"/>
      <c r="V205" s="132"/>
      <c r="W205" s="127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28"/>
      <c r="AH205" s="128"/>
      <c r="AI205" s="128"/>
      <c r="AJ205" s="128"/>
      <c r="AK205" s="128"/>
      <c r="AL205" s="128"/>
    </row>
    <row r="206" spans="1:38" s="90" customFormat="1" ht="25.5" customHeight="1">
      <c r="A206" s="95"/>
      <c r="B206" s="146" t="s">
        <v>533</v>
      </c>
      <c r="C206" s="136" t="s">
        <v>1296</v>
      </c>
      <c r="D206" s="137" t="s">
        <v>162</v>
      </c>
      <c r="E206" s="114" t="s">
        <v>586</v>
      </c>
      <c r="F206" s="142" t="s">
        <v>537</v>
      </c>
      <c r="G206" s="142" t="s">
        <v>617</v>
      </c>
      <c r="H206" s="335" t="s">
        <v>552</v>
      </c>
      <c r="I206" s="147"/>
      <c r="J206" s="129">
        <v>13200</v>
      </c>
      <c r="K206" s="118">
        <f>+SUMIF('Nhập kho  입'!A:A,C206,'Nhập kho  입'!E:E)</f>
        <v>0</v>
      </c>
      <c r="L206" s="119">
        <f>+SUMIF(' Xuất kho 출'!A:A,C206,' Xuất kho 출'!E:E)</f>
        <v>1000</v>
      </c>
      <c r="M206" s="120"/>
      <c r="N206" s="130"/>
      <c r="O206" s="148"/>
      <c r="P206" s="149"/>
      <c r="Q206" s="131">
        <f t="shared" si="7"/>
        <v>12200</v>
      </c>
      <c r="R206" s="124">
        <f>1500+1200+1200+3600+3600+400+1700</f>
        <v>13200</v>
      </c>
      <c r="S206" s="134"/>
      <c r="T206" s="125">
        <f t="shared" si="6"/>
        <v>1000</v>
      </c>
      <c r="U206" s="126"/>
      <c r="V206" s="132"/>
      <c r="W206" s="127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28"/>
      <c r="AH206" s="128"/>
      <c r="AI206" s="128"/>
      <c r="AJ206" s="128"/>
      <c r="AK206" s="128"/>
      <c r="AL206" s="128"/>
    </row>
    <row r="207" spans="1:38" s="90" customFormat="1" ht="25.5" hidden="1" customHeight="1">
      <c r="A207" s="95"/>
      <c r="B207" s="146" t="s">
        <v>533</v>
      </c>
      <c r="C207" s="136" t="s">
        <v>163</v>
      </c>
      <c r="D207" s="137" t="s">
        <v>162</v>
      </c>
      <c r="E207" s="114"/>
      <c r="F207" s="142" t="s">
        <v>578</v>
      </c>
      <c r="G207" s="142" t="s">
        <v>494</v>
      </c>
      <c r="H207" s="335" t="s">
        <v>552</v>
      </c>
      <c r="I207" s="147"/>
      <c r="J207" s="129">
        <v>0</v>
      </c>
      <c r="K207" s="118">
        <f>+SUMIF('Nhập kho  입'!A:A,C207,'Nhập kho  입'!E:E)</f>
        <v>0</v>
      </c>
      <c r="L207" s="119">
        <f>+SUMIF(' Xuất kho 출'!A:A,C207,' Xuất kho 출'!E:E)</f>
        <v>0</v>
      </c>
      <c r="M207" s="120"/>
      <c r="N207" s="130"/>
      <c r="O207" s="148"/>
      <c r="P207" s="149"/>
      <c r="Q207" s="131">
        <f t="shared" si="7"/>
        <v>0</v>
      </c>
      <c r="R207" s="124"/>
      <c r="S207" s="124"/>
      <c r="T207" s="125">
        <f t="shared" si="6"/>
        <v>0</v>
      </c>
      <c r="U207" s="126"/>
      <c r="V207" s="132"/>
      <c r="W207" s="127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28"/>
      <c r="AH207" s="128"/>
      <c r="AI207" s="128"/>
      <c r="AJ207" s="128"/>
      <c r="AK207" s="128"/>
      <c r="AL207" s="128"/>
    </row>
    <row r="208" spans="1:38" s="90" customFormat="1" ht="25.5" customHeight="1">
      <c r="A208" s="95"/>
      <c r="B208" s="146" t="s">
        <v>533</v>
      </c>
      <c r="C208" s="136" t="s">
        <v>933</v>
      </c>
      <c r="D208" s="137" t="s">
        <v>81</v>
      </c>
      <c r="E208" s="114" t="s">
        <v>618</v>
      </c>
      <c r="F208" s="142" t="s">
        <v>537</v>
      </c>
      <c r="G208" s="142" t="s">
        <v>549</v>
      </c>
      <c r="H208" s="335" t="s">
        <v>552</v>
      </c>
      <c r="I208" s="147"/>
      <c r="J208" s="129">
        <v>19900</v>
      </c>
      <c r="K208" s="118">
        <f>+SUMIF('Nhập kho  입'!A:A,C208,'Nhập kho  입'!E:E)</f>
        <v>0</v>
      </c>
      <c r="L208" s="119">
        <f>+SUMIF(' Xuất kho 출'!A:A,C208,' Xuất kho 출'!E:E)</f>
        <v>10500</v>
      </c>
      <c r="M208" s="120"/>
      <c r="N208" s="130"/>
      <c r="O208" s="148"/>
      <c r="P208" s="149"/>
      <c r="Q208" s="131">
        <f t="shared" si="7"/>
        <v>9400</v>
      </c>
      <c r="R208" s="124">
        <f>200+3600+1200+4100+3600+3600+3600</f>
        <v>19900</v>
      </c>
      <c r="S208" s="124"/>
      <c r="T208" s="125">
        <f t="shared" si="6"/>
        <v>10500</v>
      </c>
      <c r="U208" s="126"/>
      <c r="V208" s="132"/>
      <c r="W208" s="127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28"/>
      <c r="AH208" s="128"/>
      <c r="AI208" s="128"/>
      <c r="AJ208" s="128"/>
      <c r="AK208" s="128"/>
      <c r="AL208" s="128"/>
    </row>
    <row r="209" spans="1:85" s="90" customFormat="1" ht="25.5" hidden="1" customHeight="1">
      <c r="A209" s="95"/>
      <c r="B209" s="146" t="s">
        <v>533</v>
      </c>
      <c r="C209" s="136" t="s">
        <v>82</v>
      </c>
      <c r="D209" s="137" t="s">
        <v>81</v>
      </c>
      <c r="E209" s="114"/>
      <c r="F209" s="142" t="s">
        <v>537</v>
      </c>
      <c r="G209" s="142" t="s">
        <v>549</v>
      </c>
      <c r="H209" s="335" t="s">
        <v>552</v>
      </c>
      <c r="I209" s="147"/>
      <c r="J209" s="129">
        <v>0</v>
      </c>
      <c r="K209" s="118">
        <f>+SUMIF('Nhập kho  입'!A:A,C209,'Nhập kho  입'!E:E)</f>
        <v>0</v>
      </c>
      <c r="L209" s="119">
        <f>+SUMIF(' Xuất kho 출'!A:A,C209,' Xuất kho 출'!E:E)</f>
        <v>0</v>
      </c>
      <c r="M209" s="120"/>
      <c r="N209" s="130"/>
      <c r="O209" s="148"/>
      <c r="P209" s="149"/>
      <c r="Q209" s="131">
        <f t="shared" si="7"/>
        <v>0</v>
      </c>
      <c r="R209" s="124"/>
      <c r="S209" s="124"/>
      <c r="T209" s="125">
        <f t="shared" si="6"/>
        <v>0</v>
      </c>
      <c r="U209" s="126"/>
      <c r="V209" s="132"/>
      <c r="W209" s="127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28"/>
      <c r="AH209" s="128"/>
      <c r="AI209" s="128"/>
      <c r="AJ209" s="128"/>
      <c r="AK209" s="128"/>
      <c r="AL209" s="128"/>
    </row>
    <row r="210" spans="1:85" s="90" customFormat="1" ht="25.5" customHeight="1">
      <c r="A210" s="95"/>
      <c r="B210" s="146" t="s">
        <v>533</v>
      </c>
      <c r="C210" s="136" t="s">
        <v>844</v>
      </c>
      <c r="D210" s="137" t="s">
        <v>117</v>
      </c>
      <c r="E210" s="114" t="s">
        <v>612</v>
      </c>
      <c r="F210" s="142" t="s">
        <v>540</v>
      </c>
      <c r="G210" s="136" t="s">
        <v>549</v>
      </c>
      <c r="H210" s="335" t="s">
        <v>546</v>
      </c>
      <c r="I210" s="147"/>
      <c r="J210" s="129">
        <v>3100</v>
      </c>
      <c r="K210" s="118">
        <f>+SUMIF('Nhập kho  입'!A:A,C210,'Nhập kho  입'!E:E)</f>
        <v>0</v>
      </c>
      <c r="L210" s="119">
        <f>+SUMIF(' Xuất kho 출'!A:A,C210,' Xuất kho 출'!E:E)</f>
        <v>100</v>
      </c>
      <c r="M210" s="120"/>
      <c r="N210" s="130"/>
      <c r="O210" s="148"/>
      <c r="P210" s="149"/>
      <c r="Q210" s="131">
        <f t="shared" si="7"/>
        <v>3000</v>
      </c>
      <c r="R210" s="124">
        <f>700+1000+14*100</f>
        <v>3100</v>
      </c>
      <c r="S210" s="124"/>
      <c r="T210" s="125">
        <f t="shared" si="6"/>
        <v>100</v>
      </c>
      <c r="U210" s="126"/>
      <c r="V210" s="132"/>
      <c r="W210" s="127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28"/>
      <c r="AH210" s="128"/>
      <c r="AI210" s="128"/>
      <c r="AJ210" s="128"/>
      <c r="AK210" s="128"/>
      <c r="AL210" s="128"/>
    </row>
    <row r="211" spans="1:85" s="90" customFormat="1" ht="25.5" hidden="1" customHeight="1">
      <c r="A211" s="95"/>
      <c r="B211" s="146" t="s">
        <v>533</v>
      </c>
      <c r="C211" s="136" t="s">
        <v>146</v>
      </c>
      <c r="D211" s="137" t="s">
        <v>147</v>
      </c>
      <c r="E211" s="114" t="s">
        <v>612</v>
      </c>
      <c r="F211" s="142" t="s">
        <v>578</v>
      </c>
      <c r="G211" s="142" t="s">
        <v>617</v>
      </c>
      <c r="H211" s="335" t="s">
        <v>552</v>
      </c>
      <c r="I211" s="147"/>
      <c r="J211" s="129">
        <v>0</v>
      </c>
      <c r="K211" s="118">
        <f>+SUMIF('Nhập kho  입'!A:A,C211,'Nhập kho  입'!E:E)</f>
        <v>0</v>
      </c>
      <c r="L211" s="119">
        <f>+SUMIF(' Xuất kho 출'!A:A,C211,' Xuất kho 출'!E:E)</f>
        <v>0</v>
      </c>
      <c r="M211" s="120"/>
      <c r="N211" s="130"/>
      <c r="O211" s="148"/>
      <c r="P211" s="149"/>
      <c r="Q211" s="131">
        <f t="shared" si="7"/>
        <v>0</v>
      </c>
      <c r="R211" s="124"/>
      <c r="S211" s="124"/>
      <c r="T211" s="125">
        <f t="shared" si="6"/>
        <v>0</v>
      </c>
      <c r="U211" s="126"/>
      <c r="V211" s="132"/>
      <c r="W211" s="127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28"/>
      <c r="AH211" s="128"/>
      <c r="AI211" s="128"/>
      <c r="AJ211" s="128"/>
      <c r="AK211" s="128"/>
      <c r="AL211" s="128"/>
    </row>
    <row r="212" spans="1:85" s="91" customFormat="1" ht="25.5" customHeight="1">
      <c r="A212" s="153"/>
      <c r="B212" s="146" t="s">
        <v>533</v>
      </c>
      <c r="C212" s="136" t="s">
        <v>1440</v>
      </c>
      <c r="D212" s="137" t="s">
        <v>166</v>
      </c>
      <c r="E212" s="114" t="s">
        <v>625</v>
      </c>
      <c r="F212" s="142" t="s">
        <v>537</v>
      </c>
      <c r="G212" s="142" t="s">
        <v>617</v>
      </c>
      <c r="H212" s="335" t="s">
        <v>552</v>
      </c>
      <c r="I212" s="147"/>
      <c r="J212" s="129">
        <v>10200</v>
      </c>
      <c r="K212" s="118">
        <f>+SUMIF('Nhập kho  입'!A:A,C212,'Nhập kho  입'!E:E)</f>
        <v>0</v>
      </c>
      <c r="L212" s="119">
        <f>+SUMIF(' Xuất kho 출'!A:A,C212,' Xuất kho 출'!E:E)</f>
        <v>8000</v>
      </c>
      <c r="M212" s="120"/>
      <c r="N212" s="130"/>
      <c r="O212" s="148"/>
      <c r="P212" s="149"/>
      <c r="Q212" s="131">
        <f t="shared" si="7"/>
        <v>2200</v>
      </c>
      <c r="R212" s="124">
        <f>500+3600+2500+3600</f>
        <v>10200</v>
      </c>
      <c r="S212" s="134"/>
      <c r="T212" s="125">
        <f t="shared" si="6"/>
        <v>8000</v>
      </c>
      <c r="U212" s="126"/>
      <c r="V212" s="132"/>
      <c r="W212" s="127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28"/>
      <c r="AH212" s="128"/>
      <c r="AI212" s="128"/>
      <c r="AJ212" s="128"/>
      <c r="AK212" s="128"/>
      <c r="AL212" s="128"/>
      <c r="AM212" s="90"/>
      <c r="AN212" s="90"/>
      <c r="AO212" s="90"/>
      <c r="AP212" s="90"/>
      <c r="AQ212" s="90"/>
      <c r="AR212" s="90"/>
      <c r="AS212" s="90"/>
      <c r="AT212" s="90"/>
      <c r="AU212" s="90"/>
      <c r="AV212" s="90"/>
      <c r="AW212" s="90"/>
      <c r="AX212" s="90"/>
      <c r="AY212" s="90"/>
      <c r="AZ212" s="90"/>
      <c r="BA212" s="90"/>
      <c r="BB212" s="90"/>
      <c r="BC212" s="90"/>
      <c r="BD212" s="90"/>
      <c r="BE212" s="90"/>
      <c r="BF212" s="90"/>
      <c r="BG212" s="90"/>
      <c r="BH212" s="90"/>
      <c r="BI212" s="90"/>
      <c r="BJ212" s="90"/>
      <c r="BK212" s="90"/>
      <c r="BL212" s="90"/>
      <c r="BM212" s="90"/>
      <c r="BN212" s="90"/>
      <c r="BO212" s="90"/>
      <c r="BP212" s="90"/>
      <c r="BQ212" s="90"/>
      <c r="BR212" s="90"/>
      <c r="BS212" s="90"/>
      <c r="BT212" s="90"/>
      <c r="BU212" s="90"/>
      <c r="BV212" s="90"/>
      <c r="BW212" s="90"/>
      <c r="BX212" s="90"/>
      <c r="BY212" s="90"/>
      <c r="BZ212" s="90"/>
      <c r="CA212" s="90"/>
      <c r="CB212" s="90"/>
      <c r="CC212" s="90"/>
      <c r="CD212" s="90"/>
      <c r="CE212" s="90"/>
      <c r="CF212" s="90"/>
      <c r="CG212" s="90"/>
    </row>
    <row r="213" spans="1:85" s="92" customFormat="1" ht="25.5" customHeight="1">
      <c r="A213" s="154"/>
      <c r="B213" s="146" t="s">
        <v>533</v>
      </c>
      <c r="C213" s="136" t="s">
        <v>995</v>
      </c>
      <c r="D213" s="137" t="s">
        <v>252</v>
      </c>
      <c r="E213" s="114" t="s">
        <v>626</v>
      </c>
      <c r="F213" s="142">
        <v>125140</v>
      </c>
      <c r="G213" s="142" t="s">
        <v>562</v>
      </c>
      <c r="H213" s="335" t="s">
        <v>552</v>
      </c>
      <c r="I213" s="147"/>
      <c r="J213" s="129">
        <v>50</v>
      </c>
      <c r="K213" s="118">
        <f>+SUMIF('Nhập kho  입'!A:A,C213,'Nhập kho  입'!E:E)</f>
        <v>0</v>
      </c>
      <c r="L213" s="119">
        <f>+SUMIF(' Xuất kho 출'!A:A,C213,' Xuất kho 출'!E:E)</f>
        <v>0</v>
      </c>
      <c r="M213" s="120"/>
      <c r="N213" s="130"/>
      <c r="O213" s="148"/>
      <c r="P213" s="149"/>
      <c r="Q213" s="131">
        <f t="shared" si="7"/>
        <v>50</v>
      </c>
      <c r="R213" s="124">
        <f>50+100</f>
        <v>150</v>
      </c>
      <c r="S213" s="124"/>
      <c r="T213" s="125">
        <f t="shared" si="6"/>
        <v>100</v>
      </c>
      <c r="U213" s="126"/>
      <c r="V213" s="132"/>
      <c r="W213" s="127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28"/>
      <c r="AH213" s="128"/>
      <c r="AI213" s="128"/>
      <c r="AJ213" s="128"/>
      <c r="AK213" s="128"/>
      <c r="AL213" s="128"/>
      <c r="AM213" s="90"/>
      <c r="AN213" s="90"/>
      <c r="AO213" s="90"/>
      <c r="AP213" s="90"/>
      <c r="AQ213" s="90"/>
      <c r="AR213" s="90"/>
      <c r="AS213" s="90"/>
      <c r="AT213" s="90"/>
      <c r="AU213" s="90"/>
      <c r="AV213" s="90"/>
      <c r="AW213" s="90"/>
      <c r="AX213" s="90"/>
      <c r="AY213" s="90"/>
      <c r="AZ213" s="90"/>
      <c r="BA213" s="90"/>
      <c r="BB213" s="90"/>
      <c r="BC213" s="90"/>
      <c r="BD213" s="90"/>
      <c r="BE213" s="90"/>
      <c r="BF213" s="90"/>
      <c r="BG213" s="90"/>
      <c r="BH213" s="90"/>
      <c r="BI213" s="90"/>
      <c r="BJ213" s="90"/>
      <c r="BK213" s="90"/>
      <c r="BL213" s="90"/>
      <c r="BM213" s="90"/>
      <c r="BN213" s="90"/>
      <c r="BO213" s="90"/>
      <c r="BP213" s="90"/>
      <c r="BQ213" s="90"/>
      <c r="BR213" s="90"/>
      <c r="BS213" s="90"/>
      <c r="BT213" s="90"/>
      <c r="BU213" s="90"/>
      <c r="BV213" s="90"/>
      <c r="BW213" s="90"/>
      <c r="BX213" s="90"/>
      <c r="BY213" s="90"/>
      <c r="BZ213" s="90"/>
      <c r="CA213" s="90"/>
      <c r="CB213" s="90"/>
      <c r="CC213" s="90"/>
      <c r="CD213" s="90"/>
      <c r="CE213" s="90"/>
      <c r="CF213" s="90"/>
      <c r="CG213" s="90"/>
    </row>
    <row r="214" spans="1:85" s="92" customFormat="1" ht="25.5" customHeight="1">
      <c r="A214" s="154"/>
      <c r="B214" s="146" t="s">
        <v>533</v>
      </c>
      <c r="C214" s="136" t="s">
        <v>334</v>
      </c>
      <c r="D214" s="137" t="s">
        <v>335</v>
      </c>
      <c r="E214" s="114" t="s">
        <v>591</v>
      </c>
      <c r="F214" s="142">
        <v>125140</v>
      </c>
      <c r="G214" s="142" t="s">
        <v>534</v>
      </c>
      <c r="H214" s="335" t="s">
        <v>552</v>
      </c>
      <c r="I214" s="147"/>
      <c r="J214" s="129">
        <v>4700</v>
      </c>
      <c r="K214" s="118">
        <f>+SUMIF('Nhập kho  입'!A:A,C214,'Nhập kho  입'!E:E)</f>
        <v>0</v>
      </c>
      <c r="L214" s="119">
        <f>+SUMIF(' Xuất kho 출'!A:A,C214,' Xuất kho 출'!E:E)</f>
        <v>0</v>
      </c>
      <c r="M214" s="120"/>
      <c r="N214" s="130"/>
      <c r="O214" s="148"/>
      <c r="P214" s="149"/>
      <c r="Q214" s="131">
        <f t="shared" si="7"/>
        <v>4700</v>
      </c>
      <c r="R214" s="124">
        <f>22*50+3600</f>
        <v>4700</v>
      </c>
      <c r="S214" s="124"/>
      <c r="T214" s="125">
        <f t="shared" si="6"/>
        <v>0</v>
      </c>
      <c r="U214" s="126"/>
      <c r="V214" s="132"/>
      <c r="W214" s="127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28"/>
      <c r="AH214" s="128"/>
      <c r="AI214" s="128"/>
      <c r="AJ214" s="128"/>
      <c r="AK214" s="128"/>
      <c r="AL214" s="128"/>
      <c r="AM214" s="90"/>
      <c r="AN214" s="90"/>
      <c r="AO214" s="90"/>
      <c r="AP214" s="90"/>
      <c r="AQ214" s="90"/>
      <c r="AR214" s="90"/>
      <c r="AS214" s="90"/>
      <c r="AT214" s="90"/>
      <c r="AU214" s="90"/>
      <c r="AV214" s="90"/>
      <c r="AW214" s="90"/>
      <c r="AX214" s="90"/>
      <c r="AY214" s="90"/>
      <c r="AZ214" s="90"/>
      <c r="BA214" s="90"/>
      <c r="BB214" s="90"/>
      <c r="BC214" s="90"/>
      <c r="BD214" s="90"/>
      <c r="BE214" s="90"/>
      <c r="BF214" s="90"/>
      <c r="BG214" s="90"/>
      <c r="BH214" s="90"/>
      <c r="BI214" s="90"/>
      <c r="BJ214" s="90"/>
      <c r="BK214" s="90"/>
      <c r="BL214" s="90"/>
      <c r="BM214" s="90"/>
      <c r="BN214" s="90"/>
      <c r="BO214" s="90"/>
      <c r="BP214" s="90"/>
      <c r="BQ214" s="90"/>
      <c r="BR214" s="90"/>
      <c r="BS214" s="90"/>
      <c r="BT214" s="90"/>
      <c r="BU214" s="90"/>
      <c r="BV214" s="90"/>
      <c r="BW214" s="90"/>
      <c r="BX214" s="90"/>
      <c r="BY214" s="90"/>
      <c r="BZ214" s="90"/>
      <c r="CA214" s="90"/>
      <c r="CB214" s="90"/>
      <c r="CC214" s="90"/>
      <c r="CD214" s="90"/>
      <c r="CE214" s="90"/>
      <c r="CF214" s="90"/>
      <c r="CG214" s="90"/>
    </row>
    <row r="215" spans="1:85" s="90" customFormat="1" ht="25.5" customHeight="1">
      <c r="A215" s="95"/>
      <c r="B215" s="146" t="s">
        <v>533</v>
      </c>
      <c r="C215" s="136" t="s">
        <v>356</v>
      </c>
      <c r="D215" s="137" t="s">
        <v>357</v>
      </c>
      <c r="E215" s="114" t="s">
        <v>591</v>
      </c>
      <c r="F215" s="142"/>
      <c r="G215" s="136" t="s">
        <v>562</v>
      </c>
      <c r="H215" s="335" t="s">
        <v>552</v>
      </c>
      <c r="I215" s="147"/>
      <c r="J215" s="129">
        <v>3800</v>
      </c>
      <c r="K215" s="118">
        <f>+SUMIF('Nhập kho  입'!A:A,C215,'Nhập kho  입'!E:E)</f>
        <v>0</v>
      </c>
      <c r="L215" s="119">
        <f>+SUMIF(' Xuất kho 출'!A:A,C215,' Xuất kho 출'!E:E)</f>
        <v>0</v>
      </c>
      <c r="M215" s="120"/>
      <c r="N215" s="130"/>
      <c r="O215" s="148"/>
      <c r="P215" s="149"/>
      <c r="Q215" s="131">
        <f t="shared" si="7"/>
        <v>3800</v>
      </c>
      <c r="R215" s="124">
        <f>45*50+30*50+50</f>
        <v>3800</v>
      </c>
      <c r="S215" s="124"/>
      <c r="T215" s="125">
        <f t="shared" si="6"/>
        <v>0</v>
      </c>
      <c r="U215" s="126"/>
      <c r="V215" s="132"/>
      <c r="W215" s="127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28"/>
      <c r="AH215" s="128"/>
      <c r="AI215" s="128"/>
      <c r="AJ215" s="128"/>
      <c r="AK215" s="128"/>
      <c r="AL215" s="128"/>
    </row>
    <row r="216" spans="1:85" s="90" customFormat="1" ht="25.5" customHeight="1">
      <c r="A216" s="95"/>
      <c r="B216" s="146" t="s">
        <v>533</v>
      </c>
      <c r="C216" s="136" t="s">
        <v>195</v>
      </c>
      <c r="D216" s="137" t="s">
        <v>196</v>
      </c>
      <c r="E216" s="114" t="s">
        <v>618</v>
      </c>
      <c r="F216" s="142" t="s">
        <v>537</v>
      </c>
      <c r="G216" s="136" t="s">
        <v>617</v>
      </c>
      <c r="H216" s="335" t="s">
        <v>552</v>
      </c>
      <c r="I216" s="147"/>
      <c r="J216" s="129">
        <v>200</v>
      </c>
      <c r="K216" s="118">
        <f>+SUMIF('Nhập kho  입'!A:A,C216,'Nhập kho  입'!E:E)</f>
        <v>0</v>
      </c>
      <c r="L216" s="119">
        <f>+SUMIF(' Xuất kho 출'!A:A,C216,' Xuất kho 출'!E:E)</f>
        <v>0</v>
      </c>
      <c r="M216" s="120"/>
      <c r="N216" s="130"/>
      <c r="O216" s="148"/>
      <c r="P216" s="149"/>
      <c r="Q216" s="131">
        <f t="shared" si="7"/>
        <v>200</v>
      </c>
      <c r="R216" s="124">
        <v>200</v>
      </c>
      <c r="S216" s="124"/>
      <c r="T216" s="125">
        <f t="shared" si="6"/>
        <v>0</v>
      </c>
      <c r="U216" s="126"/>
      <c r="V216" s="132"/>
      <c r="W216" s="127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28"/>
      <c r="AH216" s="128"/>
      <c r="AI216" s="128"/>
      <c r="AJ216" s="128"/>
      <c r="AK216" s="128"/>
      <c r="AL216" s="128"/>
    </row>
    <row r="217" spans="1:85" s="90" customFormat="1" ht="25.5" hidden="1" customHeight="1">
      <c r="A217" s="95"/>
      <c r="B217" s="146" t="s">
        <v>533</v>
      </c>
      <c r="C217" s="136" t="s">
        <v>197</v>
      </c>
      <c r="D217" s="137" t="s">
        <v>196</v>
      </c>
      <c r="E217" s="114"/>
      <c r="F217" s="142" t="s">
        <v>578</v>
      </c>
      <c r="G217" s="142" t="s">
        <v>617</v>
      </c>
      <c r="H217" s="335" t="s">
        <v>552</v>
      </c>
      <c r="I217" s="147"/>
      <c r="J217" s="129">
        <v>0</v>
      </c>
      <c r="K217" s="118">
        <f>+SUMIF('Nhập kho  입'!A:A,C217,'Nhập kho  입'!E:E)</f>
        <v>0</v>
      </c>
      <c r="L217" s="119">
        <f>+SUMIF(' Xuất kho 출'!A:A,C217,' Xuất kho 출'!E:E)</f>
        <v>0</v>
      </c>
      <c r="M217" s="120"/>
      <c r="N217" s="130"/>
      <c r="O217" s="148"/>
      <c r="P217" s="149"/>
      <c r="Q217" s="131">
        <f t="shared" si="7"/>
        <v>0</v>
      </c>
      <c r="R217" s="124"/>
      <c r="S217" s="124"/>
      <c r="T217" s="125">
        <f t="shared" si="6"/>
        <v>0</v>
      </c>
      <c r="U217" s="126"/>
      <c r="V217" s="132"/>
      <c r="W217" s="127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  <c r="AK217" s="128"/>
      <c r="AL217" s="128"/>
    </row>
    <row r="218" spans="1:85" s="90" customFormat="1" ht="25.5" customHeight="1">
      <c r="A218" s="95"/>
      <c r="B218" s="146" t="s">
        <v>533</v>
      </c>
      <c r="C218" s="136" t="s">
        <v>68</v>
      </c>
      <c r="D218" s="137" t="s">
        <v>69</v>
      </c>
      <c r="E218" s="114" t="s">
        <v>587</v>
      </c>
      <c r="F218" s="142" t="s">
        <v>548</v>
      </c>
      <c r="G218" s="142" t="s">
        <v>562</v>
      </c>
      <c r="H218" s="335" t="s">
        <v>552</v>
      </c>
      <c r="I218" s="147"/>
      <c r="J218" s="129">
        <v>250</v>
      </c>
      <c r="K218" s="118">
        <f>+SUMIF('Nhập kho  입'!A:A,C218,'Nhập kho  입'!E:E)</f>
        <v>0</v>
      </c>
      <c r="L218" s="119">
        <f>+SUMIF(' Xuất kho 출'!A:A,C218,' Xuất kho 출'!E:E)</f>
        <v>0</v>
      </c>
      <c r="M218" s="120"/>
      <c r="N218" s="130"/>
      <c r="O218" s="148"/>
      <c r="P218" s="149"/>
      <c r="Q218" s="131">
        <f t="shared" si="7"/>
        <v>250</v>
      </c>
      <c r="R218" s="124">
        <v>250</v>
      </c>
      <c r="S218" s="124"/>
      <c r="T218" s="125">
        <f t="shared" si="6"/>
        <v>0</v>
      </c>
      <c r="U218" s="126"/>
      <c r="V218" s="132"/>
      <c r="W218" s="127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28"/>
      <c r="AH218" s="128"/>
      <c r="AI218" s="128"/>
      <c r="AJ218" s="128"/>
      <c r="AK218" s="128"/>
      <c r="AL218" s="128"/>
    </row>
    <row r="219" spans="1:85" s="90" customFormat="1" ht="25.5" hidden="1" customHeight="1">
      <c r="A219" s="95"/>
      <c r="B219" s="146" t="s">
        <v>533</v>
      </c>
      <c r="C219" s="136" t="s">
        <v>70</v>
      </c>
      <c r="D219" s="137" t="s">
        <v>69</v>
      </c>
      <c r="E219" s="114" t="s">
        <v>579</v>
      </c>
      <c r="F219" s="142"/>
      <c r="G219" s="142" t="s">
        <v>562</v>
      </c>
      <c r="H219" s="335" t="s">
        <v>552</v>
      </c>
      <c r="I219" s="147"/>
      <c r="J219" s="129">
        <v>0</v>
      </c>
      <c r="K219" s="118">
        <f>+SUMIF('Nhập kho  입'!A:A,C219,'Nhập kho  입'!E:E)</f>
        <v>0</v>
      </c>
      <c r="L219" s="119">
        <f>+SUMIF(' Xuất kho 출'!A:A,C219,' Xuất kho 출'!E:E)</f>
        <v>0</v>
      </c>
      <c r="M219" s="120"/>
      <c r="N219" s="130"/>
      <c r="O219" s="148"/>
      <c r="P219" s="149"/>
      <c r="Q219" s="131">
        <f t="shared" si="7"/>
        <v>0</v>
      </c>
      <c r="R219" s="124"/>
      <c r="S219" s="124"/>
      <c r="T219" s="125">
        <f t="shared" si="6"/>
        <v>0</v>
      </c>
      <c r="U219" s="126"/>
      <c r="V219" s="132"/>
      <c r="W219" s="127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28"/>
      <c r="AH219" s="128"/>
      <c r="AI219" s="128"/>
      <c r="AJ219" s="128"/>
      <c r="AK219" s="128"/>
      <c r="AL219" s="128"/>
    </row>
    <row r="220" spans="1:85" s="90" customFormat="1" ht="25.5" customHeight="1">
      <c r="A220" s="95"/>
      <c r="B220" s="146" t="s">
        <v>533</v>
      </c>
      <c r="C220" s="136" t="s">
        <v>770</v>
      </c>
      <c r="D220" s="137" t="s">
        <v>250</v>
      </c>
      <c r="E220" s="114" t="s">
        <v>561</v>
      </c>
      <c r="F220" s="142">
        <v>125140</v>
      </c>
      <c r="G220" s="142" t="s">
        <v>562</v>
      </c>
      <c r="H220" s="335" t="s">
        <v>552</v>
      </c>
      <c r="I220" s="147"/>
      <c r="J220" s="129">
        <v>700</v>
      </c>
      <c r="K220" s="118">
        <f>+SUMIF('Nhập kho  입'!A:A,C220,'Nhập kho  입'!E:E)</f>
        <v>23450</v>
      </c>
      <c r="L220" s="119">
        <f>+SUMIF(' Xuất kho 출'!A:A,C220,' Xuất kho 출'!E:E)</f>
        <v>13000</v>
      </c>
      <c r="M220" s="120">
        <v>4000</v>
      </c>
      <c r="N220" s="130"/>
      <c r="O220" s="148"/>
      <c r="P220" s="149"/>
      <c r="Q220" s="131">
        <f t="shared" si="7"/>
        <v>11150</v>
      </c>
      <c r="R220" s="124">
        <f>14*50</f>
        <v>700</v>
      </c>
      <c r="S220" s="124"/>
      <c r="T220" s="125">
        <f t="shared" si="6"/>
        <v>-10450</v>
      </c>
      <c r="U220" s="126"/>
      <c r="V220" s="132"/>
      <c r="W220" s="127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28"/>
      <c r="AH220" s="128"/>
      <c r="AI220" s="128"/>
      <c r="AJ220" s="128"/>
      <c r="AK220" s="128"/>
      <c r="AL220" s="128"/>
    </row>
    <row r="221" spans="1:85" s="90" customFormat="1" ht="25.5" customHeight="1">
      <c r="A221" s="95"/>
      <c r="B221" s="146" t="s">
        <v>533</v>
      </c>
      <c r="C221" s="136" t="s">
        <v>401</v>
      </c>
      <c r="D221" s="137" t="s">
        <v>402</v>
      </c>
      <c r="E221" s="114" t="s">
        <v>576</v>
      </c>
      <c r="F221" s="142"/>
      <c r="G221" s="142" t="s">
        <v>562</v>
      </c>
      <c r="H221" s="335" t="s">
        <v>552</v>
      </c>
      <c r="I221" s="147"/>
      <c r="J221" s="129">
        <v>11500</v>
      </c>
      <c r="K221" s="118">
        <f>+SUMIF('Nhập kho  입'!A:A,C221,'Nhập kho  입'!E:E)</f>
        <v>0</v>
      </c>
      <c r="L221" s="119">
        <f>+SUMIF(' Xuất kho 출'!A:A,C221,' Xuất kho 출'!E:E)</f>
        <v>0</v>
      </c>
      <c r="M221" s="120"/>
      <c r="N221" s="130"/>
      <c r="O221" s="148"/>
      <c r="P221" s="149"/>
      <c r="Q221" s="131">
        <f t="shared" si="7"/>
        <v>11500</v>
      </c>
      <c r="R221" s="124">
        <f>72*50+15*50+3550+3600</f>
        <v>11500</v>
      </c>
      <c r="S221" s="124"/>
      <c r="T221" s="125">
        <f t="shared" si="6"/>
        <v>0</v>
      </c>
      <c r="U221" s="126"/>
      <c r="V221" s="132"/>
      <c r="W221" s="127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28"/>
      <c r="AH221" s="128"/>
      <c r="AI221" s="128"/>
      <c r="AJ221" s="128"/>
      <c r="AK221" s="128"/>
      <c r="AL221" s="128"/>
    </row>
    <row r="222" spans="1:85" s="90" customFormat="1" ht="25.5" customHeight="1">
      <c r="A222" s="95"/>
      <c r="B222" s="146" t="s">
        <v>533</v>
      </c>
      <c r="C222" s="136" t="s">
        <v>214</v>
      </c>
      <c r="D222" s="137" t="s">
        <v>215</v>
      </c>
      <c r="E222" s="114" t="s">
        <v>576</v>
      </c>
      <c r="F222" s="142">
        <v>125140</v>
      </c>
      <c r="G222" s="142" t="s">
        <v>562</v>
      </c>
      <c r="H222" s="335" t="s">
        <v>552</v>
      </c>
      <c r="I222" s="147"/>
      <c r="J222" s="129">
        <v>200</v>
      </c>
      <c r="K222" s="118">
        <f>+SUMIF('Nhập kho  입'!A:A,C222,'Nhập kho  입'!E:E)</f>
        <v>0</v>
      </c>
      <c r="L222" s="119">
        <f>+SUMIF(' Xuất kho 출'!A:A,C222,' Xuất kho 출'!E:E)</f>
        <v>0</v>
      </c>
      <c r="M222" s="120"/>
      <c r="N222" s="130"/>
      <c r="O222" s="148"/>
      <c r="P222" s="149"/>
      <c r="Q222" s="131">
        <f t="shared" si="7"/>
        <v>200</v>
      </c>
      <c r="R222" s="124">
        <f>100+100</f>
        <v>200</v>
      </c>
      <c r="S222" s="124"/>
      <c r="T222" s="125">
        <f t="shared" si="6"/>
        <v>0</v>
      </c>
      <c r="U222" s="126"/>
      <c r="V222" s="132"/>
      <c r="W222" s="127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28"/>
      <c r="AI222" s="128"/>
      <c r="AJ222" s="128"/>
      <c r="AK222" s="128"/>
      <c r="AL222" s="128"/>
    </row>
    <row r="223" spans="1:85" s="90" customFormat="1" ht="25.5" customHeight="1">
      <c r="A223" s="95"/>
      <c r="B223" s="146" t="s">
        <v>533</v>
      </c>
      <c r="C223" s="136" t="s">
        <v>469</v>
      </c>
      <c r="D223" s="137" t="s">
        <v>470</v>
      </c>
      <c r="E223" s="114" t="s">
        <v>627</v>
      </c>
      <c r="F223" s="142"/>
      <c r="G223" s="142" t="s">
        <v>562</v>
      </c>
      <c r="H223" s="335" t="s">
        <v>552</v>
      </c>
      <c r="I223" s="147"/>
      <c r="J223" s="129">
        <v>150</v>
      </c>
      <c r="K223" s="118">
        <f>+SUMIF('Nhập kho  입'!A:A,C223,'Nhập kho  입'!E:E)</f>
        <v>0</v>
      </c>
      <c r="L223" s="119">
        <f>+SUMIF(' Xuất kho 출'!A:A,C223,' Xuất kho 출'!E:E)</f>
        <v>0</v>
      </c>
      <c r="M223" s="120"/>
      <c r="N223" s="130"/>
      <c r="O223" s="148"/>
      <c r="P223" s="149"/>
      <c r="Q223" s="131">
        <f t="shared" si="7"/>
        <v>150</v>
      </c>
      <c r="R223" s="124">
        <v>150</v>
      </c>
      <c r="S223" s="124"/>
      <c r="T223" s="125">
        <f t="shared" si="6"/>
        <v>0</v>
      </c>
      <c r="U223" s="126"/>
      <c r="V223" s="132"/>
      <c r="W223" s="127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28"/>
      <c r="AH223" s="128"/>
      <c r="AI223" s="128"/>
      <c r="AJ223" s="128"/>
      <c r="AK223" s="128"/>
      <c r="AL223" s="128"/>
    </row>
    <row r="224" spans="1:85" s="90" customFormat="1" ht="25.5" customHeight="1">
      <c r="A224" s="95"/>
      <c r="B224" s="146" t="s">
        <v>533</v>
      </c>
      <c r="C224" s="136" t="s">
        <v>224</v>
      </c>
      <c r="D224" s="137" t="s">
        <v>225</v>
      </c>
      <c r="E224" s="114" t="s">
        <v>628</v>
      </c>
      <c r="F224" s="142" t="s">
        <v>537</v>
      </c>
      <c r="G224" s="142" t="s">
        <v>562</v>
      </c>
      <c r="H224" s="335" t="s">
        <v>552</v>
      </c>
      <c r="I224" s="147"/>
      <c r="J224" s="129">
        <v>250</v>
      </c>
      <c r="K224" s="118">
        <f>+SUMIF('Nhập kho  입'!A:A,C224,'Nhập kho  입'!E:E)</f>
        <v>0</v>
      </c>
      <c r="L224" s="119">
        <f>+SUMIF(' Xuất kho 출'!A:A,C224,' Xuất kho 출'!E:E)</f>
        <v>0</v>
      </c>
      <c r="M224" s="120"/>
      <c r="N224" s="130"/>
      <c r="O224" s="148"/>
      <c r="P224" s="149"/>
      <c r="Q224" s="131">
        <f t="shared" si="7"/>
        <v>250</v>
      </c>
      <c r="R224" s="124">
        <v>250</v>
      </c>
      <c r="S224" s="124"/>
      <c r="T224" s="125">
        <f t="shared" si="6"/>
        <v>0</v>
      </c>
      <c r="U224" s="126"/>
      <c r="V224" s="132"/>
      <c r="W224" s="127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28"/>
      <c r="AH224" s="128"/>
      <c r="AI224" s="128"/>
      <c r="AJ224" s="128"/>
      <c r="AK224" s="128"/>
      <c r="AL224" s="128"/>
    </row>
    <row r="225" spans="1:38" s="90" customFormat="1" ht="25.5" hidden="1" customHeight="1">
      <c r="A225" s="95"/>
      <c r="B225" s="146" t="s">
        <v>533</v>
      </c>
      <c r="C225" s="136" t="s">
        <v>193</v>
      </c>
      <c r="D225" s="137" t="s">
        <v>194</v>
      </c>
      <c r="E225" s="114"/>
      <c r="F225" s="142" t="s">
        <v>537</v>
      </c>
      <c r="G225" s="142" t="s">
        <v>617</v>
      </c>
      <c r="H225" s="335" t="s">
        <v>552</v>
      </c>
      <c r="I225" s="147"/>
      <c r="J225" s="129">
        <v>0</v>
      </c>
      <c r="K225" s="118">
        <f>+SUMIF('Nhập kho  입'!A:A,C225,'Nhập kho  입'!E:E)</f>
        <v>0</v>
      </c>
      <c r="L225" s="119">
        <f>+SUMIF(' Xuất kho 출'!A:A,C225,' Xuất kho 출'!E:E)</f>
        <v>0</v>
      </c>
      <c r="M225" s="120"/>
      <c r="N225" s="130"/>
      <c r="O225" s="148"/>
      <c r="P225" s="149"/>
      <c r="Q225" s="131">
        <f t="shared" si="7"/>
        <v>0</v>
      </c>
      <c r="R225" s="124">
        <v>2100</v>
      </c>
      <c r="S225" s="134"/>
      <c r="T225" s="125">
        <f t="shared" si="6"/>
        <v>2100</v>
      </c>
      <c r="U225" s="126"/>
      <c r="V225" s="132"/>
      <c r="W225" s="127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28"/>
      <c r="AH225" s="128"/>
      <c r="AI225" s="128"/>
      <c r="AJ225" s="128"/>
      <c r="AK225" s="128"/>
      <c r="AL225" s="128"/>
    </row>
    <row r="226" spans="1:38" s="90" customFormat="1" ht="25.5" customHeight="1">
      <c r="A226" s="95"/>
      <c r="B226" s="146" t="s">
        <v>533</v>
      </c>
      <c r="C226" s="136" t="s">
        <v>314</v>
      </c>
      <c r="D226" s="137" t="s">
        <v>315</v>
      </c>
      <c r="E226" s="114" t="s">
        <v>620</v>
      </c>
      <c r="F226" s="142">
        <v>125150</v>
      </c>
      <c r="G226" s="139" t="s">
        <v>541</v>
      </c>
      <c r="H226" s="335" t="s">
        <v>552</v>
      </c>
      <c r="I226" s="147"/>
      <c r="J226" s="129">
        <v>250</v>
      </c>
      <c r="K226" s="118">
        <f>+SUMIF('Nhập kho  입'!A:A,C226,'Nhập kho  입'!E:E)</f>
        <v>0</v>
      </c>
      <c r="L226" s="119">
        <f>+SUMIF(' Xuất kho 출'!A:A,C226,' Xuất kho 출'!E:E)</f>
        <v>0</v>
      </c>
      <c r="M226" s="120"/>
      <c r="N226" s="130"/>
      <c r="O226" s="148"/>
      <c r="P226" s="149"/>
      <c r="Q226" s="131">
        <f t="shared" si="7"/>
        <v>250</v>
      </c>
      <c r="R226" s="124">
        <v>250</v>
      </c>
      <c r="S226" s="134"/>
      <c r="T226" s="125">
        <f t="shared" si="6"/>
        <v>0</v>
      </c>
      <c r="U226" s="126"/>
      <c r="V226" s="132"/>
      <c r="W226" s="127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28"/>
      <c r="AH226" s="128"/>
      <c r="AI226" s="128"/>
      <c r="AJ226" s="128"/>
      <c r="AK226" s="128"/>
      <c r="AL226" s="128"/>
    </row>
    <row r="227" spans="1:38" s="90" customFormat="1" ht="25.5" customHeight="1">
      <c r="A227" s="95"/>
      <c r="B227" s="146" t="s">
        <v>533</v>
      </c>
      <c r="C227" s="136" t="s">
        <v>1033</v>
      </c>
      <c r="D227" s="137" t="s">
        <v>306</v>
      </c>
      <c r="E227" s="114" t="s">
        <v>579</v>
      </c>
      <c r="F227" s="142">
        <v>125150</v>
      </c>
      <c r="G227" s="142" t="s">
        <v>541</v>
      </c>
      <c r="H227" s="335" t="s">
        <v>546</v>
      </c>
      <c r="I227" s="147"/>
      <c r="J227" s="129">
        <v>700</v>
      </c>
      <c r="K227" s="118">
        <f>+SUMIF('Nhập kho  입'!A:A,C227,'Nhập kho  입'!E:E)</f>
        <v>14950</v>
      </c>
      <c r="L227" s="119">
        <f>+SUMIF(' Xuất kho 출'!A:A,C227,' Xuất kho 출'!E:E)</f>
        <v>14400</v>
      </c>
      <c r="M227" s="120"/>
      <c r="N227" s="130"/>
      <c r="O227" s="148"/>
      <c r="P227" s="149"/>
      <c r="Q227" s="131">
        <f t="shared" si="7"/>
        <v>1250</v>
      </c>
      <c r="R227" s="124">
        <f>13*50+50</f>
        <v>700</v>
      </c>
      <c r="S227" s="124"/>
      <c r="T227" s="125">
        <f t="shared" si="6"/>
        <v>-550</v>
      </c>
      <c r="U227" s="126"/>
      <c r="V227" s="132"/>
      <c r="W227" s="127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28"/>
      <c r="AH227" s="128"/>
      <c r="AI227" s="128"/>
      <c r="AJ227" s="128"/>
      <c r="AK227" s="128"/>
      <c r="AL227" s="128"/>
    </row>
    <row r="228" spans="1:38" s="90" customFormat="1" ht="25.5" hidden="1" customHeight="1">
      <c r="A228" s="95"/>
      <c r="B228" s="146" t="s">
        <v>533</v>
      </c>
      <c r="C228" s="136" t="s">
        <v>483</v>
      </c>
      <c r="D228" s="137" t="s">
        <v>484</v>
      </c>
      <c r="E228" s="114" t="s">
        <v>629</v>
      </c>
      <c r="F228" s="142"/>
      <c r="G228" s="142" t="s">
        <v>630</v>
      </c>
      <c r="H228" s="335" t="s">
        <v>552</v>
      </c>
      <c r="I228" s="147"/>
      <c r="J228" s="129">
        <v>0</v>
      </c>
      <c r="K228" s="118">
        <f>+SUMIF('Nhập kho  입'!A:A,C228,'Nhập kho  입'!E:E)</f>
        <v>0</v>
      </c>
      <c r="L228" s="119">
        <f>+SUMIF(' Xuất kho 출'!A:A,C228,' Xuất kho 출'!E:E)</f>
        <v>0</v>
      </c>
      <c r="M228" s="120"/>
      <c r="N228" s="130"/>
      <c r="O228" s="148"/>
      <c r="P228" s="149"/>
      <c r="Q228" s="131">
        <f t="shared" si="7"/>
        <v>0</v>
      </c>
      <c r="R228" s="124"/>
      <c r="S228" s="134"/>
      <c r="T228" s="125">
        <f t="shared" si="6"/>
        <v>0</v>
      </c>
      <c r="U228" s="126"/>
      <c r="V228" s="132"/>
      <c r="W228" s="127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28"/>
      <c r="AI228" s="128"/>
      <c r="AJ228" s="128"/>
      <c r="AK228" s="128"/>
      <c r="AL228" s="128"/>
    </row>
    <row r="229" spans="1:38" s="90" customFormat="1" ht="25.5" customHeight="1">
      <c r="A229" s="95"/>
      <c r="B229" s="146" t="s">
        <v>533</v>
      </c>
      <c r="C229" s="136" t="s">
        <v>447</v>
      </c>
      <c r="D229" s="137" t="s">
        <v>448</v>
      </c>
      <c r="E229" s="114"/>
      <c r="F229" s="142"/>
      <c r="G229" s="142" t="s">
        <v>562</v>
      </c>
      <c r="H229" s="335" t="s">
        <v>552</v>
      </c>
      <c r="I229" s="147"/>
      <c r="J229" s="129">
        <v>600</v>
      </c>
      <c r="K229" s="118">
        <f>+SUMIF('Nhập kho  입'!A:A,C229,'Nhập kho  입'!E:E)</f>
        <v>0</v>
      </c>
      <c r="L229" s="119">
        <f>+SUMIF(' Xuất kho 출'!A:A,C229,' Xuất kho 출'!E:E)</f>
        <v>0</v>
      </c>
      <c r="M229" s="120"/>
      <c r="N229" s="130"/>
      <c r="O229" s="148"/>
      <c r="P229" s="149"/>
      <c r="Q229" s="131">
        <f t="shared" si="7"/>
        <v>600</v>
      </c>
      <c r="R229" s="124">
        <v>600</v>
      </c>
      <c r="S229" s="134"/>
      <c r="T229" s="125">
        <f t="shared" si="6"/>
        <v>0</v>
      </c>
      <c r="U229" s="126"/>
      <c r="V229" s="132"/>
      <c r="W229" s="127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</row>
    <row r="230" spans="1:38" s="90" customFormat="1" ht="25.5" customHeight="1">
      <c r="A230" s="95"/>
      <c r="B230" s="146" t="s">
        <v>533</v>
      </c>
      <c r="C230" s="136" t="s">
        <v>395</v>
      </c>
      <c r="D230" s="137" t="s">
        <v>396</v>
      </c>
      <c r="E230" s="114" t="s">
        <v>571</v>
      </c>
      <c r="F230" s="142"/>
      <c r="G230" s="142" t="s">
        <v>562</v>
      </c>
      <c r="H230" s="335" t="s">
        <v>552</v>
      </c>
      <c r="I230" s="147"/>
      <c r="J230" s="129">
        <v>700</v>
      </c>
      <c r="K230" s="118">
        <f>+SUMIF('Nhập kho  입'!A:A,C230,'Nhập kho  입'!E:E)</f>
        <v>0</v>
      </c>
      <c r="L230" s="119">
        <f>+SUMIF(' Xuất kho 출'!A:A,C230,' Xuất kho 출'!E:E)</f>
        <v>0</v>
      </c>
      <c r="M230" s="120"/>
      <c r="N230" s="130"/>
      <c r="O230" s="148"/>
      <c r="P230" s="149"/>
      <c r="Q230" s="131">
        <f t="shared" si="7"/>
        <v>700</v>
      </c>
      <c r="R230" s="124">
        <f>14*50</f>
        <v>700</v>
      </c>
      <c r="S230" s="124"/>
      <c r="T230" s="125">
        <f t="shared" si="6"/>
        <v>0</v>
      </c>
      <c r="U230" s="126"/>
      <c r="V230" s="132"/>
      <c r="W230" s="127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</row>
    <row r="231" spans="1:38" s="90" customFormat="1" ht="25.5" customHeight="1">
      <c r="A231" s="95"/>
      <c r="B231" s="146" t="s">
        <v>533</v>
      </c>
      <c r="C231" s="136" t="s">
        <v>460</v>
      </c>
      <c r="D231" s="137" t="s">
        <v>461</v>
      </c>
      <c r="E231" s="114" t="s">
        <v>631</v>
      </c>
      <c r="F231" s="142"/>
      <c r="G231" s="142" t="s">
        <v>617</v>
      </c>
      <c r="H231" s="335" t="s">
        <v>552</v>
      </c>
      <c r="I231" s="147"/>
      <c r="J231" s="129">
        <v>12000</v>
      </c>
      <c r="K231" s="118">
        <f>+SUMIF('Nhập kho  입'!A:A,C231,'Nhập kho  입'!E:E)</f>
        <v>0</v>
      </c>
      <c r="L231" s="119">
        <f>+SUMIF(' Xuất kho 출'!A:A,C231,' Xuất kho 출'!E:E)</f>
        <v>0</v>
      </c>
      <c r="M231" s="120"/>
      <c r="N231" s="130"/>
      <c r="O231" s="148"/>
      <c r="P231" s="149"/>
      <c r="Q231" s="131">
        <f t="shared" si="7"/>
        <v>12000</v>
      </c>
      <c r="R231" s="124">
        <f>100+300+800+3600+3600+3600</f>
        <v>12000</v>
      </c>
      <c r="S231" s="124"/>
      <c r="T231" s="125">
        <f t="shared" si="6"/>
        <v>0</v>
      </c>
      <c r="U231" s="126"/>
      <c r="V231" s="132"/>
      <c r="W231" s="127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</row>
    <row r="232" spans="1:38" s="90" customFormat="1" ht="25.5" customHeight="1">
      <c r="A232" s="95"/>
      <c r="B232" s="146" t="s">
        <v>533</v>
      </c>
      <c r="C232" s="136" t="s">
        <v>179</v>
      </c>
      <c r="D232" s="137" t="s">
        <v>180</v>
      </c>
      <c r="E232" s="114" t="s">
        <v>632</v>
      </c>
      <c r="F232" s="142" t="s">
        <v>537</v>
      </c>
      <c r="G232" s="142" t="s">
        <v>534</v>
      </c>
      <c r="H232" s="335" t="s">
        <v>546</v>
      </c>
      <c r="I232" s="147"/>
      <c r="J232" s="129">
        <v>450</v>
      </c>
      <c r="K232" s="118">
        <f>+SUMIF('Nhập kho  입'!A:A,C232,'Nhập kho  입'!E:E)</f>
        <v>0</v>
      </c>
      <c r="L232" s="119">
        <f>+SUMIF(' Xuất kho 출'!A:A,C232,' Xuất kho 출'!E:E)</f>
        <v>0</v>
      </c>
      <c r="M232" s="120"/>
      <c r="N232" s="130"/>
      <c r="O232" s="148"/>
      <c r="P232" s="149"/>
      <c r="Q232" s="131">
        <f t="shared" si="7"/>
        <v>450</v>
      </c>
      <c r="R232" s="124">
        <f>250+200</f>
        <v>450</v>
      </c>
      <c r="S232" s="124"/>
      <c r="T232" s="125">
        <f t="shared" si="6"/>
        <v>0</v>
      </c>
      <c r="U232" s="126"/>
      <c r="V232" s="132"/>
      <c r="W232" s="127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</row>
    <row r="233" spans="1:38" s="90" customFormat="1" ht="25.5" customHeight="1">
      <c r="A233" s="95"/>
      <c r="B233" s="146" t="s">
        <v>533</v>
      </c>
      <c r="C233" s="136" t="s">
        <v>1115</v>
      </c>
      <c r="D233" s="137" t="s">
        <v>482</v>
      </c>
      <c r="E233" s="114" t="s">
        <v>629</v>
      </c>
      <c r="F233" s="142"/>
      <c r="G233" s="142" t="s">
        <v>630</v>
      </c>
      <c r="H233" s="335" t="s">
        <v>552</v>
      </c>
      <c r="I233" s="147"/>
      <c r="J233" s="129">
        <v>8200</v>
      </c>
      <c r="K233" s="118">
        <f>+SUMIF('Nhập kho  입'!A:A,C233,'Nhập kho  입'!E:E)</f>
        <v>47100</v>
      </c>
      <c r="L233" s="119">
        <f>+SUMIF(' Xuất kho 출'!A:A,C233,' Xuất kho 출'!E:E)</f>
        <v>50400</v>
      </c>
      <c r="M233" s="120"/>
      <c r="N233" s="130"/>
      <c r="O233" s="148"/>
      <c r="P233" s="149"/>
      <c r="Q233" s="131">
        <f t="shared" si="7"/>
        <v>4900</v>
      </c>
      <c r="R233" s="124">
        <f>300+3500+3600+800</f>
        <v>8200</v>
      </c>
      <c r="S233" s="124"/>
      <c r="T233" s="125">
        <f t="shared" si="6"/>
        <v>3300</v>
      </c>
      <c r="U233" s="126"/>
      <c r="V233" s="132"/>
      <c r="W233" s="127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</row>
    <row r="234" spans="1:38" s="90" customFormat="1" ht="25.5" customHeight="1">
      <c r="A234" s="95"/>
      <c r="B234" s="146" t="s">
        <v>533</v>
      </c>
      <c r="C234" s="136" t="s">
        <v>828</v>
      </c>
      <c r="D234" s="137" t="s">
        <v>375</v>
      </c>
      <c r="E234" s="114" t="s">
        <v>618</v>
      </c>
      <c r="F234" s="142"/>
      <c r="G234" s="142" t="s">
        <v>617</v>
      </c>
      <c r="H234" s="335" t="s">
        <v>552</v>
      </c>
      <c r="I234" s="147"/>
      <c r="J234" s="129">
        <v>23700</v>
      </c>
      <c r="K234" s="118">
        <f>+SUMIF('Nhập kho  입'!A:A,C234,'Nhập kho  입'!E:E)</f>
        <v>0</v>
      </c>
      <c r="L234" s="119">
        <f>+SUMIF(' Xuất kho 출'!A:A,C234,' Xuất kho 출'!E:E)</f>
        <v>0</v>
      </c>
      <c r="M234" s="120"/>
      <c r="N234" s="130"/>
      <c r="O234" s="148"/>
      <c r="P234" s="149"/>
      <c r="Q234" s="131">
        <f t="shared" si="7"/>
        <v>23700</v>
      </c>
      <c r="R234" s="124">
        <f>900+3600+1800+3600+3600+1200+1800+3600+3600</f>
        <v>23700</v>
      </c>
      <c r="S234" s="124"/>
      <c r="T234" s="125">
        <f t="shared" si="6"/>
        <v>0</v>
      </c>
      <c r="U234" s="126"/>
      <c r="V234" s="132"/>
      <c r="W234" s="127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</row>
    <row r="235" spans="1:38" s="90" customFormat="1" ht="25.5" customHeight="1">
      <c r="A235" s="95"/>
      <c r="B235" s="146" t="s">
        <v>533</v>
      </c>
      <c r="C235" s="136" t="s">
        <v>255</v>
      </c>
      <c r="D235" s="137" t="s">
        <v>256</v>
      </c>
      <c r="E235" s="114" t="s">
        <v>633</v>
      </c>
      <c r="F235" s="142" t="s">
        <v>537</v>
      </c>
      <c r="G235" s="136" t="s">
        <v>562</v>
      </c>
      <c r="H235" s="335" t="s">
        <v>552</v>
      </c>
      <c r="I235" s="147"/>
      <c r="J235" s="129">
        <v>300</v>
      </c>
      <c r="K235" s="118">
        <f>+SUMIF('Nhập kho  입'!A:A,C235,'Nhập kho  입'!E:E)</f>
        <v>0</v>
      </c>
      <c r="L235" s="119">
        <f>+SUMIF(' Xuất kho 출'!A:A,C235,' Xuất kho 출'!E:E)</f>
        <v>0</v>
      </c>
      <c r="M235" s="120"/>
      <c r="N235" s="130"/>
      <c r="O235" s="148"/>
      <c r="P235" s="149"/>
      <c r="Q235" s="131">
        <f t="shared" si="7"/>
        <v>300</v>
      </c>
      <c r="R235" s="124">
        <v>250</v>
      </c>
      <c r="S235" s="134"/>
      <c r="T235" s="125">
        <f t="shared" si="6"/>
        <v>-50</v>
      </c>
      <c r="U235" s="126"/>
      <c r="V235" s="132"/>
      <c r="W235" s="127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</row>
    <row r="236" spans="1:38" s="90" customFormat="1" ht="25.5" hidden="1" customHeight="1">
      <c r="A236" s="95"/>
      <c r="B236" s="146" t="s">
        <v>533</v>
      </c>
      <c r="C236" s="136" t="s">
        <v>362</v>
      </c>
      <c r="D236" s="137" t="s">
        <v>256</v>
      </c>
      <c r="E236" s="114"/>
      <c r="F236" s="142"/>
      <c r="G236" s="136"/>
      <c r="H236" s="335" t="s">
        <v>552</v>
      </c>
      <c r="I236" s="147"/>
      <c r="J236" s="129">
        <v>0</v>
      </c>
      <c r="K236" s="118">
        <f>+SUMIF('Nhập kho  입'!A:A,C236,'Nhập kho  입'!E:E)</f>
        <v>0</v>
      </c>
      <c r="L236" s="119">
        <f>+SUMIF(' Xuất kho 출'!A:A,C236,' Xuất kho 출'!E:E)</f>
        <v>0</v>
      </c>
      <c r="M236" s="120"/>
      <c r="N236" s="130"/>
      <c r="O236" s="148"/>
      <c r="P236" s="149"/>
      <c r="Q236" s="131">
        <f t="shared" si="7"/>
        <v>0</v>
      </c>
      <c r="R236" s="124"/>
      <c r="S236" s="134"/>
      <c r="T236" s="125"/>
      <c r="U236" s="126"/>
      <c r="V236" s="132"/>
      <c r="W236" s="127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</row>
    <row r="237" spans="1:38" s="90" customFormat="1" ht="25.5" customHeight="1">
      <c r="A237" s="95"/>
      <c r="B237" s="146" t="s">
        <v>533</v>
      </c>
      <c r="C237" s="136" t="s">
        <v>385</v>
      </c>
      <c r="D237" s="137" t="s">
        <v>386</v>
      </c>
      <c r="E237" s="114"/>
      <c r="F237" s="142"/>
      <c r="G237" s="142" t="s">
        <v>562</v>
      </c>
      <c r="H237" s="335" t="s">
        <v>552</v>
      </c>
      <c r="I237" s="147"/>
      <c r="J237" s="129">
        <v>1750</v>
      </c>
      <c r="K237" s="118">
        <f>+SUMIF('Nhập kho  입'!A:A,C237,'Nhập kho  입'!E:E)</f>
        <v>0</v>
      </c>
      <c r="L237" s="119">
        <f>+SUMIF(' Xuất kho 출'!A:A,C237,' Xuất kho 출'!E:E)</f>
        <v>0</v>
      </c>
      <c r="M237" s="120"/>
      <c r="N237" s="130"/>
      <c r="O237" s="148"/>
      <c r="P237" s="149"/>
      <c r="Q237" s="131">
        <f t="shared" si="7"/>
        <v>1750</v>
      </c>
      <c r="R237" s="124">
        <f>350+28*50</f>
        <v>1750</v>
      </c>
      <c r="S237" s="124"/>
      <c r="T237" s="125">
        <f t="shared" si="6"/>
        <v>0</v>
      </c>
      <c r="U237" s="126"/>
      <c r="V237" s="132"/>
      <c r="W237" s="127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</row>
    <row r="238" spans="1:38" s="90" customFormat="1" ht="25.5" customHeight="1">
      <c r="A238" s="95"/>
      <c r="B238" s="146" t="s">
        <v>533</v>
      </c>
      <c r="C238" s="136" t="s">
        <v>1236</v>
      </c>
      <c r="D238" s="137" t="s">
        <v>333</v>
      </c>
      <c r="E238" s="114" t="s">
        <v>595</v>
      </c>
      <c r="F238" s="142">
        <v>125150</v>
      </c>
      <c r="G238" s="142" t="s">
        <v>541</v>
      </c>
      <c r="H238" s="335" t="s">
        <v>552</v>
      </c>
      <c r="I238" s="147"/>
      <c r="J238" s="129">
        <v>1900</v>
      </c>
      <c r="K238" s="118">
        <f>+SUMIF('Nhập kho  입'!A:A,C238,'Nhập kho  입'!E:E)</f>
        <v>7750</v>
      </c>
      <c r="L238" s="119">
        <f>+SUMIF(' Xuất kho 출'!A:A,C238,' Xuất kho 출'!E:E)</f>
        <v>6000</v>
      </c>
      <c r="M238" s="120"/>
      <c r="N238" s="130"/>
      <c r="O238" s="148"/>
      <c r="P238" s="149"/>
      <c r="Q238" s="131">
        <f t="shared" si="7"/>
        <v>3650</v>
      </c>
      <c r="R238" s="124">
        <f>13*50+25*50</f>
        <v>1900</v>
      </c>
      <c r="S238" s="124"/>
      <c r="T238" s="125">
        <f t="shared" si="6"/>
        <v>-1750</v>
      </c>
      <c r="U238" s="126"/>
      <c r="V238" s="132"/>
      <c r="W238" s="127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</row>
    <row r="239" spans="1:38" s="90" customFormat="1" ht="25.5" customHeight="1">
      <c r="A239" s="95"/>
      <c r="B239" s="146" t="s">
        <v>533</v>
      </c>
      <c r="C239" s="136" t="s">
        <v>1244</v>
      </c>
      <c r="D239" s="137" t="s">
        <v>818</v>
      </c>
      <c r="E239" s="114" t="s">
        <v>591</v>
      </c>
      <c r="F239" s="142">
        <v>125150</v>
      </c>
      <c r="G239" s="142" t="s">
        <v>541</v>
      </c>
      <c r="H239" s="335" t="s">
        <v>552</v>
      </c>
      <c r="I239" s="147"/>
      <c r="J239" s="129">
        <v>2250</v>
      </c>
      <c r="K239" s="118">
        <f>+SUMIF('Nhập kho  입'!A:A,C239,'Nhập kho  입'!E:E)</f>
        <v>0</v>
      </c>
      <c r="L239" s="119">
        <f>+SUMIF(' Xuất kho 출'!A:A,C239,' Xuất kho 출'!E:E)</f>
        <v>1000</v>
      </c>
      <c r="M239" s="120"/>
      <c r="N239" s="130"/>
      <c r="O239" s="148"/>
      <c r="P239" s="149"/>
      <c r="Q239" s="131">
        <f t="shared" si="7"/>
        <v>1250</v>
      </c>
      <c r="R239" s="124">
        <f>43*50+100</f>
        <v>2250</v>
      </c>
      <c r="S239" s="124"/>
      <c r="T239" s="125">
        <f t="shared" si="6"/>
        <v>1000</v>
      </c>
      <c r="U239" s="126"/>
      <c r="V239" s="132"/>
      <c r="W239" s="127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</row>
    <row r="240" spans="1:38" s="90" customFormat="1" ht="25.5" customHeight="1">
      <c r="A240" s="95"/>
      <c r="B240" s="146" t="s">
        <v>533</v>
      </c>
      <c r="C240" s="136" t="s">
        <v>914</v>
      </c>
      <c r="D240" s="137" t="s">
        <v>915</v>
      </c>
      <c r="E240" s="114" t="s">
        <v>591</v>
      </c>
      <c r="F240" s="142"/>
      <c r="G240" s="142" t="s">
        <v>562</v>
      </c>
      <c r="H240" s="335" t="s">
        <v>552</v>
      </c>
      <c r="I240" s="147"/>
      <c r="J240" s="129">
        <v>600</v>
      </c>
      <c r="K240" s="118">
        <f>+SUMIF('Nhập kho  입'!A:A,C240,'Nhập kho  입'!E:E)</f>
        <v>0</v>
      </c>
      <c r="L240" s="119">
        <f>+SUMIF(' Xuất kho 출'!A:A,C240,' Xuất kho 출'!E:E)</f>
        <v>500</v>
      </c>
      <c r="M240" s="120"/>
      <c r="N240" s="130"/>
      <c r="O240" s="148"/>
      <c r="P240" s="149"/>
      <c r="Q240" s="131">
        <f t="shared" si="7"/>
        <v>100</v>
      </c>
      <c r="R240" s="124">
        <f>12*50</f>
        <v>600</v>
      </c>
      <c r="S240" s="124"/>
      <c r="T240" s="125">
        <f t="shared" si="6"/>
        <v>500</v>
      </c>
      <c r="U240" s="126"/>
      <c r="V240" s="132"/>
      <c r="W240" s="127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</row>
    <row r="241" spans="1:38" s="90" customFormat="1" ht="25.5" customHeight="1">
      <c r="A241" s="95"/>
      <c r="B241" s="146" t="s">
        <v>533</v>
      </c>
      <c r="C241" s="136" t="s">
        <v>944</v>
      </c>
      <c r="D241" s="137" t="s">
        <v>76</v>
      </c>
      <c r="E241" s="114" t="s">
        <v>622</v>
      </c>
      <c r="F241" s="142" t="s">
        <v>540</v>
      </c>
      <c r="G241" s="142" t="s">
        <v>534</v>
      </c>
      <c r="H241" s="335" t="s">
        <v>552</v>
      </c>
      <c r="I241" s="147"/>
      <c r="J241" s="129">
        <v>4350</v>
      </c>
      <c r="K241" s="118">
        <f>+SUMIF('Nhập kho  입'!A:A,C241,'Nhập kho  입'!E:E)</f>
        <v>21600</v>
      </c>
      <c r="L241" s="119">
        <f>+SUMIF(' Xuất kho 출'!A:A,C241,' Xuất kho 출'!E:E)</f>
        <v>18000</v>
      </c>
      <c r="M241" s="120"/>
      <c r="N241" s="130"/>
      <c r="O241" s="148"/>
      <c r="P241" s="149"/>
      <c r="Q241" s="131">
        <f t="shared" si="7"/>
        <v>7950</v>
      </c>
      <c r="R241" s="124">
        <f>15*50+3600</f>
        <v>4350</v>
      </c>
      <c r="S241" s="124"/>
      <c r="T241" s="125">
        <f t="shared" si="6"/>
        <v>-3600</v>
      </c>
      <c r="U241" s="126"/>
      <c r="V241" s="132"/>
      <c r="W241" s="127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</row>
    <row r="242" spans="1:38" s="90" customFormat="1" ht="25.5" customHeight="1">
      <c r="A242" s="95"/>
      <c r="B242" s="146" t="s">
        <v>533</v>
      </c>
      <c r="C242" s="136" t="s">
        <v>16</v>
      </c>
      <c r="D242" s="137" t="s">
        <v>17</v>
      </c>
      <c r="E242" s="114" t="s">
        <v>591</v>
      </c>
      <c r="F242" s="142">
        <v>125150</v>
      </c>
      <c r="G242" s="142" t="s">
        <v>562</v>
      </c>
      <c r="H242" s="335" t="s">
        <v>546</v>
      </c>
      <c r="I242" s="337" t="s">
        <v>541</v>
      </c>
      <c r="J242" s="129">
        <v>850</v>
      </c>
      <c r="K242" s="118">
        <f>+SUMIF('Nhập kho  입'!A:A,C242,'Nhập kho  입'!E:E)</f>
        <v>0</v>
      </c>
      <c r="L242" s="119">
        <f>+SUMIF(' Xuất kho 출'!A:A,C242,' Xuất kho 출'!E:E)</f>
        <v>0</v>
      </c>
      <c r="M242" s="120"/>
      <c r="N242" s="130"/>
      <c r="O242" s="148"/>
      <c r="P242" s="149"/>
      <c r="Q242" s="131">
        <f t="shared" si="7"/>
        <v>850</v>
      </c>
      <c r="R242" s="124">
        <f>17*50</f>
        <v>850</v>
      </c>
      <c r="S242" s="124"/>
      <c r="T242" s="125">
        <f t="shared" si="6"/>
        <v>0</v>
      </c>
      <c r="U242" s="126"/>
      <c r="V242" s="132"/>
      <c r="W242" s="127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</row>
    <row r="243" spans="1:38" s="90" customFormat="1" ht="25.5" customHeight="1">
      <c r="A243" s="95"/>
      <c r="B243" s="146" t="s">
        <v>533</v>
      </c>
      <c r="C243" s="136" t="s">
        <v>1061</v>
      </c>
      <c r="D243" s="137" t="s">
        <v>388</v>
      </c>
      <c r="E243" s="114" t="s">
        <v>591</v>
      </c>
      <c r="F243" s="142" t="s">
        <v>578</v>
      </c>
      <c r="G243" s="142" t="s">
        <v>562</v>
      </c>
      <c r="H243" s="335" t="s">
        <v>552</v>
      </c>
      <c r="I243" s="147"/>
      <c r="J243" s="129">
        <v>1750</v>
      </c>
      <c r="K243" s="118">
        <f>+SUMIF('Nhập kho  입'!A:A,C243,'Nhập kho  입'!E:E)</f>
        <v>26100</v>
      </c>
      <c r="L243" s="119">
        <f>+SUMIF(' Xuất kho 출'!A:A,C243,' Xuất kho 출'!E:E)</f>
        <v>18000</v>
      </c>
      <c r="M243" s="120"/>
      <c r="N243" s="130"/>
      <c r="O243" s="148"/>
      <c r="P243" s="149"/>
      <c r="Q243" s="131">
        <f t="shared" si="7"/>
        <v>9850</v>
      </c>
      <c r="R243" s="124">
        <f>150+1600</f>
        <v>1750</v>
      </c>
      <c r="S243" s="124"/>
      <c r="T243" s="125">
        <f t="shared" si="6"/>
        <v>-8100</v>
      </c>
      <c r="U243" s="126"/>
      <c r="V243" s="132"/>
      <c r="W243" s="127"/>
      <c r="X243" s="128" t="s">
        <v>1351</v>
      </c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</row>
    <row r="244" spans="1:38" s="90" customFormat="1" ht="25.5" customHeight="1">
      <c r="A244" s="95"/>
      <c r="B244" s="146" t="s">
        <v>533</v>
      </c>
      <c r="C244" s="136" t="s">
        <v>303</v>
      </c>
      <c r="D244" s="137" t="s">
        <v>304</v>
      </c>
      <c r="E244" s="114" t="s">
        <v>612</v>
      </c>
      <c r="F244" s="142" t="s">
        <v>537</v>
      </c>
      <c r="G244" s="142" t="s">
        <v>617</v>
      </c>
      <c r="H244" s="335" t="s">
        <v>552</v>
      </c>
      <c r="I244" s="147"/>
      <c r="J244" s="129">
        <v>2600</v>
      </c>
      <c r="K244" s="118">
        <f>+SUMIF('Nhập kho  입'!A:A,C244,'Nhập kho  입'!E:E)</f>
        <v>0</v>
      </c>
      <c r="L244" s="119">
        <f>+SUMIF(' Xuất kho 출'!A:A,C244,' Xuất kho 출'!E:E)</f>
        <v>0</v>
      </c>
      <c r="M244" s="120"/>
      <c r="N244" s="130"/>
      <c r="O244" s="148"/>
      <c r="P244" s="149"/>
      <c r="Q244" s="131">
        <f t="shared" si="7"/>
        <v>2600</v>
      </c>
      <c r="R244" s="124">
        <f>200+2400</f>
        <v>2600</v>
      </c>
      <c r="S244" s="124"/>
      <c r="T244" s="125">
        <f t="shared" si="6"/>
        <v>0</v>
      </c>
      <c r="U244" s="126"/>
      <c r="V244" s="132"/>
      <c r="W244" s="127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</row>
    <row r="245" spans="1:38" s="90" customFormat="1" ht="25.5" customHeight="1">
      <c r="A245" s="95"/>
      <c r="B245" s="146" t="s">
        <v>533</v>
      </c>
      <c r="C245" s="136" t="s">
        <v>397</v>
      </c>
      <c r="D245" s="137" t="s">
        <v>398</v>
      </c>
      <c r="E245" s="114" t="s">
        <v>568</v>
      </c>
      <c r="F245" s="142"/>
      <c r="G245" s="142" t="s">
        <v>562</v>
      </c>
      <c r="H245" s="335" t="s">
        <v>552</v>
      </c>
      <c r="I245" s="147"/>
      <c r="J245" s="129">
        <v>2150</v>
      </c>
      <c r="K245" s="118">
        <f>+SUMIF('Nhập kho  입'!A:A,C245,'Nhập kho  입'!E:E)</f>
        <v>0</v>
      </c>
      <c r="L245" s="119">
        <f>+SUMIF(' Xuất kho 출'!A:A,C245,' Xuất kho 출'!E:E)</f>
        <v>0</v>
      </c>
      <c r="M245" s="120"/>
      <c r="N245" s="130"/>
      <c r="O245" s="148"/>
      <c r="P245" s="149"/>
      <c r="Q245" s="131">
        <f t="shared" si="7"/>
        <v>2150</v>
      </c>
      <c r="R245" s="124">
        <f>28*50+15*50</f>
        <v>2150</v>
      </c>
      <c r="S245" s="134"/>
      <c r="T245" s="125">
        <f t="shared" si="6"/>
        <v>0</v>
      </c>
      <c r="U245" s="126"/>
      <c r="V245" s="132"/>
      <c r="W245" s="127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</row>
    <row r="246" spans="1:38" s="90" customFormat="1" ht="25.5" customHeight="1">
      <c r="A246" s="95"/>
      <c r="B246" s="146" t="s">
        <v>533</v>
      </c>
      <c r="C246" s="136" t="s">
        <v>789</v>
      </c>
      <c r="D246" s="137" t="s">
        <v>480</v>
      </c>
      <c r="E246" s="114" t="s">
        <v>634</v>
      </c>
      <c r="F246" s="142"/>
      <c r="G246" s="142" t="s">
        <v>562</v>
      </c>
      <c r="H246" s="335" t="s">
        <v>552</v>
      </c>
      <c r="I246" s="147"/>
      <c r="J246" s="129">
        <v>600</v>
      </c>
      <c r="K246" s="118">
        <f>+SUMIF('Nhập kho  입'!A:A,C246,'Nhập kho  입'!E:E)</f>
        <v>0</v>
      </c>
      <c r="L246" s="119">
        <f>+SUMIF(' Xuất kho 출'!A:A,C246,' Xuất kho 출'!E:E)</f>
        <v>0</v>
      </c>
      <c r="M246" s="120"/>
      <c r="N246" s="130"/>
      <c r="O246" s="148"/>
      <c r="P246" s="149"/>
      <c r="Q246" s="131">
        <f t="shared" si="7"/>
        <v>600</v>
      </c>
      <c r="R246" s="124">
        <v>600</v>
      </c>
      <c r="S246" s="124"/>
      <c r="T246" s="125">
        <f t="shared" si="6"/>
        <v>0</v>
      </c>
      <c r="U246" s="126"/>
      <c r="V246" s="132"/>
      <c r="W246" s="127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</row>
    <row r="247" spans="1:38" s="90" customFormat="1" ht="25.5" hidden="1" customHeight="1">
      <c r="A247" s="95"/>
      <c r="B247" s="146" t="s">
        <v>533</v>
      </c>
      <c r="C247" s="136" t="s">
        <v>100</v>
      </c>
      <c r="D247" s="137" t="s">
        <v>101</v>
      </c>
      <c r="E247" s="114"/>
      <c r="F247" s="142" t="s">
        <v>578</v>
      </c>
      <c r="G247" s="142" t="s">
        <v>534</v>
      </c>
      <c r="H247" s="335" t="s">
        <v>546</v>
      </c>
      <c r="I247" s="147"/>
      <c r="J247" s="129">
        <v>0</v>
      </c>
      <c r="K247" s="118">
        <f>+SUMIF('Nhập kho  입'!A:A,C247,'Nhập kho  입'!E:E)</f>
        <v>0</v>
      </c>
      <c r="L247" s="119">
        <f>+SUMIF(' Xuất kho 출'!A:A,C247,' Xuất kho 출'!E:E)</f>
        <v>0</v>
      </c>
      <c r="M247" s="120"/>
      <c r="N247" s="130"/>
      <c r="O247" s="148"/>
      <c r="P247" s="149"/>
      <c r="Q247" s="131">
        <f t="shared" si="7"/>
        <v>0</v>
      </c>
      <c r="R247" s="124"/>
      <c r="S247" s="134"/>
      <c r="T247" s="125">
        <f t="shared" si="6"/>
        <v>0</v>
      </c>
      <c r="U247" s="126"/>
      <c r="V247" s="132"/>
      <c r="W247" s="127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</row>
    <row r="248" spans="1:38" s="90" customFormat="1" ht="25.5" customHeight="1">
      <c r="A248" s="95"/>
      <c r="B248" s="146" t="s">
        <v>533</v>
      </c>
      <c r="C248" s="136" t="s">
        <v>1043</v>
      </c>
      <c r="D248" s="137" t="s">
        <v>101</v>
      </c>
      <c r="E248" s="114" t="s">
        <v>618</v>
      </c>
      <c r="F248" s="142" t="s">
        <v>540</v>
      </c>
      <c r="G248" s="142" t="s">
        <v>549</v>
      </c>
      <c r="H248" s="335" t="s">
        <v>546</v>
      </c>
      <c r="I248" s="147"/>
      <c r="J248" s="129">
        <v>11500</v>
      </c>
      <c r="K248" s="118">
        <f>+SUMIF('Nhập kho  입'!A:A,C248,'Nhập kho  입'!E:E)</f>
        <v>5100</v>
      </c>
      <c r="L248" s="119">
        <f>+SUMIF(' Xuất kho 출'!A:A,C248,' Xuất kho 출'!E:E)</f>
        <v>13800</v>
      </c>
      <c r="M248" s="120">
        <v>1200</v>
      </c>
      <c r="N248" s="130"/>
      <c r="O248" s="148"/>
      <c r="P248" s="149"/>
      <c r="Q248" s="131">
        <f t="shared" si="7"/>
        <v>2800</v>
      </c>
      <c r="R248" s="124">
        <f>3600+1900+3600+2400</f>
        <v>11500</v>
      </c>
      <c r="S248" s="124"/>
      <c r="T248" s="125">
        <f t="shared" si="6"/>
        <v>8700</v>
      </c>
      <c r="U248" s="126"/>
      <c r="V248" s="132"/>
      <c r="W248" s="127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</row>
    <row r="249" spans="1:38" s="90" customFormat="1" ht="25.5" customHeight="1">
      <c r="A249" s="95"/>
      <c r="B249" s="146" t="s">
        <v>533</v>
      </c>
      <c r="C249" s="136" t="s">
        <v>125</v>
      </c>
      <c r="D249" s="137" t="s">
        <v>126</v>
      </c>
      <c r="E249" s="114"/>
      <c r="F249" s="142" t="s">
        <v>540</v>
      </c>
      <c r="G249" s="142" t="s">
        <v>549</v>
      </c>
      <c r="H249" s="335" t="s">
        <v>552</v>
      </c>
      <c r="I249" s="147"/>
      <c r="J249" s="129">
        <v>400</v>
      </c>
      <c r="K249" s="118">
        <f>+SUMIF('Nhập kho  입'!A:A,C249,'Nhập kho  입'!E:E)</f>
        <v>0</v>
      </c>
      <c r="L249" s="119">
        <f>+SUMIF(' Xuất kho 출'!A:A,C249,' Xuất kho 출'!E:E)</f>
        <v>0</v>
      </c>
      <c r="M249" s="120"/>
      <c r="N249" s="130"/>
      <c r="O249" s="148"/>
      <c r="P249" s="149"/>
      <c r="Q249" s="131">
        <f t="shared" si="7"/>
        <v>400</v>
      </c>
      <c r="R249" s="124">
        <v>400</v>
      </c>
      <c r="S249" s="124"/>
      <c r="T249" s="125">
        <f t="shared" si="6"/>
        <v>0</v>
      </c>
      <c r="U249" s="126"/>
      <c r="V249" s="132"/>
      <c r="W249" s="127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</row>
    <row r="250" spans="1:38" s="90" customFormat="1" ht="25.5" customHeight="1">
      <c r="A250" s="95"/>
      <c r="B250" s="146" t="s">
        <v>533</v>
      </c>
      <c r="C250" s="136" t="s">
        <v>429</v>
      </c>
      <c r="D250" s="137" t="s">
        <v>430</v>
      </c>
      <c r="E250" s="114" t="s">
        <v>635</v>
      </c>
      <c r="F250" s="142"/>
      <c r="G250" s="142" t="s">
        <v>534</v>
      </c>
      <c r="H250" s="335" t="s">
        <v>546</v>
      </c>
      <c r="I250" s="147"/>
      <c r="J250" s="129">
        <v>1300</v>
      </c>
      <c r="K250" s="118">
        <f>+SUMIF('Nhập kho  입'!A:A,C250,'Nhập kho  입'!E:E)</f>
        <v>0</v>
      </c>
      <c r="L250" s="119">
        <f>+SUMIF(' Xuất kho 출'!A:A,C250,' Xuất kho 출'!E:E)</f>
        <v>0</v>
      </c>
      <c r="M250" s="120"/>
      <c r="N250" s="130"/>
      <c r="O250" s="148"/>
      <c r="P250" s="149"/>
      <c r="Q250" s="131">
        <f t="shared" si="7"/>
        <v>1300</v>
      </c>
      <c r="R250" s="124">
        <f>26*50</f>
        <v>1300</v>
      </c>
      <c r="S250" s="124"/>
      <c r="T250" s="125">
        <f t="shared" si="6"/>
        <v>0</v>
      </c>
      <c r="U250" s="126"/>
      <c r="V250" s="132"/>
      <c r="W250" s="127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</row>
    <row r="251" spans="1:38" s="90" customFormat="1" ht="25.5" hidden="1" customHeight="1">
      <c r="A251" s="95"/>
      <c r="B251" s="146" t="s">
        <v>533</v>
      </c>
      <c r="C251" s="136" t="s">
        <v>452</v>
      </c>
      <c r="D251" s="137" t="s">
        <v>453</v>
      </c>
      <c r="E251" s="114" t="s">
        <v>587</v>
      </c>
      <c r="F251" s="142"/>
      <c r="G251" s="142" t="s">
        <v>636</v>
      </c>
      <c r="H251" s="335" t="s">
        <v>552</v>
      </c>
      <c r="I251" s="147"/>
      <c r="J251" s="129">
        <v>0</v>
      </c>
      <c r="K251" s="118">
        <f>+SUMIF('Nhập kho  입'!A:A,C251,'Nhập kho  입'!E:E)</f>
        <v>0</v>
      </c>
      <c r="L251" s="119">
        <f>+SUMIF(' Xuất kho 출'!A:A,C251,' Xuất kho 출'!E:E)</f>
        <v>0</v>
      </c>
      <c r="M251" s="120"/>
      <c r="N251" s="130"/>
      <c r="O251" s="148"/>
      <c r="P251" s="149"/>
      <c r="Q251" s="131">
        <f t="shared" si="7"/>
        <v>0</v>
      </c>
      <c r="R251" s="124"/>
      <c r="S251" s="134"/>
      <c r="T251" s="125">
        <f t="shared" si="6"/>
        <v>0</v>
      </c>
      <c r="U251" s="126"/>
      <c r="V251" s="132"/>
      <c r="W251" s="127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</row>
    <row r="252" spans="1:38" s="90" customFormat="1" ht="25.5" customHeight="1">
      <c r="A252" s="95"/>
      <c r="B252" s="146" t="s">
        <v>533</v>
      </c>
      <c r="C252" s="136" t="s">
        <v>786</v>
      </c>
      <c r="D252" s="137" t="s">
        <v>371</v>
      </c>
      <c r="E252" s="114" t="s">
        <v>607</v>
      </c>
      <c r="F252" s="142"/>
      <c r="G252" s="142" t="s">
        <v>637</v>
      </c>
      <c r="H252" s="335" t="s">
        <v>552</v>
      </c>
      <c r="I252" s="147"/>
      <c r="J252" s="129">
        <v>300</v>
      </c>
      <c r="K252" s="118">
        <f>+SUMIF('Nhập kho  입'!A:A,C252,'Nhập kho  입'!E:E)</f>
        <v>0</v>
      </c>
      <c r="L252" s="119">
        <f>+SUMIF(' Xuất kho 출'!A:A,C252,' Xuất kho 출'!E:E)</f>
        <v>0</v>
      </c>
      <c r="M252" s="120"/>
      <c r="N252" s="130"/>
      <c r="O252" s="148"/>
      <c r="P252" s="149"/>
      <c r="Q252" s="131">
        <f t="shared" si="7"/>
        <v>300</v>
      </c>
      <c r="R252" s="124">
        <v>300</v>
      </c>
      <c r="S252" s="134"/>
      <c r="T252" s="125">
        <f t="shared" si="6"/>
        <v>0</v>
      </c>
      <c r="U252" s="126"/>
      <c r="V252" s="132"/>
      <c r="W252" s="127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</row>
    <row r="253" spans="1:38" s="90" customFormat="1" ht="25.5" hidden="1" customHeight="1">
      <c r="A253" s="95"/>
      <c r="B253" s="146" t="s">
        <v>533</v>
      </c>
      <c r="C253" s="136" t="s">
        <v>462</v>
      </c>
      <c r="D253" s="137" t="s">
        <v>371</v>
      </c>
      <c r="E253" s="114" t="s">
        <v>566</v>
      </c>
      <c r="F253" s="142"/>
      <c r="G253" s="142" t="s">
        <v>636</v>
      </c>
      <c r="H253" s="335" t="s">
        <v>552</v>
      </c>
      <c r="I253" s="147"/>
      <c r="J253" s="129">
        <v>0</v>
      </c>
      <c r="K253" s="118">
        <f>+SUMIF('Nhập kho  입'!A:A,C253,'Nhập kho  입'!E:E)</f>
        <v>0</v>
      </c>
      <c r="L253" s="119">
        <f>+SUMIF(' Xuất kho 출'!A:A,C253,' Xuất kho 출'!E:E)</f>
        <v>0</v>
      </c>
      <c r="M253" s="120"/>
      <c r="N253" s="130"/>
      <c r="O253" s="148"/>
      <c r="P253" s="149"/>
      <c r="Q253" s="131">
        <f t="shared" si="7"/>
        <v>0</v>
      </c>
      <c r="R253" s="124"/>
      <c r="S253" s="134"/>
      <c r="T253" s="125">
        <f t="shared" si="6"/>
        <v>0</v>
      </c>
      <c r="U253" s="126"/>
      <c r="V253" s="132"/>
      <c r="W253" s="127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</row>
    <row r="254" spans="1:38" s="90" customFormat="1" ht="25.5" customHeight="1">
      <c r="A254" s="95"/>
      <c r="B254" s="146" t="s">
        <v>533</v>
      </c>
      <c r="C254" s="136" t="s">
        <v>1227</v>
      </c>
      <c r="D254" s="137" t="s">
        <v>400</v>
      </c>
      <c r="E254" s="114" t="s">
        <v>566</v>
      </c>
      <c r="F254" s="142"/>
      <c r="G254" s="142" t="s">
        <v>638</v>
      </c>
      <c r="H254" s="335" t="s">
        <v>552</v>
      </c>
      <c r="I254" s="147"/>
      <c r="J254" s="129">
        <v>24</v>
      </c>
      <c r="K254" s="118">
        <f>+SUMIF('Nhập kho  입'!A:A,C254,'Nhập kho  입'!E:E)</f>
        <v>912</v>
      </c>
      <c r="L254" s="119">
        <f>+SUMIF(' Xuất kho 출'!A:A,C254,' Xuất kho 출'!E:E)</f>
        <v>0</v>
      </c>
      <c r="M254" s="120"/>
      <c r="N254" s="130"/>
      <c r="O254" s="148"/>
      <c r="P254" s="149"/>
      <c r="Q254" s="131">
        <f t="shared" si="7"/>
        <v>936</v>
      </c>
      <c r="R254" s="124">
        <v>24</v>
      </c>
      <c r="S254" s="134"/>
      <c r="T254" s="125">
        <f t="shared" si="6"/>
        <v>-912</v>
      </c>
      <c r="U254" s="126"/>
      <c r="V254" s="132"/>
      <c r="W254" s="127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</row>
    <row r="255" spans="1:38" s="90" customFormat="1" ht="25.5" customHeight="1">
      <c r="A255" s="95"/>
      <c r="B255" s="146" t="s">
        <v>533</v>
      </c>
      <c r="C255" s="136" t="s">
        <v>1392</v>
      </c>
      <c r="D255" s="137" t="s">
        <v>268</v>
      </c>
      <c r="E255" s="114" t="s">
        <v>639</v>
      </c>
      <c r="F255" s="142" t="s">
        <v>537</v>
      </c>
      <c r="G255" s="142" t="s">
        <v>636</v>
      </c>
      <c r="H255" s="335" t="s">
        <v>546</v>
      </c>
      <c r="I255" s="147"/>
      <c r="J255" s="129">
        <v>9990</v>
      </c>
      <c r="K255" s="118">
        <f>+SUMIF('Nhập kho  입'!A:A,C255,'Nhập kho  입'!E:E)</f>
        <v>27810</v>
      </c>
      <c r="L255" s="119">
        <f>+SUMIF(' Xuất kho 출'!A:A,C255,' Xuất kho 출'!E:E)</f>
        <v>1980</v>
      </c>
      <c r="M255" s="120">
        <v>12000</v>
      </c>
      <c r="N255" s="130"/>
      <c r="O255" s="148"/>
      <c r="P255" s="149"/>
      <c r="Q255" s="131">
        <f t="shared" si="7"/>
        <v>35820</v>
      </c>
      <c r="R255" s="124">
        <f>72*30*4+22*30+23*30</f>
        <v>9990</v>
      </c>
      <c r="S255" s="134"/>
      <c r="T255" s="125">
        <f t="shared" si="6"/>
        <v>-25830</v>
      </c>
      <c r="U255" s="126"/>
      <c r="V255" s="132"/>
      <c r="W255" s="127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</row>
    <row r="256" spans="1:38" s="90" customFormat="1" ht="25.5" hidden="1" customHeight="1">
      <c r="A256" s="95"/>
      <c r="B256" s="146" t="s">
        <v>533</v>
      </c>
      <c r="C256" s="136" t="s">
        <v>1003</v>
      </c>
      <c r="D256" s="137" t="s">
        <v>268</v>
      </c>
      <c r="E256" s="114" t="s">
        <v>640</v>
      </c>
      <c r="F256" s="142" t="s">
        <v>641</v>
      </c>
      <c r="G256" s="142" t="s">
        <v>636</v>
      </c>
      <c r="H256" s="335" t="s">
        <v>546</v>
      </c>
      <c r="I256" s="147"/>
      <c r="J256" s="129">
        <v>0</v>
      </c>
      <c r="K256" s="118">
        <f>+SUMIF('Nhập kho  입'!A:A,C256,'Nhập kho  입'!E:E)</f>
        <v>0</v>
      </c>
      <c r="L256" s="119">
        <f>+SUMIF(' Xuất kho 출'!A:A,C256,' Xuất kho 출'!E:E)</f>
        <v>0</v>
      </c>
      <c r="M256" s="120"/>
      <c r="N256" s="130"/>
      <c r="O256" s="148"/>
      <c r="P256" s="149"/>
      <c r="Q256" s="131">
        <f t="shared" si="7"/>
        <v>0</v>
      </c>
      <c r="R256" s="124"/>
      <c r="S256" s="124"/>
      <c r="T256" s="125">
        <f t="shared" si="6"/>
        <v>0</v>
      </c>
      <c r="U256" s="126"/>
      <c r="V256" s="132"/>
      <c r="W256" s="127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</row>
    <row r="257" spans="1:38" s="90" customFormat="1" ht="25.5" customHeight="1">
      <c r="A257" s="95"/>
      <c r="B257" s="146" t="s">
        <v>533</v>
      </c>
      <c r="C257" s="136" t="s">
        <v>1394</v>
      </c>
      <c r="D257" s="137" t="s">
        <v>271</v>
      </c>
      <c r="E257" s="114" t="s">
        <v>642</v>
      </c>
      <c r="F257" s="142" t="s">
        <v>537</v>
      </c>
      <c r="G257" s="142" t="s">
        <v>636</v>
      </c>
      <c r="H257" s="335" t="s">
        <v>546</v>
      </c>
      <c r="I257" s="147"/>
      <c r="J257" s="129">
        <v>630</v>
      </c>
      <c r="K257" s="118">
        <f>+SUMIF('Nhập kho  입'!A:A,C257,'Nhập kho  입'!E:E)</f>
        <v>1740</v>
      </c>
      <c r="L257" s="119">
        <f>+SUMIF(' Xuất kho 출'!A:A,C257,' Xuất kho 출'!E:E)</f>
        <v>2010</v>
      </c>
      <c r="M257" s="120"/>
      <c r="N257" s="130"/>
      <c r="O257" s="148"/>
      <c r="P257" s="149"/>
      <c r="Q257" s="131">
        <f t="shared" si="7"/>
        <v>360</v>
      </c>
      <c r="R257" s="124">
        <f>6*30+15*30</f>
        <v>630</v>
      </c>
      <c r="S257" s="124"/>
      <c r="T257" s="125">
        <f t="shared" si="6"/>
        <v>270</v>
      </c>
      <c r="U257" s="126"/>
      <c r="V257" s="132"/>
      <c r="W257" s="127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</row>
    <row r="258" spans="1:38" s="90" customFormat="1" ht="25.5" customHeight="1">
      <c r="A258" s="95"/>
      <c r="B258" s="146" t="s">
        <v>533</v>
      </c>
      <c r="C258" s="136" t="s">
        <v>1531</v>
      </c>
      <c r="D258" s="137" t="s">
        <v>1123</v>
      </c>
      <c r="E258" s="114" t="s">
        <v>566</v>
      </c>
      <c r="F258" s="142"/>
      <c r="G258" s="142" t="s">
        <v>893</v>
      </c>
      <c r="H258" s="335" t="s">
        <v>552</v>
      </c>
      <c r="I258" s="147"/>
      <c r="J258" s="129">
        <v>270</v>
      </c>
      <c r="K258" s="118">
        <f>+SUMIF('Nhập kho  입'!A:A,C258,'Nhập kho  입'!E:E)</f>
        <v>4740</v>
      </c>
      <c r="L258" s="119">
        <f>+SUMIF(' Xuất kho 출'!A:A,C258,' Xuất kho 출'!E:E)</f>
        <v>2550</v>
      </c>
      <c r="M258" s="120"/>
      <c r="N258" s="130"/>
      <c r="O258" s="148"/>
      <c r="P258" s="149"/>
      <c r="Q258" s="131">
        <f t="shared" si="7"/>
        <v>2460</v>
      </c>
      <c r="R258" s="124">
        <f>9*30</f>
        <v>270</v>
      </c>
      <c r="S258" s="134"/>
      <c r="T258" s="125">
        <f t="shared" si="6"/>
        <v>-2190</v>
      </c>
      <c r="U258" s="126"/>
      <c r="V258" s="132"/>
      <c r="W258" s="127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</row>
    <row r="259" spans="1:38" s="90" customFormat="1" ht="25.5" customHeight="1">
      <c r="A259" s="95"/>
      <c r="B259" s="146" t="s">
        <v>533</v>
      </c>
      <c r="C259" s="136" t="s">
        <v>1137</v>
      </c>
      <c r="D259" s="137" t="s">
        <v>203</v>
      </c>
      <c r="E259" s="114" t="s">
        <v>561</v>
      </c>
      <c r="F259" s="142" t="s">
        <v>537</v>
      </c>
      <c r="G259" s="142" t="s">
        <v>636</v>
      </c>
      <c r="H259" s="335" t="s">
        <v>546</v>
      </c>
      <c r="I259" s="147"/>
      <c r="J259" s="129">
        <v>0</v>
      </c>
      <c r="K259" s="118">
        <f>+SUMIF('Nhập kho  입'!A:A,C259,'Nhập kho  입'!E:E)</f>
        <v>360</v>
      </c>
      <c r="L259" s="119">
        <f>+SUMIF(' Xuất kho 출'!A:A,C259,' Xuất kho 출'!E:E)</f>
        <v>0</v>
      </c>
      <c r="M259" s="120"/>
      <c r="N259" s="130"/>
      <c r="O259" s="148"/>
      <c r="P259" s="149"/>
      <c r="Q259" s="131">
        <f t="shared" si="7"/>
        <v>360</v>
      </c>
      <c r="R259" s="124"/>
      <c r="S259" s="124"/>
      <c r="T259" s="125">
        <f t="shared" si="6"/>
        <v>-360</v>
      </c>
      <c r="U259" s="126"/>
      <c r="V259" s="132"/>
      <c r="W259" s="127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</row>
    <row r="260" spans="1:38" s="90" customFormat="1" ht="25.5" hidden="1" customHeight="1">
      <c r="A260" s="95"/>
      <c r="B260" s="146" t="s">
        <v>533</v>
      </c>
      <c r="C260" s="136" t="s">
        <v>969</v>
      </c>
      <c r="D260" s="137" t="s">
        <v>33</v>
      </c>
      <c r="E260" s="114" t="s">
        <v>643</v>
      </c>
      <c r="F260" s="142">
        <v>125140</v>
      </c>
      <c r="G260" s="142" t="s">
        <v>636</v>
      </c>
      <c r="H260" s="335" t="s">
        <v>546</v>
      </c>
      <c r="I260" s="337" t="s">
        <v>556</v>
      </c>
      <c r="J260" s="129">
        <v>0</v>
      </c>
      <c r="K260" s="118">
        <f>+SUMIF('Nhập kho  입'!A:A,C260,'Nhập kho  입'!E:E)</f>
        <v>0</v>
      </c>
      <c r="L260" s="119">
        <f>+SUMIF(' Xuất kho 출'!A:A,C260,' Xuất kho 출'!E:E)</f>
        <v>0</v>
      </c>
      <c r="M260" s="120"/>
      <c r="N260" s="130"/>
      <c r="O260" s="148"/>
      <c r="P260" s="149"/>
      <c r="Q260" s="131">
        <f t="shared" si="7"/>
        <v>0</v>
      </c>
      <c r="R260" s="124"/>
      <c r="S260" s="124"/>
      <c r="T260" s="125">
        <f t="shared" si="6"/>
        <v>0</v>
      </c>
      <c r="U260" s="126"/>
      <c r="V260" s="132"/>
      <c r="W260" s="127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</row>
    <row r="261" spans="1:38" s="90" customFormat="1" ht="25.5" hidden="1" customHeight="1">
      <c r="A261" s="95"/>
      <c r="B261" s="146" t="s">
        <v>533</v>
      </c>
      <c r="C261" s="136" t="s">
        <v>889</v>
      </c>
      <c r="D261" s="137" t="s">
        <v>33</v>
      </c>
      <c r="E261" s="114" t="s">
        <v>644</v>
      </c>
      <c r="F261" s="142">
        <v>125150</v>
      </c>
      <c r="G261" s="142" t="s">
        <v>636</v>
      </c>
      <c r="H261" s="335" t="s">
        <v>546</v>
      </c>
      <c r="I261" s="337" t="s">
        <v>556</v>
      </c>
      <c r="J261" s="129">
        <v>0</v>
      </c>
      <c r="K261" s="118">
        <f>+SUMIF('Nhập kho  입'!A:A,C261,'Nhập kho  입'!E:E)</f>
        <v>0</v>
      </c>
      <c r="L261" s="119">
        <f>+SUMIF(' Xuất kho 출'!A:A,C261,' Xuất kho 출'!E:E)</f>
        <v>0</v>
      </c>
      <c r="M261" s="120"/>
      <c r="N261" s="130"/>
      <c r="O261" s="148"/>
      <c r="P261" s="149"/>
      <c r="Q261" s="131">
        <f t="shared" si="7"/>
        <v>0</v>
      </c>
      <c r="R261" s="124"/>
      <c r="S261" s="124"/>
      <c r="T261" s="125">
        <f t="shared" si="6"/>
        <v>0</v>
      </c>
      <c r="U261" s="126"/>
      <c r="V261" s="132"/>
      <c r="W261" s="127"/>
      <c r="X261" s="128"/>
      <c r="Y261" s="128"/>
      <c r="Z261" s="128"/>
      <c r="AA261" s="128" t="s">
        <v>491</v>
      </c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</row>
    <row r="262" spans="1:38" s="90" customFormat="1" ht="25.5" customHeight="1">
      <c r="A262" s="95"/>
      <c r="B262" s="146" t="s">
        <v>533</v>
      </c>
      <c r="C262" s="136" t="s">
        <v>1148</v>
      </c>
      <c r="D262" s="137" t="s">
        <v>437</v>
      </c>
      <c r="E262" s="114" t="s">
        <v>601</v>
      </c>
      <c r="F262" s="142"/>
      <c r="G262" s="142" t="s">
        <v>636</v>
      </c>
      <c r="H262" s="335" t="s">
        <v>546</v>
      </c>
      <c r="I262" s="147"/>
      <c r="J262" s="129">
        <v>4500</v>
      </c>
      <c r="K262" s="118">
        <f>+SUMIF('Nhập kho  입'!A:A,C262,'Nhập kho  입'!E:E)</f>
        <v>3390</v>
      </c>
      <c r="L262" s="119">
        <f>+SUMIF(' Xuất kho 출'!A:A,C262,' Xuất kho 출'!E:E)</f>
        <v>3960</v>
      </c>
      <c r="M262" s="120"/>
      <c r="N262" s="130"/>
      <c r="O262" s="148"/>
      <c r="P262" s="149"/>
      <c r="Q262" s="131">
        <f t="shared" si="7"/>
        <v>3930</v>
      </c>
      <c r="R262" s="124">
        <f>64*30+36*30+50*30</f>
        <v>4500</v>
      </c>
      <c r="S262" s="124"/>
      <c r="T262" s="125">
        <f t="shared" si="6"/>
        <v>570</v>
      </c>
      <c r="U262" s="126"/>
      <c r="V262" s="132"/>
      <c r="W262" s="127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</row>
    <row r="263" spans="1:38" s="90" customFormat="1" ht="25.5" hidden="1" customHeight="1">
      <c r="A263" s="95"/>
      <c r="B263" s="146" t="s">
        <v>533</v>
      </c>
      <c r="C263" s="136" t="s">
        <v>438</v>
      </c>
      <c r="D263" s="137" t="s">
        <v>437</v>
      </c>
      <c r="E263" s="114" t="s">
        <v>645</v>
      </c>
      <c r="F263" s="142"/>
      <c r="G263" s="142" t="s">
        <v>636</v>
      </c>
      <c r="H263" s="335" t="s">
        <v>546</v>
      </c>
      <c r="I263" s="147"/>
      <c r="J263" s="129">
        <v>0</v>
      </c>
      <c r="K263" s="118">
        <f>+SUMIF('Nhập kho  입'!A:A,C263,'Nhập kho  입'!E:E)</f>
        <v>0</v>
      </c>
      <c r="L263" s="119">
        <f>+SUMIF(' Xuất kho 출'!A:A,C263,' Xuất kho 출'!E:E)</f>
        <v>0</v>
      </c>
      <c r="M263" s="120"/>
      <c r="N263" s="130"/>
      <c r="O263" s="148"/>
      <c r="P263" s="149"/>
      <c r="Q263" s="131">
        <f t="shared" si="7"/>
        <v>0</v>
      </c>
      <c r="R263" s="124"/>
      <c r="S263" s="124"/>
      <c r="T263" s="125">
        <f t="shared" si="6"/>
        <v>0</v>
      </c>
      <c r="U263" s="126"/>
      <c r="V263" s="132"/>
      <c r="W263" s="127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</row>
    <row r="264" spans="1:38" s="90" customFormat="1" ht="25.5" customHeight="1">
      <c r="A264" s="95"/>
      <c r="B264" s="146" t="s">
        <v>533</v>
      </c>
      <c r="C264" s="136" t="s">
        <v>860</v>
      </c>
      <c r="D264" s="137" t="s">
        <v>309</v>
      </c>
      <c r="E264" s="114" t="s">
        <v>601</v>
      </c>
      <c r="F264" s="142">
        <v>125140</v>
      </c>
      <c r="G264" s="142" t="s">
        <v>636</v>
      </c>
      <c r="H264" s="335" t="s">
        <v>552</v>
      </c>
      <c r="I264" s="147"/>
      <c r="J264" s="129">
        <v>2370</v>
      </c>
      <c r="K264" s="118">
        <f>+SUMIF('Nhập kho  입'!A:A,C264,'Nhập kho  입'!E:E)</f>
        <v>0</v>
      </c>
      <c r="L264" s="119">
        <f>+SUMIF(' Xuất kho 출'!A:A,C264,' Xuất kho 출'!E:E)</f>
        <v>1320</v>
      </c>
      <c r="M264" s="120"/>
      <c r="N264" s="130"/>
      <c r="O264" s="148"/>
      <c r="P264" s="149"/>
      <c r="Q264" s="131">
        <f t="shared" si="7"/>
        <v>1050</v>
      </c>
      <c r="R264" s="124">
        <f>72*30+8*30</f>
        <v>2400</v>
      </c>
      <c r="S264" s="124"/>
      <c r="T264" s="125">
        <f t="shared" si="6"/>
        <v>1350</v>
      </c>
      <c r="U264" s="126"/>
      <c r="V264" s="132"/>
      <c r="W264" s="127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</row>
    <row r="265" spans="1:38" s="90" customFormat="1" ht="25.5" customHeight="1">
      <c r="A265" s="95"/>
      <c r="B265" s="146" t="s">
        <v>533</v>
      </c>
      <c r="C265" s="136" t="s">
        <v>815</v>
      </c>
      <c r="D265" s="137" t="s">
        <v>905</v>
      </c>
      <c r="E265" s="114" t="s">
        <v>622</v>
      </c>
      <c r="F265" s="142"/>
      <c r="G265" s="142" t="s">
        <v>636</v>
      </c>
      <c r="H265" s="335" t="s">
        <v>552</v>
      </c>
      <c r="I265" s="147"/>
      <c r="J265" s="129">
        <v>300</v>
      </c>
      <c r="K265" s="118">
        <f>+SUMIF('Nhập kho  입'!A:A,C265,'Nhập kho  입'!E:E)</f>
        <v>17280</v>
      </c>
      <c r="L265" s="119">
        <f>+SUMIF(' Xuất kho 출'!A:A,C265,' Xuất kho 출'!E:E)</f>
        <v>6480</v>
      </c>
      <c r="M265" s="120"/>
      <c r="N265" s="130"/>
      <c r="O265" s="148"/>
      <c r="P265" s="149"/>
      <c r="Q265" s="131">
        <f t="shared" si="7"/>
        <v>11100</v>
      </c>
      <c r="R265" s="124">
        <v>300</v>
      </c>
      <c r="S265" s="124"/>
      <c r="T265" s="125">
        <f t="shared" si="6"/>
        <v>-10800</v>
      </c>
      <c r="U265" s="126"/>
      <c r="V265" s="132"/>
      <c r="W265" s="127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</row>
    <row r="266" spans="1:38" s="90" customFormat="1" ht="25.5" hidden="1" customHeight="1">
      <c r="A266" s="95"/>
      <c r="B266" s="146" t="s">
        <v>533</v>
      </c>
      <c r="C266" s="136" t="s">
        <v>890</v>
      </c>
      <c r="D266" s="137" t="s">
        <v>312</v>
      </c>
      <c r="E266" s="114" t="s">
        <v>601</v>
      </c>
      <c r="F266" s="142">
        <v>125140</v>
      </c>
      <c r="G266" s="142" t="s">
        <v>636</v>
      </c>
      <c r="H266" s="335" t="s">
        <v>552</v>
      </c>
      <c r="I266" s="147"/>
      <c r="J266" s="129">
        <v>300</v>
      </c>
      <c r="K266" s="118">
        <f>+SUMIF('Nhập kho  입'!A:A,C266,'Nhập kho  입'!E:E)</f>
        <v>0</v>
      </c>
      <c r="L266" s="119">
        <f>+SUMIF(' Xuất kho 출'!A:A,C266,' Xuất kho 출'!E:E)</f>
        <v>300</v>
      </c>
      <c r="M266" s="120"/>
      <c r="N266" s="130"/>
      <c r="O266" s="148"/>
      <c r="P266" s="149"/>
      <c r="Q266" s="131">
        <f t="shared" si="7"/>
        <v>0</v>
      </c>
      <c r="R266" s="124">
        <f>9*30</f>
        <v>270</v>
      </c>
      <c r="S266" s="124"/>
      <c r="T266" s="125">
        <f t="shared" ref="T266:T272" si="8">+R266-Q266</f>
        <v>270</v>
      </c>
      <c r="U266" s="126"/>
      <c r="V266" s="132"/>
      <c r="W266" s="127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</row>
    <row r="267" spans="1:38" s="90" customFormat="1" ht="25.5" customHeight="1">
      <c r="A267" s="95"/>
      <c r="B267" s="146" t="s">
        <v>533</v>
      </c>
      <c r="C267" s="136" t="s">
        <v>313</v>
      </c>
      <c r="D267" s="137" t="s">
        <v>312</v>
      </c>
      <c r="E267" s="114"/>
      <c r="F267" s="142"/>
      <c r="G267" s="142" t="s">
        <v>636</v>
      </c>
      <c r="H267" s="114"/>
      <c r="I267" s="147"/>
      <c r="J267" s="129">
        <v>30</v>
      </c>
      <c r="K267" s="118">
        <f>+SUMIF('Nhập kho  입'!A:A,C267,'Nhập kho  입'!E:E)</f>
        <v>0</v>
      </c>
      <c r="L267" s="119">
        <f>+SUMIF(' Xuất kho 출'!A:A,C267,' Xuất kho 출'!E:E)</f>
        <v>0</v>
      </c>
      <c r="M267" s="120"/>
      <c r="N267" s="130"/>
      <c r="O267" s="148"/>
      <c r="P267" s="149"/>
      <c r="Q267" s="131">
        <f t="shared" ref="Q267:Q272" si="9">+J267+K267-L267-N267</f>
        <v>30</v>
      </c>
      <c r="R267" s="124">
        <v>60</v>
      </c>
      <c r="S267" s="124"/>
      <c r="T267" s="125">
        <f t="shared" si="8"/>
        <v>30</v>
      </c>
      <c r="U267" s="126"/>
      <c r="V267" s="132"/>
      <c r="W267" s="127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</row>
    <row r="268" spans="1:38" s="90" customFormat="1" ht="25.5" customHeight="1">
      <c r="A268" s="95"/>
      <c r="B268" s="146" t="s">
        <v>533</v>
      </c>
      <c r="C268" s="136" t="s">
        <v>433</v>
      </c>
      <c r="D268" s="137" t="s">
        <v>434</v>
      </c>
      <c r="E268" s="114" t="s">
        <v>587</v>
      </c>
      <c r="F268" s="142"/>
      <c r="G268" s="142" t="s">
        <v>636</v>
      </c>
      <c r="H268" s="335" t="s">
        <v>552</v>
      </c>
      <c r="I268" s="147"/>
      <c r="J268" s="129">
        <v>120</v>
      </c>
      <c r="K268" s="118">
        <f>+SUMIF('Nhập kho  입'!A:A,C268,'Nhập kho  입'!E:E)</f>
        <v>0</v>
      </c>
      <c r="L268" s="119">
        <f>+SUMIF(' Xuất kho 출'!A:A,C268,' Xuất kho 출'!E:E)</f>
        <v>0</v>
      </c>
      <c r="M268" s="120"/>
      <c r="N268" s="130"/>
      <c r="O268" s="148"/>
      <c r="P268" s="149"/>
      <c r="Q268" s="131">
        <f t="shared" si="9"/>
        <v>120</v>
      </c>
      <c r="R268" s="124">
        <v>120</v>
      </c>
      <c r="S268" s="124"/>
      <c r="T268" s="125">
        <f t="shared" si="8"/>
        <v>0</v>
      </c>
      <c r="U268" s="126"/>
      <c r="V268" s="132"/>
      <c r="W268" s="127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</row>
    <row r="269" spans="1:38" s="90" customFormat="1" ht="25.5" customHeight="1">
      <c r="A269" s="95"/>
      <c r="B269" s="146" t="s">
        <v>533</v>
      </c>
      <c r="C269" s="136" t="s">
        <v>1535</v>
      </c>
      <c r="D269" s="137" t="s">
        <v>434</v>
      </c>
      <c r="E269" s="114" t="s">
        <v>566</v>
      </c>
      <c r="F269" s="142"/>
      <c r="G269" s="142" t="s">
        <v>636</v>
      </c>
      <c r="H269" s="335" t="s">
        <v>552</v>
      </c>
      <c r="I269" s="147"/>
      <c r="J269" s="129">
        <v>510</v>
      </c>
      <c r="K269" s="118">
        <f>+SUMIF('Nhập kho  입'!A:A,C269,'Nhập kho  입'!E:E)</f>
        <v>0</v>
      </c>
      <c r="L269" s="119">
        <f>+SUMIF(' Xuất kho 출'!A:A,C269,' Xuất kho 출'!E:E)</f>
        <v>210</v>
      </c>
      <c r="M269" s="120"/>
      <c r="N269" s="130"/>
      <c r="O269" s="148"/>
      <c r="P269" s="149"/>
      <c r="Q269" s="131">
        <f t="shared" si="9"/>
        <v>300</v>
      </c>
      <c r="R269" s="124">
        <f>8*30+9*30</f>
        <v>510</v>
      </c>
      <c r="S269" s="124"/>
      <c r="T269" s="125"/>
      <c r="U269" s="126"/>
      <c r="V269" s="132"/>
      <c r="W269" s="127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</row>
    <row r="270" spans="1:38" s="90" customFormat="1" ht="25.5" customHeight="1">
      <c r="A270" s="95"/>
      <c r="B270" s="146" t="s">
        <v>533</v>
      </c>
      <c r="C270" s="136" t="s">
        <v>1231</v>
      </c>
      <c r="D270" s="137" t="s">
        <v>275</v>
      </c>
      <c r="E270" s="114" t="s">
        <v>607</v>
      </c>
      <c r="F270" s="142">
        <v>125150</v>
      </c>
      <c r="G270" s="142" t="s">
        <v>636</v>
      </c>
      <c r="H270" s="335" t="s">
        <v>552</v>
      </c>
      <c r="I270" s="147"/>
      <c r="J270" s="129">
        <v>0</v>
      </c>
      <c r="K270" s="118">
        <f>+SUMIF('Nhập kho  입'!A:A,C270,'Nhập kho  입'!E:E)</f>
        <v>840</v>
      </c>
      <c r="L270" s="119">
        <f>+SUMIF(' Xuất kho 출'!A:A,C270,' Xuất kho 출'!E:E)</f>
        <v>0</v>
      </c>
      <c r="M270" s="120"/>
      <c r="N270" s="130"/>
      <c r="O270" s="148"/>
      <c r="P270" s="149"/>
      <c r="Q270" s="131">
        <f t="shared" si="9"/>
        <v>840</v>
      </c>
      <c r="R270" s="124"/>
      <c r="S270" s="124"/>
      <c r="T270" s="125"/>
      <c r="U270" s="126"/>
      <c r="V270" s="132"/>
      <c r="W270" s="127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</row>
    <row r="271" spans="1:38" s="90" customFormat="1" ht="25.5" customHeight="1">
      <c r="A271" s="95"/>
      <c r="B271" s="146" t="s">
        <v>533</v>
      </c>
      <c r="C271" s="136" t="s">
        <v>276</v>
      </c>
      <c r="D271" s="137" t="s">
        <v>275</v>
      </c>
      <c r="E271" s="114" t="s">
        <v>587</v>
      </c>
      <c r="F271" s="142"/>
      <c r="G271" s="142" t="s">
        <v>636</v>
      </c>
      <c r="H271" s="335" t="s">
        <v>552</v>
      </c>
      <c r="I271" s="147"/>
      <c r="J271" s="129">
        <v>270</v>
      </c>
      <c r="K271" s="118">
        <f>+SUMIF('Nhập kho  입'!A:A,C271,'Nhập kho  입'!E:E)</f>
        <v>0</v>
      </c>
      <c r="L271" s="119">
        <f>+SUMIF(' Xuất kho 출'!A:A,C271,' Xuất kho 출'!E:E)</f>
        <v>0</v>
      </c>
      <c r="M271" s="120"/>
      <c r="N271" s="130"/>
      <c r="O271" s="148"/>
      <c r="P271" s="149"/>
      <c r="Q271" s="131">
        <f t="shared" si="9"/>
        <v>270</v>
      </c>
      <c r="R271" s="124">
        <v>210</v>
      </c>
      <c r="S271" s="124"/>
      <c r="T271" s="125"/>
      <c r="U271" s="126"/>
      <c r="V271" s="132"/>
      <c r="W271" s="127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</row>
    <row r="272" spans="1:38" s="90" customFormat="1" ht="25.5" hidden="1" customHeight="1">
      <c r="A272" s="95"/>
      <c r="B272" s="146" t="s">
        <v>533</v>
      </c>
      <c r="C272" s="136" t="s">
        <v>456</v>
      </c>
      <c r="D272" s="137" t="s">
        <v>457</v>
      </c>
      <c r="E272" s="114" t="s">
        <v>564</v>
      </c>
      <c r="F272" s="142"/>
      <c r="G272" s="142"/>
      <c r="H272" s="335" t="s">
        <v>538</v>
      </c>
      <c r="I272" s="147"/>
      <c r="J272" s="129">
        <v>0</v>
      </c>
      <c r="K272" s="118">
        <f>+SUMIF('Nhập kho  입'!A:A,C272,'Nhập kho  입'!E:E)</f>
        <v>0</v>
      </c>
      <c r="L272" s="119">
        <f>+SUMIF(' Xuất kho 출'!A:A,C272,' Xuất kho 출'!E:E)</f>
        <v>0</v>
      </c>
      <c r="M272" s="120"/>
      <c r="N272" s="130"/>
      <c r="O272" s="148"/>
      <c r="P272" s="149"/>
      <c r="Q272" s="131">
        <f t="shared" si="9"/>
        <v>0</v>
      </c>
      <c r="R272" s="124"/>
      <c r="S272" s="124"/>
      <c r="T272" s="125">
        <f t="shared" si="8"/>
        <v>0</v>
      </c>
      <c r="U272" s="126"/>
      <c r="V272" s="132"/>
      <c r="W272" s="127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</row>
    <row r="273" spans="1:38 16368:16368" s="90" customFormat="1" ht="31.5" customHeight="1">
      <c r="A273" s="95"/>
      <c r="B273" s="408" t="s">
        <v>646</v>
      </c>
      <c r="C273" s="409"/>
      <c r="D273" s="409"/>
      <c r="E273" s="409"/>
      <c r="F273" s="409"/>
      <c r="G273" s="409"/>
      <c r="H273" s="409"/>
      <c r="I273" s="410"/>
      <c r="J273" s="155">
        <f>SUM(J5:J272)</f>
        <v>483439</v>
      </c>
      <c r="K273" s="155">
        <f>SUM(K5:K272)</f>
        <v>614022</v>
      </c>
      <c r="L273" s="155">
        <f>SUM(L5:L272)</f>
        <v>492210</v>
      </c>
      <c r="M273" s="156">
        <f>SUM(M5:M272)</f>
        <v>37400</v>
      </c>
      <c r="N273" s="157">
        <f>SUM(N5:P272)</f>
        <v>0</v>
      </c>
      <c r="O273" s="157">
        <f>SUM(O5:Q272)</f>
        <v>612251</v>
      </c>
      <c r="P273" s="157">
        <f>SUM(P5:R272)</f>
        <v>1104660</v>
      </c>
      <c r="Q273" s="157">
        <f>SUM(Q5:Q272)-M273</f>
        <v>574851</v>
      </c>
      <c r="R273" s="158"/>
      <c r="S273" s="158"/>
      <c r="T273" s="158"/>
      <c r="U273" s="126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</row>
    <row r="274" spans="1:38 16368:16368" ht="20.25" customHeight="1">
      <c r="C274" s="159"/>
      <c r="D274" s="160"/>
      <c r="E274" s="159"/>
      <c r="F274" s="159"/>
      <c r="G274" s="159"/>
      <c r="H274" s="159"/>
      <c r="I274" s="161"/>
      <c r="J274" s="162"/>
      <c r="T274" s="163"/>
      <c r="U274" s="164"/>
      <c r="V274" s="165"/>
      <c r="W274" s="166"/>
      <c r="X274" s="166"/>
      <c r="Y274" s="166"/>
      <c r="Z274" s="166"/>
      <c r="AA274" s="166"/>
      <c r="AB274" s="166"/>
      <c r="AC274" s="166"/>
      <c r="AD274" s="166"/>
      <c r="AE274" s="166"/>
      <c r="AF274" s="166"/>
      <c r="AG274" s="166"/>
      <c r="AH274" s="166"/>
      <c r="AI274" s="166"/>
      <c r="AJ274" s="166"/>
      <c r="AK274" s="166"/>
      <c r="AL274" s="166"/>
    </row>
    <row r="275" spans="1:38 16368:16368" ht="13.5" customHeight="1">
      <c r="C275" s="159"/>
      <c r="D275" s="160"/>
      <c r="E275" s="159"/>
      <c r="F275" s="159"/>
      <c r="G275" s="159"/>
      <c r="H275" s="159"/>
      <c r="I275" s="159"/>
      <c r="J275" s="162"/>
      <c r="K275" s="159"/>
      <c r="L275" s="159"/>
      <c r="M275" s="159"/>
      <c r="N275" s="167"/>
      <c r="O275" s="159"/>
      <c r="P275" s="159"/>
      <c r="Q275" s="168"/>
      <c r="R275" s="169"/>
      <c r="S275" s="169"/>
      <c r="U275" s="164"/>
      <c r="V275" s="165"/>
      <c r="W275" s="166"/>
      <c r="X275" s="166"/>
      <c r="Y275" s="166"/>
      <c r="Z275" s="166"/>
      <c r="AA275" s="166"/>
      <c r="AB275" s="166"/>
      <c r="AC275" s="166"/>
      <c r="AD275" s="166"/>
      <c r="AE275" s="166"/>
      <c r="AF275" s="166"/>
      <c r="AG275" s="166"/>
      <c r="AH275" s="166"/>
      <c r="AI275" s="166"/>
      <c r="AJ275" s="166"/>
      <c r="AK275" s="166"/>
      <c r="AL275" s="166"/>
    </row>
    <row r="276" spans="1:38 16368:16368" ht="14.25" customHeight="1">
      <c r="B276" s="96" t="s">
        <v>491</v>
      </c>
      <c r="C276" s="170"/>
      <c r="D276" s="171"/>
      <c r="E276" s="170"/>
      <c r="F276" s="172"/>
      <c r="G276" s="172"/>
      <c r="H276" s="173"/>
      <c r="I276" s="159"/>
      <c r="T276" s="174"/>
      <c r="U276" s="164"/>
      <c r="V276" s="165"/>
      <c r="W276" s="166"/>
      <c r="X276" s="166"/>
      <c r="Y276" s="166"/>
      <c r="Z276" s="166"/>
      <c r="AA276" s="166"/>
      <c r="AB276" s="166"/>
      <c r="AC276" s="166"/>
      <c r="AD276" s="166"/>
      <c r="AE276" s="166"/>
      <c r="AF276" s="166"/>
      <c r="AG276" s="166"/>
      <c r="AH276" s="166"/>
      <c r="AI276" s="166"/>
      <c r="AJ276" s="166"/>
      <c r="AK276" s="166"/>
      <c r="AL276" s="166"/>
    </row>
    <row r="277" spans="1:38 16368:16368" ht="13.5" customHeight="1">
      <c r="C277" s="175"/>
      <c r="D277" s="176"/>
      <c r="E277" s="175"/>
      <c r="F277" s="159"/>
      <c r="G277" s="167"/>
      <c r="H277" s="177"/>
      <c r="I277" s="159"/>
      <c r="N277" s="178"/>
      <c r="T277" s="163"/>
      <c r="W277" s="166"/>
      <c r="X277" s="166"/>
      <c r="Y277" s="166"/>
      <c r="Z277" s="166"/>
      <c r="AA277" s="166"/>
      <c r="AB277" s="166"/>
      <c r="AC277" s="166"/>
      <c r="AD277" s="166"/>
      <c r="AE277" s="166"/>
      <c r="AF277" s="166"/>
      <c r="AG277" s="166"/>
      <c r="AH277" s="166"/>
      <c r="AI277" s="166"/>
      <c r="AJ277" s="166"/>
      <c r="AK277" s="166"/>
      <c r="AL277" s="166"/>
    </row>
    <row r="278" spans="1:38 16368:16368" ht="13.5" customHeight="1">
      <c r="C278" s="175"/>
      <c r="D278" s="176"/>
      <c r="E278" s="175"/>
      <c r="F278" s="159"/>
      <c r="G278" s="167"/>
      <c r="H278" s="177"/>
      <c r="I278" s="159"/>
    </row>
    <row r="279" spans="1:38 16368:16368" ht="13.5" customHeight="1">
      <c r="C279" s="175"/>
      <c r="D279" s="176"/>
      <c r="E279" s="175"/>
      <c r="F279" s="159"/>
      <c r="G279" s="167"/>
      <c r="H279" s="177"/>
      <c r="I279" s="159"/>
    </row>
    <row r="280" spans="1:38 16368:16368" ht="13.5" customHeight="1">
      <c r="C280" s="175"/>
      <c r="D280" s="176"/>
      <c r="E280" s="175"/>
      <c r="F280" s="159"/>
      <c r="G280" s="167"/>
      <c r="H280" s="177"/>
      <c r="I280" s="159"/>
      <c r="J280" s="179"/>
      <c r="L280" s="179"/>
      <c r="P280" s="179"/>
      <c r="Q280" s="168"/>
      <c r="R280" s="169"/>
      <c r="S280" s="169"/>
    </row>
    <row r="281" spans="1:38 16368:16368" s="93" customFormat="1" ht="18.75" customHeight="1">
      <c r="A281" s="95"/>
      <c r="B281" s="96"/>
      <c r="C281" s="180" t="s">
        <v>491</v>
      </c>
      <c r="D281" s="181"/>
      <c r="E281" s="180"/>
      <c r="F281" s="182"/>
      <c r="G281" s="183"/>
      <c r="H281" s="184"/>
      <c r="I281" s="159"/>
      <c r="J281" s="179"/>
      <c r="K281" s="98"/>
      <c r="L281" s="98"/>
      <c r="M281" s="185"/>
      <c r="N281" s="98"/>
      <c r="O281" s="98"/>
      <c r="P281" s="179"/>
      <c r="Q281" s="186"/>
      <c r="R281" s="187"/>
      <c r="S281" s="187"/>
      <c r="T281" s="101"/>
      <c r="U281" s="102"/>
      <c r="V281" s="103"/>
      <c r="W281" s="103"/>
    </row>
    <row r="282" spans="1:38 16368:16368" s="93" customFormat="1" ht="15.75" customHeight="1">
      <c r="A282" s="95"/>
      <c r="B282" s="96"/>
      <c r="C282" s="172"/>
      <c r="D282" s="188"/>
      <c r="E282" s="172"/>
      <c r="F282" s="180"/>
      <c r="G282" s="180"/>
      <c r="H282" s="180"/>
      <c r="I282" s="159"/>
      <c r="J282" s="189"/>
      <c r="K282" s="189"/>
      <c r="L282" s="179"/>
      <c r="M282" s="179"/>
      <c r="N282" s="179"/>
      <c r="O282" s="179"/>
      <c r="P282" s="179"/>
      <c r="Q282" s="186"/>
      <c r="R282" s="187"/>
      <c r="S282" s="187"/>
      <c r="T282" s="101"/>
      <c r="U282" s="102"/>
      <c r="V282" s="103"/>
      <c r="W282" s="103"/>
    </row>
    <row r="283" spans="1:38 16368:16368" s="93" customFormat="1" ht="15.75" customHeight="1">
      <c r="A283" s="95"/>
      <c r="B283" s="96"/>
      <c r="C283" s="180"/>
      <c r="D283" s="181"/>
      <c r="E283" s="180"/>
      <c r="F283" s="179"/>
      <c r="G283" s="179"/>
      <c r="H283" s="179"/>
      <c r="I283" s="161"/>
      <c r="J283" s="179"/>
      <c r="K283" s="179"/>
      <c r="L283" s="179"/>
      <c r="M283" s="179"/>
      <c r="N283" s="179"/>
      <c r="O283" s="179"/>
      <c r="P283" s="179"/>
      <c r="Q283" s="190"/>
      <c r="R283" s="166"/>
      <c r="S283" s="166"/>
      <c r="T283" s="101"/>
      <c r="U283" s="102"/>
      <c r="V283" s="103"/>
      <c r="Z283" s="93" t="s">
        <v>491</v>
      </c>
    </row>
    <row r="284" spans="1:38 16368:16368" s="93" customFormat="1">
      <c r="A284" s="95"/>
      <c r="B284" s="96"/>
      <c r="C284" s="180"/>
      <c r="D284" s="181"/>
      <c r="E284" s="180"/>
      <c r="F284" s="179"/>
      <c r="G284" s="179"/>
      <c r="H284" s="179"/>
      <c r="I284" s="179"/>
      <c r="J284" s="189"/>
      <c r="K284" s="179"/>
      <c r="L284" s="179"/>
      <c r="M284" s="189"/>
      <c r="N284" s="189"/>
      <c r="O284" s="179"/>
      <c r="P284" s="189"/>
      <c r="Q284" s="186"/>
      <c r="R284" s="187"/>
      <c r="S284" s="187"/>
      <c r="T284" s="101"/>
      <c r="U284" s="102"/>
      <c r="V284" s="103"/>
      <c r="W284" s="103"/>
      <c r="XEN284" s="93">
        <f>7*80</f>
        <v>560</v>
      </c>
    </row>
    <row r="285" spans="1:38 16368:16368" s="93" customFormat="1" ht="19.5" customHeight="1">
      <c r="A285" s="95"/>
      <c r="B285" s="96"/>
      <c r="C285" s="421"/>
      <c r="D285" s="191"/>
      <c r="E285" s="421"/>
      <c r="F285" s="421"/>
      <c r="G285" s="428"/>
      <c r="H285" s="428"/>
      <c r="I285" s="179"/>
      <c r="J285" s="189"/>
      <c r="K285" s="189"/>
      <c r="L285" s="179"/>
      <c r="M285" s="189"/>
      <c r="N285" s="189"/>
      <c r="O285" s="179"/>
      <c r="P285" s="179"/>
      <c r="Q285" s="186"/>
      <c r="R285" s="187"/>
      <c r="S285" s="187"/>
      <c r="T285" s="101"/>
      <c r="U285" s="102"/>
      <c r="V285" s="103"/>
      <c r="W285" s="103"/>
      <c r="XEN285" s="93">
        <f>14*80</f>
        <v>1120</v>
      </c>
    </row>
    <row r="286" spans="1:38 16368:16368" s="93" customFormat="1" ht="19.5" customHeight="1">
      <c r="A286" s="95"/>
      <c r="B286" s="96"/>
      <c r="C286" s="421"/>
      <c r="D286" s="191"/>
      <c r="E286" s="421"/>
      <c r="F286" s="421"/>
      <c r="G286" s="428"/>
      <c r="H286" s="428"/>
      <c r="I286" s="179"/>
      <c r="J286" s="189"/>
      <c r="K286" s="189"/>
      <c r="L286" s="179"/>
      <c r="M286" s="189"/>
      <c r="N286" s="189"/>
      <c r="O286" s="179"/>
      <c r="P286" s="179"/>
      <c r="Q286" s="186"/>
      <c r="R286" s="187"/>
      <c r="S286" s="187"/>
      <c r="T286" s="101"/>
      <c r="U286" s="102"/>
      <c r="V286" s="103"/>
      <c r="W286" s="103"/>
    </row>
    <row r="287" spans="1:38 16368:16368" s="93" customFormat="1" ht="11.25" customHeight="1">
      <c r="A287" s="95"/>
      <c r="B287" s="96"/>
      <c r="C287" s="175"/>
      <c r="D287" s="176"/>
      <c r="E287" s="175"/>
      <c r="F287" s="175"/>
      <c r="G287" s="192"/>
      <c r="H287" s="192"/>
      <c r="I287" s="179"/>
      <c r="J287" s="179"/>
      <c r="K287" s="179"/>
      <c r="L287" s="185"/>
      <c r="M287" s="179"/>
      <c r="N287" s="179"/>
      <c r="O287" s="179"/>
      <c r="P287" s="179"/>
      <c r="Q287" s="193"/>
      <c r="R287" s="194"/>
      <c r="S287" s="194"/>
      <c r="T287" s="101"/>
      <c r="U287" s="102"/>
      <c r="V287" s="103"/>
      <c r="W287" s="103"/>
    </row>
    <row r="288" spans="1:38 16368:16368" s="93" customFormat="1" ht="11.25" customHeight="1">
      <c r="A288" s="95" t="s">
        <v>494</v>
      </c>
      <c r="B288" s="96"/>
      <c r="C288" s="175"/>
      <c r="D288" s="176"/>
      <c r="E288" s="175"/>
      <c r="F288" s="175" t="s">
        <v>647</v>
      </c>
      <c r="G288" s="192"/>
      <c r="H288" s="192"/>
      <c r="I288" s="179"/>
      <c r="J288" s="179"/>
      <c r="K288" s="179"/>
      <c r="L288" s="185"/>
      <c r="M288" s="185"/>
      <c r="N288" s="179"/>
      <c r="O288" s="179"/>
      <c r="P288" s="179"/>
      <c r="Q288" s="186"/>
      <c r="R288" s="187"/>
      <c r="S288" s="187"/>
      <c r="T288" s="101"/>
      <c r="U288" s="102"/>
      <c r="V288" s="103"/>
      <c r="W288" s="103"/>
    </row>
    <row r="289" spans="1:25" s="93" customFormat="1" ht="11.25" customHeight="1">
      <c r="A289" s="95"/>
      <c r="B289" s="96"/>
      <c r="C289" s="175"/>
      <c r="D289" s="176"/>
      <c r="E289" s="175"/>
      <c r="F289" s="175"/>
      <c r="G289" s="192"/>
      <c r="H289" s="192"/>
      <c r="I289" s="195"/>
      <c r="J289" s="195"/>
      <c r="K289" s="195"/>
      <c r="L289" s="179"/>
      <c r="M289" s="185"/>
      <c r="N289" s="179"/>
      <c r="O289" s="179"/>
      <c r="P289" s="179"/>
      <c r="Q289" s="186"/>
      <c r="R289" s="187"/>
      <c r="S289" s="187"/>
      <c r="T289" s="101"/>
      <c r="U289" s="102"/>
      <c r="V289" s="103"/>
      <c r="W289" s="103"/>
    </row>
    <row r="290" spans="1:25" s="93" customFormat="1" ht="11.25" customHeight="1">
      <c r="A290" s="95"/>
      <c r="B290" s="96"/>
      <c r="C290" s="175"/>
      <c r="D290" s="176"/>
      <c r="E290" s="175"/>
      <c r="F290" s="175"/>
      <c r="G290" s="192"/>
      <c r="H290" s="192"/>
      <c r="I290" s="159"/>
      <c r="J290" s="179"/>
      <c r="K290" s="179"/>
      <c r="L290" s="179"/>
      <c r="M290" s="179"/>
      <c r="N290" s="179"/>
      <c r="O290" s="179"/>
      <c r="P290" s="179"/>
      <c r="Q290" s="186"/>
      <c r="R290" s="187"/>
      <c r="S290" s="187"/>
      <c r="T290" s="101"/>
      <c r="U290" s="102"/>
      <c r="V290" s="103"/>
      <c r="W290" s="103"/>
      <c r="Y290" s="100"/>
    </row>
    <row r="291" spans="1:25" s="93" customFormat="1" ht="11.25" customHeight="1">
      <c r="A291" s="95"/>
      <c r="B291" s="96"/>
      <c r="C291" s="175"/>
      <c r="D291" s="176"/>
      <c r="E291" s="175"/>
      <c r="F291" s="175"/>
      <c r="G291" s="192"/>
      <c r="H291" s="192"/>
      <c r="I291" s="159"/>
      <c r="J291" s="179"/>
      <c r="K291" s="179"/>
      <c r="L291" s="179"/>
      <c r="M291" s="179"/>
      <c r="N291" s="179"/>
      <c r="O291" s="179"/>
      <c r="P291" s="179"/>
      <c r="Q291" s="186"/>
      <c r="R291" s="187"/>
      <c r="S291" s="187"/>
      <c r="T291" s="101"/>
      <c r="U291" s="102"/>
      <c r="V291" s="103"/>
      <c r="W291" s="103"/>
      <c r="Y291" s="100"/>
    </row>
    <row r="292" spans="1:25" s="93" customFormat="1" ht="11.25" customHeight="1">
      <c r="A292" s="95"/>
      <c r="B292" s="96"/>
      <c r="C292" s="175"/>
      <c r="D292" s="176"/>
      <c r="E292" s="175"/>
      <c r="F292" s="175"/>
      <c r="G292" s="192"/>
      <c r="H292" s="192"/>
      <c r="I292" s="159"/>
      <c r="J292" s="179"/>
      <c r="K292" s="179"/>
      <c r="L292" s="179"/>
      <c r="M292" s="98"/>
      <c r="N292" s="98"/>
      <c r="O292" s="98"/>
      <c r="P292" s="98"/>
      <c r="Q292" s="196"/>
      <c r="T292" s="101"/>
      <c r="U292" s="102"/>
      <c r="V292" s="103"/>
      <c r="W292" s="103"/>
      <c r="Y292" s="100"/>
    </row>
    <row r="293" spans="1:25" s="93" customFormat="1" ht="11.25" customHeight="1">
      <c r="A293" s="95"/>
      <c r="B293" s="96"/>
      <c r="C293" s="175"/>
      <c r="D293" s="176"/>
      <c r="E293" s="175"/>
      <c r="F293" s="175"/>
      <c r="G293" s="192"/>
      <c r="H293" s="192"/>
      <c r="I293" s="159"/>
      <c r="J293" s="179"/>
      <c r="K293" s="179"/>
      <c r="L293" s="179"/>
      <c r="M293" s="98"/>
      <c r="N293" s="98"/>
      <c r="O293" s="98"/>
      <c r="P293" s="98"/>
      <c r="Q293" s="196"/>
      <c r="T293" s="101"/>
      <c r="U293" s="102"/>
      <c r="V293" s="103"/>
      <c r="W293" s="103"/>
      <c r="Y293" s="100"/>
    </row>
    <row r="294" spans="1:25" s="93" customFormat="1" ht="11.25" customHeight="1">
      <c r="A294" s="95"/>
      <c r="B294" s="96"/>
      <c r="C294" s="175"/>
      <c r="D294" s="176"/>
      <c r="E294" s="175"/>
      <c r="F294" s="175"/>
      <c r="G294" s="192"/>
      <c r="H294" s="192"/>
      <c r="I294" s="159"/>
      <c r="J294" s="179"/>
      <c r="K294" s="179"/>
      <c r="L294" s="179"/>
      <c r="M294" s="98"/>
      <c r="N294" s="98"/>
      <c r="O294" s="98"/>
      <c r="P294" s="98"/>
      <c r="Q294" s="196"/>
      <c r="T294" s="101"/>
      <c r="U294" s="102"/>
      <c r="V294" s="103"/>
      <c r="W294" s="103"/>
      <c r="Y294" s="100"/>
    </row>
    <row r="295" spans="1:25" s="93" customFormat="1" ht="11.25" customHeight="1">
      <c r="A295" s="95"/>
      <c r="B295" s="96"/>
      <c r="C295" s="175"/>
      <c r="D295" s="176"/>
      <c r="E295" s="175"/>
      <c r="F295" s="175"/>
      <c r="G295" s="192"/>
      <c r="H295" s="192"/>
      <c r="I295" s="159"/>
      <c r="J295" s="179"/>
      <c r="K295" s="179"/>
      <c r="L295" s="179"/>
      <c r="M295" s="98"/>
      <c r="N295" s="98"/>
      <c r="O295" s="98"/>
      <c r="P295" s="98"/>
      <c r="Q295" s="196"/>
      <c r="T295" s="101"/>
      <c r="U295" s="102"/>
      <c r="V295" s="103"/>
      <c r="W295" s="103"/>
      <c r="Y295" s="100"/>
    </row>
    <row r="296" spans="1:25" s="93" customFormat="1" ht="11.25" customHeight="1">
      <c r="A296" s="95"/>
      <c r="B296" s="96"/>
      <c r="C296" s="175"/>
      <c r="D296" s="176"/>
      <c r="E296" s="175"/>
      <c r="F296" s="175"/>
      <c r="G296" s="197"/>
      <c r="H296" s="192"/>
      <c r="I296" s="159"/>
      <c r="J296" s="179"/>
      <c r="K296" s="179"/>
      <c r="L296" s="179"/>
      <c r="M296" s="98"/>
      <c r="N296" s="98"/>
      <c r="O296" s="98"/>
      <c r="P296" s="98"/>
      <c r="Q296" s="196"/>
      <c r="T296" s="101"/>
      <c r="U296" s="102"/>
      <c r="V296" s="103"/>
      <c r="W296" s="103"/>
      <c r="Y296" s="100"/>
    </row>
    <row r="297" spans="1:25" s="94" customFormat="1" ht="11.25" customHeight="1">
      <c r="A297" s="95"/>
      <c r="B297" s="96"/>
      <c r="C297" s="175"/>
      <c r="D297" s="176"/>
      <c r="E297" s="175"/>
      <c r="F297" s="175"/>
      <c r="G297" s="192"/>
      <c r="H297" s="192"/>
      <c r="I297" s="159"/>
      <c r="J297" s="179"/>
      <c r="K297" s="179"/>
      <c r="L297" s="179"/>
      <c r="M297" s="98"/>
      <c r="N297" s="98"/>
      <c r="O297" s="98"/>
      <c r="P297" s="98"/>
      <c r="Q297" s="198"/>
      <c r="R297" s="199"/>
      <c r="S297" s="199"/>
      <c r="T297" s="101"/>
      <c r="U297" s="102"/>
      <c r="V297" s="103"/>
      <c r="W297" s="103"/>
      <c r="Y297" s="100"/>
    </row>
    <row r="298" spans="1:25" s="94" customFormat="1" ht="11.25" customHeight="1">
      <c r="A298" s="95"/>
      <c r="B298" s="96"/>
      <c r="C298" s="175"/>
      <c r="D298" s="176"/>
      <c r="E298" s="175"/>
      <c r="F298" s="175"/>
      <c r="G298" s="192"/>
      <c r="H298" s="192"/>
      <c r="I298" s="159"/>
      <c r="J298" s="179"/>
      <c r="K298" s="179"/>
      <c r="L298" s="179"/>
      <c r="M298" s="98"/>
      <c r="N298" s="98"/>
      <c r="O298" s="98"/>
      <c r="P298" s="98"/>
      <c r="Q298" s="198"/>
      <c r="R298" s="199"/>
      <c r="S298" s="199"/>
      <c r="T298" s="101"/>
      <c r="U298" s="102"/>
      <c r="V298" s="103"/>
      <c r="W298" s="103"/>
      <c r="Y298" s="100"/>
    </row>
    <row r="299" spans="1:25" s="94" customFormat="1" ht="11.25" customHeight="1">
      <c r="A299" s="95"/>
      <c r="B299" s="96"/>
      <c r="C299" s="175"/>
      <c r="D299" s="176"/>
      <c r="E299" s="175"/>
      <c r="F299" s="175"/>
      <c r="G299" s="192"/>
      <c r="H299" s="192"/>
      <c r="I299" s="159"/>
      <c r="J299" s="179"/>
      <c r="K299" s="179"/>
      <c r="L299" s="98"/>
      <c r="M299" s="98"/>
      <c r="N299" s="98"/>
      <c r="O299" s="98"/>
      <c r="P299" s="98"/>
      <c r="Q299" s="198"/>
      <c r="R299" s="199"/>
      <c r="S299" s="199"/>
      <c r="T299" s="101"/>
      <c r="U299" s="102"/>
      <c r="V299" s="103"/>
      <c r="W299" s="103"/>
    </row>
    <row r="300" spans="1:25" s="94" customFormat="1" ht="11.25" customHeight="1">
      <c r="A300" s="95"/>
      <c r="B300" s="96"/>
      <c r="C300" s="175"/>
      <c r="D300" s="176"/>
      <c r="E300" s="175"/>
      <c r="F300" s="175"/>
      <c r="G300" s="192"/>
      <c r="H300" s="192"/>
      <c r="I300" s="159"/>
      <c r="J300" s="179"/>
      <c r="K300" s="179"/>
      <c r="L300" s="98" t="s">
        <v>492</v>
      </c>
      <c r="M300" s="98"/>
      <c r="N300" s="98"/>
      <c r="O300" s="98"/>
      <c r="P300" s="98"/>
      <c r="Q300" s="198"/>
      <c r="R300" s="199"/>
      <c r="S300" s="199"/>
      <c r="T300" s="101"/>
      <c r="U300" s="102"/>
      <c r="V300" s="103"/>
      <c r="W300" s="103"/>
    </row>
    <row r="301" spans="1:25" s="94" customFormat="1" ht="11.25" customHeight="1">
      <c r="A301" s="95"/>
      <c r="B301" s="96"/>
      <c r="C301" s="175"/>
      <c r="D301" s="176"/>
      <c r="E301" s="175"/>
      <c r="F301" s="175"/>
      <c r="G301" s="192"/>
      <c r="H301" s="192"/>
      <c r="I301" s="159"/>
      <c r="J301" s="179"/>
      <c r="K301" s="179"/>
      <c r="L301" s="98"/>
      <c r="M301" s="98"/>
      <c r="N301" s="98"/>
      <c r="O301" s="98"/>
      <c r="P301" s="98"/>
      <c r="Q301" s="198"/>
      <c r="R301" s="199"/>
      <c r="S301" s="199"/>
      <c r="T301" s="101"/>
      <c r="U301" s="102"/>
      <c r="V301" s="103"/>
      <c r="W301" s="103"/>
    </row>
    <row r="302" spans="1:25" s="94" customFormat="1" ht="11.25" customHeight="1">
      <c r="A302" s="95"/>
      <c r="B302" s="96"/>
      <c r="C302" s="175"/>
      <c r="D302" s="176"/>
      <c r="E302" s="175"/>
      <c r="F302" s="175"/>
      <c r="G302" s="192"/>
      <c r="H302" s="192"/>
      <c r="I302" s="159"/>
      <c r="J302" s="179"/>
      <c r="K302" s="179"/>
      <c r="L302" s="98"/>
      <c r="M302" s="98"/>
      <c r="N302" s="98"/>
      <c r="O302" s="98"/>
      <c r="P302" s="98"/>
      <c r="Q302" s="99"/>
      <c r="R302" s="100"/>
      <c r="S302" s="100"/>
      <c r="T302" s="101"/>
      <c r="U302" s="102"/>
      <c r="V302" s="103"/>
      <c r="W302" s="103"/>
    </row>
    <row r="303" spans="1:25" s="94" customFormat="1" ht="11.25" customHeight="1">
      <c r="A303" s="95"/>
      <c r="B303" s="96"/>
      <c r="C303" s="175"/>
      <c r="D303" s="176"/>
      <c r="E303" s="175"/>
      <c r="F303" s="175"/>
      <c r="G303" s="192"/>
      <c r="H303" s="192"/>
      <c r="I303" s="159"/>
      <c r="J303" s="179"/>
      <c r="K303" s="179"/>
      <c r="L303" s="98"/>
      <c r="M303" s="98"/>
      <c r="N303" s="98"/>
      <c r="O303" s="98"/>
      <c r="P303" s="98"/>
      <c r="Q303" s="99"/>
      <c r="R303" s="100"/>
      <c r="S303" s="100"/>
      <c r="T303" s="101"/>
      <c r="U303" s="102"/>
      <c r="V303" s="103"/>
      <c r="W303" s="103"/>
    </row>
    <row r="304" spans="1:25" s="94" customFormat="1" ht="11.25" customHeight="1">
      <c r="A304" s="95"/>
      <c r="B304" s="96"/>
      <c r="C304" s="175"/>
      <c r="D304" s="176"/>
      <c r="E304" s="175"/>
      <c r="F304" s="175"/>
      <c r="G304" s="192"/>
      <c r="H304" s="192"/>
      <c r="I304" s="159"/>
      <c r="J304" s="179"/>
      <c r="K304" s="179"/>
      <c r="L304" s="98"/>
      <c r="M304" s="98"/>
      <c r="N304" s="98"/>
      <c r="O304" s="98"/>
      <c r="P304" s="98"/>
      <c r="Q304" s="99"/>
      <c r="R304" s="100"/>
      <c r="S304" s="100"/>
      <c r="T304" s="101"/>
      <c r="U304" s="102"/>
      <c r="V304" s="103"/>
      <c r="W304" s="103"/>
    </row>
    <row r="305" spans="1:23" s="94" customFormat="1" ht="11.25" customHeight="1">
      <c r="A305" s="95"/>
      <c r="B305" s="96"/>
      <c r="C305" s="175"/>
      <c r="D305" s="176"/>
      <c r="E305" s="175"/>
      <c r="F305" s="175"/>
      <c r="G305" s="192"/>
      <c r="H305" s="192"/>
      <c r="I305" s="159"/>
      <c r="J305" s="179"/>
      <c r="K305" s="179"/>
      <c r="L305" s="98"/>
      <c r="M305" s="98"/>
      <c r="N305" s="98"/>
      <c r="O305" s="98"/>
      <c r="P305" s="98"/>
      <c r="Q305" s="99"/>
      <c r="R305" s="100"/>
      <c r="S305" s="100"/>
      <c r="T305" s="101"/>
      <c r="U305" s="102"/>
      <c r="V305" s="103"/>
      <c r="W305" s="103"/>
    </row>
    <row r="306" spans="1:23" s="94" customFormat="1" ht="11.25" customHeight="1">
      <c r="A306" s="95"/>
      <c r="B306" s="96"/>
      <c r="C306" s="175"/>
      <c r="D306" s="176"/>
      <c r="E306" s="175"/>
      <c r="F306" s="175"/>
      <c r="G306" s="192"/>
      <c r="H306" s="192"/>
      <c r="I306" s="159"/>
      <c r="J306" s="179"/>
      <c r="K306" s="179"/>
      <c r="L306" s="98"/>
      <c r="M306" s="98"/>
      <c r="N306" s="98"/>
      <c r="O306" s="98"/>
      <c r="P306" s="98"/>
      <c r="Q306" s="99"/>
      <c r="R306" s="100"/>
      <c r="S306" s="100"/>
      <c r="T306" s="101"/>
      <c r="U306" s="102"/>
      <c r="V306" s="103"/>
      <c r="W306" s="103"/>
    </row>
    <row r="307" spans="1:23" s="94" customFormat="1" ht="11.25" customHeight="1">
      <c r="A307" s="95"/>
      <c r="B307" s="96"/>
      <c r="C307" s="175"/>
      <c r="D307" s="176"/>
      <c r="E307" s="175"/>
      <c r="F307" s="175"/>
      <c r="G307" s="192"/>
      <c r="H307" s="192"/>
      <c r="I307" s="159"/>
      <c r="J307" s="179"/>
      <c r="K307" s="179"/>
      <c r="L307" s="98"/>
      <c r="M307" s="98"/>
      <c r="N307" s="98"/>
      <c r="O307" s="98"/>
      <c r="P307" s="98"/>
      <c r="Q307" s="99"/>
      <c r="R307" s="100"/>
      <c r="S307" s="100"/>
      <c r="T307" s="101"/>
      <c r="U307" s="102"/>
      <c r="V307" s="103"/>
      <c r="W307" s="103"/>
    </row>
    <row r="308" spans="1:23" s="94" customFormat="1" ht="11.25" customHeight="1">
      <c r="A308" s="95"/>
      <c r="B308" s="96"/>
      <c r="C308" s="175"/>
      <c r="D308" s="176"/>
      <c r="E308" s="175"/>
      <c r="F308" s="175"/>
      <c r="G308" s="192"/>
      <c r="H308" s="192"/>
      <c r="I308" s="159"/>
      <c r="J308" s="179"/>
      <c r="K308" s="179"/>
      <c r="L308" s="98"/>
      <c r="M308" s="98"/>
      <c r="N308" s="98"/>
      <c r="O308" s="98"/>
      <c r="P308" s="98"/>
      <c r="Q308" s="99"/>
      <c r="R308" s="100"/>
      <c r="S308" s="100"/>
      <c r="T308" s="101"/>
      <c r="U308" s="102"/>
      <c r="V308" s="103"/>
      <c r="W308" s="103"/>
    </row>
    <row r="309" spans="1:23" s="94" customFormat="1" ht="11.25" customHeight="1">
      <c r="A309" s="95"/>
      <c r="B309" s="96"/>
      <c r="C309" s="175"/>
      <c r="D309" s="176"/>
      <c r="E309" s="175"/>
      <c r="F309" s="175"/>
      <c r="G309" s="192"/>
      <c r="H309" s="192"/>
      <c r="I309" s="159"/>
      <c r="J309" s="179"/>
      <c r="K309" s="179"/>
      <c r="L309" s="98"/>
      <c r="M309" s="98"/>
      <c r="N309" s="98"/>
      <c r="O309" s="98"/>
      <c r="P309" s="98"/>
      <c r="Q309" s="99"/>
      <c r="R309" s="100"/>
      <c r="S309" s="100"/>
      <c r="T309" s="101"/>
      <c r="U309" s="102"/>
      <c r="V309" s="103"/>
      <c r="W309" s="103"/>
    </row>
    <row r="310" spans="1:23" s="94" customFormat="1" ht="11.25" customHeight="1">
      <c r="A310" s="95"/>
      <c r="B310" s="96"/>
      <c r="C310" s="175"/>
      <c r="D310" s="176"/>
      <c r="E310" s="175"/>
      <c r="F310" s="175"/>
      <c r="G310" s="192"/>
      <c r="H310" s="192"/>
      <c r="I310" s="159"/>
      <c r="J310" s="179"/>
      <c r="K310" s="179"/>
      <c r="L310" s="98"/>
      <c r="M310" s="98"/>
      <c r="N310" s="98"/>
      <c r="O310" s="98"/>
      <c r="P310" s="98"/>
      <c r="Q310" s="99"/>
      <c r="R310" s="100"/>
      <c r="S310" s="100"/>
      <c r="T310" s="101"/>
      <c r="U310" s="102"/>
      <c r="V310" s="103"/>
      <c r="W310" s="103"/>
    </row>
    <row r="311" spans="1:23" s="94" customFormat="1" ht="11.25" customHeight="1">
      <c r="A311" s="95"/>
      <c r="B311" s="96"/>
      <c r="C311" s="175"/>
      <c r="D311" s="176"/>
      <c r="E311" s="175"/>
      <c r="F311" s="175"/>
      <c r="G311" s="192"/>
      <c r="H311" s="192"/>
      <c r="I311" s="159"/>
      <c r="J311" s="179"/>
      <c r="K311" s="179"/>
      <c r="L311" s="98"/>
      <c r="M311" s="98"/>
      <c r="N311" s="98"/>
      <c r="O311" s="98"/>
      <c r="P311" s="98"/>
      <c r="Q311" s="99"/>
      <c r="R311" s="100"/>
      <c r="S311" s="100"/>
      <c r="T311" s="101"/>
      <c r="U311" s="102"/>
      <c r="V311" s="103"/>
      <c r="W311" s="103"/>
    </row>
    <row r="312" spans="1:23" s="94" customFormat="1" ht="11.25" customHeight="1">
      <c r="A312" s="95"/>
      <c r="B312" s="96"/>
      <c r="C312" s="175"/>
      <c r="D312" s="176"/>
      <c r="E312" s="175"/>
      <c r="F312" s="175"/>
      <c r="G312" s="192"/>
      <c r="H312" s="192"/>
      <c r="I312" s="159"/>
      <c r="J312" s="179"/>
      <c r="K312" s="179"/>
      <c r="L312" s="98"/>
      <c r="M312" s="98"/>
      <c r="N312" s="98"/>
      <c r="O312" s="98"/>
      <c r="P312" s="98"/>
      <c r="Q312" s="99"/>
      <c r="R312" s="100"/>
      <c r="S312" s="100"/>
      <c r="T312" s="101"/>
      <c r="U312" s="102"/>
      <c r="V312" s="103"/>
      <c r="W312" s="103"/>
    </row>
    <row r="313" spans="1:23" s="94" customFormat="1" ht="11.25" customHeight="1">
      <c r="A313" s="95"/>
      <c r="B313" s="96"/>
      <c r="C313" s="175"/>
      <c r="D313" s="176"/>
      <c r="E313" s="175"/>
      <c r="F313" s="175"/>
      <c r="G313" s="192"/>
      <c r="H313" s="192"/>
      <c r="I313" s="159"/>
      <c r="J313" s="179"/>
      <c r="K313" s="179"/>
      <c r="L313" s="98"/>
      <c r="M313" s="98"/>
      <c r="N313" s="98"/>
      <c r="O313" s="98"/>
      <c r="P313" s="98"/>
      <c r="Q313" s="99"/>
      <c r="R313" s="100"/>
      <c r="S313" s="100"/>
      <c r="T313" s="101"/>
      <c r="U313" s="102"/>
      <c r="V313" s="103"/>
      <c r="W313" s="103"/>
    </row>
  </sheetData>
  <autoFilter ref="A4:CG273">
    <filterColumn colId="16">
      <filters>
        <filter val="1.000"/>
        <filter val="1.050"/>
        <filter val="1.100"/>
        <filter val="1.200"/>
        <filter val="1.250"/>
        <filter val="1.300"/>
        <filter val="1.350"/>
        <filter val="1.400"/>
        <filter val="1.450"/>
        <filter val="1.500"/>
        <filter val="1.550"/>
        <filter val="1.600"/>
        <filter val="1.650"/>
        <filter val="1.700"/>
        <filter val="1.750"/>
        <filter val="1.800"/>
        <filter val="1.900"/>
        <filter val="100"/>
        <filter val="11.100"/>
        <filter val="11.150"/>
        <filter val="11.500"/>
        <filter val="11.750"/>
        <filter val="12.000"/>
        <filter val="12.200"/>
        <filter val="12.300"/>
        <filter val="120"/>
        <filter val="13.600"/>
        <filter val="150"/>
        <filter val="19.300"/>
        <filter val="2.000"/>
        <filter val="2.150"/>
        <filter val="2.200"/>
        <filter val="2.400"/>
        <filter val="2.460"/>
        <filter val="2.550"/>
        <filter val="2.600"/>
        <filter val="2.700"/>
        <filter val="2.800"/>
        <filter val="2.900"/>
        <filter val="200"/>
        <filter val="23.700"/>
        <filter val="24.700"/>
        <filter val="24.750"/>
        <filter val="25.200"/>
        <filter val="250"/>
        <filter val="270"/>
        <filter val="3.000"/>
        <filter val="3.200"/>
        <filter val="3.250"/>
        <filter val="3.300"/>
        <filter val="3.400"/>
        <filter val="3.450"/>
        <filter val="3.600"/>
        <filter val="3.650"/>
        <filter val="3.750"/>
        <filter val="3.800"/>
        <filter val="3.930"/>
        <filter val="30"/>
        <filter val="300"/>
        <filter val="35.820"/>
        <filter val="350"/>
        <filter val="360"/>
        <filter val="4.000"/>
        <filter val="4.100"/>
        <filter val="4.500"/>
        <filter val="4.550"/>
        <filter val="4.700"/>
        <filter val="4.750"/>
        <filter val="4.900"/>
        <filter val="4.950"/>
        <filter val="400"/>
        <filter val="425"/>
        <filter val="450"/>
        <filter val="5.050"/>
        <filter val="5.400"/>
        <filter val="5.600"/>
        <filter val="5.700"/>
        <filter val="50"/>
        <filter val="500"/>
        <filter val="550"/>
        <filter val="574.851"/>
        <filter val="6.100"/>
        <filter val="6.400"/>
        <filter val="600"/>
        <filter val="650"/>
        <filter val="7.000"/>
        <filter val="7.100"/>
        <filter val="7.950"/>
        <filter val="700"/>
        <filter val="750"/>
        <filter val="8.100"/>
        <filter val="8.250"/>
        <filter val="8.300"/>
        <filter val="8.550"/>
        <filter val="800"/>
        <filter val="840"/>
        <filter val="850"/>
        <filter val="9.300"/>
        <filter val="9.400"/>
        <filter val="9.700"/>
        <filter val="9.850"/>
        <filter val="900"/>
        <filter val="936"/>
      </filters>
    </filterColumn>
  </autoFilter>
  <mergeCells count="24">
    <mergeCell ref="S3:S4"/>
    <mergeCell ref="T3:T4"/>
    <mergeCell ref="V4:V5"/>
    <mergeCell ref="G285:G286"/>
    <mergeCell ref="H3:H4"/>
    <mergeCell ref="H285:H286"/>
    <mergeCell ref="I3:I4"/>
    <mergeCell ref="J3:J4"/>
    <mergeCell ref="C285:C286"/>
    <mergeCell ref="D3:D4"/>
    <mergeCell ref="E3:E4"/>
    <mergeCell ref="E285:E286"/>
    <mergeCell ref="F3:F4"/>
    <mergeCell ref="F285:F286"/>
    <mergeCell ref="B1:R1"/>
    <mergeCell ref="B2:C2"/>
    <mergeCell ref="L3:P3"/>
    <mergeCell ref="B273:I273"/>
    <mergeCell ref="B3:B4"/>
    <mergeCell ref="C3:C4"/>
    <mergeCell ref="G3:G4"/>
    <mergeCell ref="K3:K4"/>
    <mergeCell ref="Q3:Q4"/>
    <mergeCell ref="R3:R4"/>
  </mergeCells>
  <phoneticPr fontId="73" type="noConversion"/>
  <printOptions horizontalCentered="1"/>
  <pageMargins left="0" right="0" top="0" bottom="0" header="0" footer="0"/>
  <pageSetup paperSize="9" scale="12" orientation="portrait" r:id="rId1"/>
  <rowBreaks count="1" manualBreakCount="1">
    <brk id="257" max="19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1476"/>
  <sheetViews>
    <sheetView zoomScaleNormal="100" workbookViewId="0">
      <pane ySplit="1" topLeftCell="A915" activePane="bottomLeft" state="frozen"/>
      <selection pane="bottomLeft" activeCell="A919" sqref="A919:A933"/>
    </sheetView>
  </sheetViews>
  <sheetFormatPr defaultColWidth="9" defaultRowHeight="15"/>
  <cols>
    <col min="1" max="2" width="13" style="73" customWidth="1"/>
    <col min="3" max="3" width="19.75" style="8" customWidth="1"/>
    <col min="4" max="4" width="10.875" style="75" customWidth="1"/>
    <col min="5" max="5" width="10.875" style="76" customWidth="1"/>
    <col min="6" max="6" width="16" style="8" customWidth="1"/>
    <col min="7" max="16384" width="9" style="8"/>
  </cols>
  <sheetData>
    <row r="1" spans="1:5" s="73" customFormat="1" ht="14.25">
      <c r="A1" s="77" t="s">
        <v>648</v>
      </c>
      <c r="B1" s="77" t="s">
        <v>649</v>
      </c>
      <c r="C1" s="77" t="s">
        <v>650</v>
      </c>
      <c r="D1" s="78" t="s">
        <v>651</v>
      </c>
      <c r="E1" s="76" t="s">
        <v>652</v>
      </c>
    </row>
    <row r="2" spans="1:5">
      <c r="A2" s="434" t="s">
        <v>173</v>
      </c>
      <c r="B2" s="434" t="s">
        <v>174</v>
      </c>
      <c r="C2" s="79"/>
      <c r="D2" s="80"/>
    </row>
    <row r="3" spans="1:5">
      <c r="A3" s="435"/>
      <c r="B3" s="435"/>
      <c r="C3" s="79" t="s">
        <v>653</v>
      </c>
      <c r="D3" s="80">
        <v>100</v>
      </c>
    </row>
    <row r="4" spans="1:5">
      <c r="A4" s="435"/>
      <c r="B4" s="435"/>
      <c r="C4" s="79" t="s">
        <v>654</v>
      </c>
      <c r="D4" s="80">
        <v>100</v>
      </c>
    </row>
    <row r="5" spans="1:5">
      <c r="A5" s="435"/>
      <c r="B5" s="435"/>
      <c r="C5" s="79" t="s">
        <v>1456</v>
      </c>
      <c r="D5" s="80">
        <v>100</v>
      </c>
    </row>
    <row r="6" spans="1:5">
      <c r="A6" s="435"/>
      <c r="B6" s="435"/>
      <c r="C6" s="79" t="s">
        <v>1457</v>
      </c>
      <c r="D6" s="80">
        <v>1200</v>
      </c>
    </row>
    <row r="7" spans="1:5">
      <c r="A7" s="435"/>
      <c r="B7" s="435"/>
      <c r="C7" s="79"/>
      <c r="D7" s="80"/>
    </row>
    <row r="8" spans="1:5">
      <c r="A8" s="435"/>
      <c r="B8" s="435"/>
      <c r="C8" s="79"/>
      <c r="D8" s="80"/>
    </row>
    <row r="9" spans="1:5">
      <c r="A9" s="435"/>
      <c r="B9" s="435"/>
      <c r="C9" s="79" t="s">
        <v>1363</v>
      </c>
      <c r="D9" s="80">
        <v>1200</v>
      </c>
    </row>
    <row r="10" spans="1:5">
      <c r="A10" s="435"/>
      <c r="B10" s="435"/>
      <c r="C10" s="79" t="s">
        <v>1364</v>
      </c>
      <c r="D10" s="80">
        <v>500</v>
      </c>
    </row>
    <row r="11" spans="1:5">
      <c r="A11" s="435"/>
      <c r="B11" s="435"/>
      <c r="C11" s="79" t="s">
        <v>1365</v>
      </c>
      <c r="D11" s="80">
        <v>1200</v>
      </c>
    </row>
    <row r="12" spans="1:5">
      <c r="A12" s="435"/>
      <c r="B12" s="435"/>
      <c r="C12" s="79" t="s">
        <v>1421</v>
      </c>
      <c r="D12" s="80">
        <v>1200</v>
      </c>
    </row>
    <row r="13" spans="1:5">
      <c r="A13" s="435"/>
      <c r="B13" s="435"/>
      <c r="C13" s="79"/>
      <c r="D13" s="80"/>
    </row>
    <row r="14" spans="1:5">
      <c r="A14" s="435"/>
      <c r="B14" s="435"/>
      <c r="C14" s="79"/>
      <c r="D14" s="80"/>
    </row>
    <row r="15" spans="1:5">
      <c r="A15" s="436"/>
      <c r="B15" s="436"/>
      <c r="C15" s="79"/>
      <c r="D15" s="80"/>
    </row>
    <row r="16" spans="1:5" s="74" customFormat="1" ht="24" customHeight="1">
      <c r="A16" s="441" t="s">
        <v>655</v>
      </c>
      <c r="B16" s="441"/>
      <c r="C16" s="441"/>
      <c r="D16" s="81">
        <f>SUM(D2:D15)</f>
        <v>5600</v>
      </c>
      <c r="E16" s="82">
        <f>+VLOOKUP(A2,'Tổng,SUMMARY'!C:Q,15,0)</f>
        <v>5600</v>
      </c>
    </row>
    <row r="17" spans="1:5">
      <c r="A17" s="434" t="s">
        <v>232</v>
      </c>
      <c r="B17" s="434" t="s">
        <v>233</v>
      </c>
      <c r="C17" s="79" t="s">
        <v>656</v>
      </c>
      <c r="D17" s="80">
        <v>250</v>
      </c>
    </row>
    <row r="18" spans="1:5">
      <c r="A18" s="435"/>
      <c r="B18" s="435"/>
      <c r="C18" s="79" t="s">
        <v>657</v>
      </c>
      <c r="D18" s="80">
        <v>1000</v>
      </c>
    </row>
    <row r="19" spans="1:5">
      <c r="A19" s="435"/>
      <c r="B19" s="435"/>
      <c r="C19" s="79"/>
      <c r="D19" s="80"/>
    </row>
    <row r="20" spans="1:5">
      <c r="A20" s="435"/>
      <c r="B20" s="435"/>
      <c r="C20" s="79"/>
      <c r="D20" s="80"/>
    </row>
    <row r="21" spans="1:5">
      <c r="A21" s="435"/>
      <c r="B21" s="435"/>
      <c r="C21" s="79"/>
      <c r="D21" s="80"/>
    </row>
    <row r="22" spans="1:5">
      <c r="A22" s="435"/>
      <c r="B22" s="435"/>
      <c r="C22" s="79"/>
      <c r="D22" s="80"/>
    </row>
    <row r="23" spans="1:5">
      <c r="A23" s="436"/>
      <c r="B23" s="436"/>
      <c r="C23" s="79"/>
      <c r="D23" s="80"/>
    </row>
    <row r="24" spans="1:5" s="74" customFormat="1" ht="24" customHeight="1">
      <c r="A24" s="441" t="s">
        <v>655</v>
      </c>
      <c r="B24" s="441"/>
      <c r="C24" s="441"/>
      <c r="D24" s="81">
        <f>SUM(D17:D23)</f>
        <v>1250</v>
      </c>
      <c r="E24" s="82">
        <f>+VLOOKUP(A17,'Tổng,SUMMARY'!C:Q,15,0)</f>
        <v>1250</v>
      </c>
    </row>
    <row r="25" spans="1:5">
      <c r="A25" s="434" t="s">
        <v>161</v>
      </c>
      <c r="B25" s="434" t="s">
        <v>162</v>
      </c>
      <c r="C25" s="79"/>
      <c r="D25" s="80"/>
    </row>
    <row r="26" spans="1:5">
      <c r="A26" s="435"/>
      <c r="B26" s="435"/>
      <c r="C26" s="79" t="s">
        <v>658</v>
      </c>
      <c r="D26" s="80">
        <v>1100</v>
      </c>
    </row>
    <row r="27" spans="1:5">
      <c r="A27" s="435"/>
      <c r="B27" s="435"/>
      <c r="C27" s="79" t="s">
        <v>659</v>
      </c>
      <c r="D27" s="80">
        <v>1200</v>
      </c>
    </row>
    <row r="28" spans="1:5">
      <c r="A28" s="435"/>
      <c r="B28" s="435"/>
      <c r="C28" s="79" t="s">
        <v>660</v>
      </c>
      <c r="D28" s="80">
        <v>1200</v>
      </c>
    </row>
    <row r="29" spans="1:5">
      <c r="A29" s="435"/>
      <c r="B29" s="435"/>
      <c r="C29" s="79" t="s">
        <v>661</v>
      </c>
      <c r="D29" s="80">
        <v>1200</v>
      </c>
    </row>
    <row r="30" spans="1:5">
      <c r="A30" s="435"/>
      <c r="B30" s="435"/>
      <c r="C30" s="79" t="s">
        <v>939</v>
      </c>
      <c r="D30" s="80">
        <v>1200</v>
      </c>
    </row>
    <row r="31" spans="1:5">
      <c r="A31" s="435"/>
      <c r="B31" s="435"/>
      <c r="C31" s="79" t="s">
        <v>940</v>
      </c>
      <c r="D31" s="80">
        <v>1200</v>
      </c>
    </row>
    <row r="32" spans="1:5">
      <c r="A32" s="435"/>
      <c r="B32" s="435"/>
      <c r="C32" s="79" t="s">
        <v>941</v>
      </c>
      <c r="D32" s="80">
        <v>1200</v>
      </c>
    </row>
    <row r="33" spans="1:5">
      <c r="A33" s="435"/>
      <c r="B33" s="435"/>
      <c r="C33" s="79" t="s">
        <v>965</v>
      </c>
      <c r="D33" s="80">
        <v>1000</v>
      </c>
    </row>
    <row r="34" spans="1:5">
      <c r="A34" s="435"/>
      <c r="B34" s="435"/>
      <c r="C34" s="79" t="s">
        <v>966</v>
      </c>
      <c r="D34" s="80">
        <v>1200</v>
      </c>
    </row>
    <row r="35" spans="1:5">
      <c r="A35" s="435"/>
      <c r="B35" s="435"/>
      <c r="C35" s="79" t="s">
        <v>967</v>
      </c>
      <c r="D35" s="80">
        <v>1200</v>
      </c>
    </row>
    <row r="36" spans="1:5">
      <c r="A36" s="435"/>
      <c r="B36" s="435"/>
      <c r="C36" s="79" t="s">
        <v>968</v>
      </c>
      <c r="D36" s="80">
        <v>500</v>
      </c>
    </row>
    <row r="37" spans="1:5">
      <c r="A37" s="435"/>
      <c r="B37" s="435"/>
      <c r="C37" s="79"/>
      <c r="D37" s="80"/>
    </row>
    <row r="38" spans="1:5">
      <c r="A38" s="435"/>
      <c r="B38" s="435"/>
      <c r="C38" s="79"/>
      <c r="D38" s="80"/>
    </row>
    <row r="39" spans="1:5">
      <c r="A39" s="435"/>
      <c r="B39" s="435"/>
      <c r="C39" s="79"/>
      <c r="D39" s="80"/>
    </row>
    <row r="40" spans="1:5">
      <c r="A40" s="436"/>
      <c r="B40" s="436"/>
      <c r="C40" s="79"/>
      <c r="D40" s="80"/>
    </row>
    <row r="41" spans="1:5" s="74" customFormat="1" ht="24" customHeight="1">
      <c r="A41" s="437" t="s">
        <v>655</v>
      </c>
      <c r="B41" s="437"/>
      <c r="C41" s="437"/>
      <c r="D41" s="81">
        <f>SUM(D25:D40)</f>
        <v>12200</v>
      </c>
      <c r="E41" s="82">
        <f>+'Tổng,SUMMARY'!$Q$206</f>
        <v>12200</v>
      </c>
    </row>
    <row r="42" spans="1:5">
      <c r="A42" s="434" t="s">
        <v>80</v>
      </c>
      <c r="B42" s="434" t="s">
        <v>81</v>
      </c>
      <c r="C42" s="79" t="s">
        <v>662</v>
      </c>
      <c r="D42" s="80">
        <v>200</v>
      </c>
    </row>
    <row r="43" spans="1:5">
      <c r="A43" s="435"/>
      <c r="B43" s="435"/>
      <c r="C43" s="79"/>
      <c r="D43" s="80"/>
    </row>
    <row r="44" spans="1:5">
      <c r="A44" s="435"/>
      <c r="B44" s="435"/>
      <c r="C44" s="79"/>
      <c r="D44" s="80"/>
    </row>
    <row r="45" spans="1:5">
      <c r="A45" s="435"/>
      <c r="B45" s="435"/>
      <c r="C45" s="79" t="s">
        <v>663</v>
      </c>
      <c r="D45" s="80">
        <v>1200</v>
      </c>
    </row>
    <row r="46" spans="1:5">
      <c r="A46" s="435"/>
      <c r="B46" s="435"/>
      <c r="C46" s="79" t="s">
        <v>664</v>
      </c>
      <c r="D46" s="80">
        <v>1200</v>
      </c>
    </row>
    <row r="47" spans="1:5">
      <c r="A47" s="435"/>
      <c r="B47" s="435"/>
      <c r="C47" s="79" t="s">
        <v>665</v>
      </c>
      <c r="D47" s="80">
        <v>1200</v>
      </c>
    </row>
    <row r="48" spans="1:5">
      <c r="A48" s="435"/>
      <c r="B48" s="435"/>
      <c r="C48" s="79" t="s">
        <v>666</v>
      </c>
      <c r="D48" s="80">
        <v>300</v>
      </c>
    </row>
    <row r="49" spans="1:4">
      <c r="A49" s="435"/>
      <c r="B49" s="435"/>
      <c r="C49" s="79" t="s">
        <v>667</v>
      </c>
      <c r="D49" s="80">
        <v>1200</v>
      </c>
    </row>
    <row r="50" spans="1:4">
      <c r="A50" s="435"/>
      <c r="B50" s="435"/>
      <c r="C50" s="79"/>
      <c r="D50" s="80"/>
    </row>
    <row r="51" spans="1:4">
      <c r="A51" s="435"/>
      <c r="B51" s="435"/>
      <c r="C51" s="79"/>
      <c r="D51" s="80"/>
    </row>
    <row r="52" spans="1:4">
      <c r="A52" s="435"/>
      <c r="B52" s="435"/>
      <c r="C52" s="79"/>
      <c r="D52" s="80"/>
    </row>
    <row r="53" spans="1:4">
      <c r="A53" s="435"/>
      <c r="B53" s="435"/>
      <c r="C53" s="79"/>
      <c r="D53" s="80"/>
    </row>
    <row r="54" spans="1:4">
      <c r="A54" s="435"/>
      <c r="B54" s="435"/>
      <c r="C54" s="79"/>
      <c r="D54" s="80"/>
    </row>
    <row r="55" spans="1:4">
      <c r="A55" s="435"/>
      <c r="B55" s="435"/>
      <c r="C55" s="79"/>
      <c r="D55" s="80"/>
    </row>
    <row r="56" spans="1:4">
      <c r="A56" s="435"/>
      <c r="B56" s="435"/>
      <c r="C56" s="79" t="s">
        <v>936</v>
      </c>
      <c r="D56" s="80">
        <v>700</v>
      </c>
    </row>
    <row r="57" spans="1:4">
      <c r="A57" s="435"/>
      <c r="B57" s="435"/>
      <c r="C57" s="79" t="s">
        <v>937</v>
      </c>
      <c r="D57" s="80">
        <v>1200</v>
      </c>
    </row>
    <row r="58" spans="1:4">
      <c r="A58" s="435"/>
      <c r="B58" s="435"/>
      <c r="C58" s="79" t="s">
        <v>938</v>
      </c>
      <c r="D58" s="80">
        <v>1000</v>
      </c>
    </row>
    <row r="59" spans="1:4">
      <c r="A59" s="435"/>
      <c r="B59" s="435"/>
      <c r="C59" s="79" t="s">
        <v>942</v>
      </c>
      <c r="D59" s="80">
        <v>1200</v>
      </c>
    </row>
    <row r="60" spans="1:4">
      <c r="A60" s="435"/>
      <c r="B60" s="435"/>
      <c r="C60" s="79"/>
      <c r="D60" s="80"/>
    </row>
    <row r="61" spans="1:4">
      <c r="A61" s="435"/>
      <c r="B61" s="435"/>
      <c r="C61" s="79"/>
      <c r="D61" s="80"/>
    </row>
    <row r="62" spans="1:4">
      <c r="A62" s="435"/>
      <c r="B62" s="435"/>
      <c r="C62" s="79"/>
      <c r="D62" s="80"/>
    </row>
    <row r="63" spans="1:4">
      <c r="A63" s="435"/>
      <c r="B63" s="435"/>
      <c r="C63" s="79"/>
      <c r="D63" s="80"/>
    </row>
    <row r="64" spans="1:4">
      <c r="A64" s="435"/>
      <c r="B64" s="435"/>
      <c r="C64" s="79"/>
      <c r="D64" s="80"/>
    </row>
    <row r="65" spans="1:6">
      <c r="A65" s="436"/>
      <c r="B65" s="436"/>
      <c r="C65" s="79"/>
      <c r="D65" s="80"/>
    </row>
    <row r="66" spans="1:6" s="74" customFormat="1" ht="24" customHeight="1">
      <c r="A66" s="437" t="s">
        <v>655</v>
      </c>
      <c r="B66" s="437"/>
      <c r="C66" s="437"/>
      <c r="D66" s="81">
        <f>SUM(D42:D65)</f>
        <v>9400</v>
      </c>
      <c r="E66" s="82">
        <f>+'Tổng,SUMMARY'!$Q$208</f>
        <v>9400</v>
      </c>
      <c r="F66" s="83">
        <f>+E66-D66</f>
        <v>0</v>
      </c>
    </row>
    <row r="67" spans="1:6" s="73" customFormat="1" ht="14.25">
      <c r="A67" s="77" t="s">
        <v>648</v>
      </c>
      <c r="B67" s="77" t="s">
        <v>649</v>
      </c>
      <c r="C67" s="77" t="s">
        <v>650</v>
      </c>
      <c r="D67" s="78" t="s">
        <v>651</v>
      </c>
      <c r="E67" s="76"/>
    </row>
    <row r="68" spans="1:6">
      <c r="A68" s="434" t="s">
        <v>118</v>
      </c>
      <c r="B68" s="434" t="s">
        <v>119</v>
      </c>
      <c r="C68" s="79" t="s">
        <v>662</v>
      </c>
      <c r="D68" s="80">
        <v>1900</v>
      </c>
    </row>
    <row r="69" spans="1:6">
      <c r="A69" s="435"/>
      <c r="B69" s="435"/>
      <c r="C69" s="79" t="s">
        <v>668</v>
      </c>
      <c r="D69" s="80">
        <v>900</v>
      </c>
    </row>
    <row r="70" spans="1:6">
      <c r="A70" s="435"/>
      <c r="B70" s="435"/>
      <c r="C70" s="79" t="s">
        <v>974</v>
      </c>
      <c r="D70" s="80">
        <v>1200</v>
      </c>
    </row>
    <row r="71" spans="1:6">
      <c r="A71" s="435"/>
      <c r="B71" s="435"/>
      <c r="C71" s="79"/>
      <c r="D71" s="80"/>
    </row>
    <row r="72" spans="1:6">
      <c r="A72" s="435"/>
      <c r="B72" s="435"/>
      <c r="C72" s="79" t="s">
        <v>975</v>
      </c>
      <c r="D72" s="80">
        <v>900</v>
      </c>
    </row>
    <row r="73" spans="1:6">
      <c r="A73" s="435"/>
      <c r="B73" s="435"/>
      <c r="C73" s="79" t="s">
        <v>976</v>
      </c>
      <c r="D73" s="80">
        <v>1200</v>
      </c>
    </row>
    <row r="74" spans="1:6">
      <c r="A74" s="435"/>
      <c r="B74" s="435"/>
      <c r="C74" s="79"/>
      <c r="D74" s="80"/>
    </row>
    <row r="75" spans="1:6">
      <c r="A75" s="435"/>
      <c r="B75" s="435"/>
      <c r="C75" s="79"/>
      <c r="D75" s="80"/>
    </row>
    <row r="76" spans="1:6">
      <c r="A76" s="435"/>
      <c r="B76" s="435"/>
      <c r="C76" s="79" t="s">
        <v>988</v>
      </c>
      <c r="D76" s="80">
        <v>1200</v>
      </c>
    </row>
    <row r="77" spans="1:6">
      <c r="A77" s="435"/>
      <c r="B77" s="435"/>
      <c r="C77" s="79" t="s">
        <v>989</v>
      </c>
      <c r="D77" s="80">
        <v>1000</v>
      </c>
    </row>
    <row r="78" spans="1:6">
      <c r="A78" s="435"/>
      <c r="B78" s="435"/>
      <c r="C78" s="79" t="s">
        <v>1015</v>
      </c>
      <c r="D78" s="80">
        <v>200</v>
      </c>
    </row>
    <row r="79" spans="1:6">
      <c r="A79" s="435"/>
      <c r="B79" s="435"/>
      <c r="C79" s="79" t="s">
        <v>1016</v>
      </c>
      <c r="D79" s="80">
        <v>1200</v>
      </c>
    </row>
    <row r="80" spans="1:6">
      <c r="A80" s="435"/>
      <c r="B80" s="435"/>
      <c r="C80" s="79" t="s">
        <v>1017</v>
      </c>
      <c r="D80" s="80">
        <v>700</v>
      </c>
    </row>
    <row r="81" spans="1:6">
      <c r="A81" s="435"/>
      <c r="B81" s="435"/>
      <c r="C81" s="79" t="s">
        <v>1018</v>
      </c>
      <c r="D81" s="80">
        <v>700</v>
      </c>
    </row>
    <row r="82" spans="1:6">
      <c r="A82" s="436"/>
      <c r="B82" s="436"/>
      <c r="C82" s="79" t="s">
        <v>1019</v>
      </c>
      <c r="D82" s="80">
        <v>1200</v>
      </c>
    </row>
    <row r="83" spans="1:6" s="74" customFormat="1" ht="24" customHeight="1">
      <c r="A83" s="437" t="s">
        <v>655</v>
      </c>
      <c r="B83" s="437"/>
      <c r="C83" s="437"/>
      <c r="D83" s="81">
        <f>SUM(D68:D82)</f>
        <v>12300</v>
      </c>
      <c r="E83" s="82">
        <f>+'Tổng,SUMMARY'!$Q$170</f>
        <v>12300</v>
      </c>
      <c r="F83" s="83">
        <f>+E83-D83</f>
        <v>0</v>
      </c>
    </row>
    <row r="84" spans="1:6">
      <c r="A84" s="434" t="s">
        <v>120</v>
      </c>
      <c r="B84" s="434" t="s">
        <v>119</v>
      </c>
      <c r="C84" s="79" t="s">
        <v>669</v>
      </c>
      <c r="D84" s="80"/>
    </row>
    <row r="85" spans="1:6">
      <c r="A85" s="435"/>
      <c r="B85" s="435"/>
      <c r="C85" s="79"/>
      <c r="D85" s="80"/>
    </row>
    <row r="86" spans="1:6">
      <c r="A86" s="435"/>
      <c r="B86" s="435"/>
      <c r="C86" s="79"/>
      <c r="D86" s="80"/>
    </row>
    <row r="87" spans="1:6">
      <c r="A87" s="435"/>
      <c r="B87" s="435"/>
      <c r="C87" s="79"/>
      <c r="D87" s="80"/>
    </row>
    <row r="88" spans="1:6">
      <c r="A88" s="435"/>
      <c r="B88" s="435"/>
      <c r="C88" s="79"/>
      <c r="D88" s="80"/>
    </row>
    <row r="89" spans="1:6">
      <c r="A89" s="435"/>
      <c r="B89" s="435"/>
      <c r="C89" s="79"/>
      <c r="D89" s="80"/>
    </row>
    <row r="90" spans="1:6">
      <c r="A90" s="435"/>
      <c r="B90" s="435"/>
      <c r="C90" s="79"/>
      <c r="D90" s="80"/>
    </row>
    <row r="91" spans="1:6">
      <c r="A91" s="435"/>
      <c r="B91" s="435"/>
      <c r="C91" s="79"/>
      <c r="D91" s="80"/>
    </row>
    <row r="92" spans="1:6">
      <c r="A92" s="435"/>
      <c r="B92" s="435"/>
      <c r="C92" s="79"/>
      <c r="D92" s="80"/>
    </row>
    <row r="93" spans="1:6">
      <c r="A93" s="435"/>
      <c r="B93" s="435"/>
      <c r="C93" s="79"/>
      <c r="D93" s="80"/>
    </row>
    <row r="94" spans="1:6">
      <c r="A94" s="436"/>
      <c r="B94" s="436"/>
      <c r="C94" s="79"/>
      <c r="D94" s="80"/>
    </row>
    <row r="95" spans="1:6" s="74" customFormat="1" ht="24" customHeight="1">
      <c r="A95" s="437" t="s">
        <v>655</v>
      </c>
      <c r="B95" s="437"/>
      <c r="C95" s="437"/>
      <c r="D95" s="81">
        <f>SUM(D84:D94)</f>
        <v>0</v>
      </c>
      <c r="E95" s="82" t="e">
        <f>+VLOOKUP(A90,'Tổng,SUMMARY'!C:Q,15,0)</f>
        <v>#N/A</v>
      </c>
    </row>
    <row r="96" spans="1:6">
      <c r="A96" s="434" t="s">
        <v>981</v>
      </c>
      <c r="B96" s="434" t="s">
        <v>388</v>
      </c>
      <c r="C96" s="79" t="s">
        <v>1479</v>
      </c>
      <c r="D96" s="80">
        <v>1200</v>
      </c>
    </row>
    <row r="97" spans="1:7">
      <c r="A97" s="435"/>
      <c r="B97" s="435"/>
      <c r="C97" s="79" t="s">
        <v>1161</v>
      </c>
      <c r="D97" s="80">
        <v>50</v>
      </c>
    </row>
    <row r="98" spans="1:7">
      <c r="A98" s="435"/>
      <c r="B98" s="435"/>
      <c r="C98" s="79" t="s">
        <v>1275</v>
      </c>
      <c r="D98" s="80">
        <v>400</v>
      </c>
    </row>
    <row r="99" spans="1:7">
      <c r="A99" s="435"/>
      <c r="B99" s="435"/>
      <c r="C99" s="79" t="s">
        <v>1276</v>
      </c>
      <c r="D99" s="80">
        <v>1000</v>
      </c>
    </row>
    <row r="100" spans="1:7">
      <c r="A100" s="435"/>
      <c r="B100" s="435"/>
      <c r="C100" s="79" t="s">
        <v>1480</v>
      </c>
      <c r="D100" s="80">
        <v>1200</v>
      </c>
    </row>
    <row r="101" spans="1:7">
      <c r="A101" s="435"/>
      <c r="B101" s="435"/>
      <c r="C101" s="79" t="s">
        <v>1486</v>
      </c>
      <c r="D101" s="80">
        <v>1200</v>
      </c>
    </row>
    <row r="102" spans="1:7">
      <c r="A102" s="435"/>
      <c r="B102" s="435"/>
      <c r="C102" s="79" t="s">
        <v>1526</v>
      </c>
      <c r="D102" s="80">
        <v>1200</v>
      </c>
    </row>
    <row r="103" spans="1:7">
      <c r="A103" s="435"/>
      <c r="B103" s="435"/>
      <c r="C103" s="79" t="s">
        <v>1527</v>
      </c>
      <c r="D103" s="80">
        <v>1200</v>
      </c>
    </row>
    <row r="104" spans="1:7">
      <c r="A104" s="435"/>
      <c r="B104" s="435"/>
      <c r="C104" s="79" t="s">
        <v>1570</v>
      </c>
      <c r="D104" s="80">
        <v>1200</v>
      </c>
    </row>
    <row r="105" spans="1:7">
      <c r="A105" s="435"/>
      <c r="B105" s="435"/>
      <c r="C105" s="79" t="s">
        <v>1571</v>
      </c>
      <c r="D105" s="80">
        <v>1200</v>
      </c>
    </row>
    <row r="106" spans="1:7">
      <c r="A106" s="435"/>
      <c r="B106" s="435"/>
      <c r="C106" s="79"/>
      <c r="D106" s="80"/>
    </row>
    <row r="107" spans="1:7">
      <c r="A107" s="435"/>
      <c r="B107" s="435"/>
      <c r="C107" s="79"/>
      <c r="D107" s="80"/>
    </row>
    <row r="108" spans="1:7">
      <c r="A108" s="435"/>
      <c r="B108" s="435"/>
      <c r="C108" s="79"/>
      <c r="D108" s="80"/>
    </row>
    <row r="109" spans="1:7">
      <c r="A109" s="435"/>
      <c r="B109" s="435"/>
      <c r="C109" s="79"/>
      <c r="D109" s="80"/>
    </row>
    <row r="110" spans="1:7">
      <c r="A110" s="436"/>
      <c r="B110" s="436"/>
      <c r="C110" s="79"/>
      <c r="D110" s="80"/>
    </row>
    <row r="111" spans="1:7" s="74" customFormat="1" ht="24" customHeight="1">
      <c r="A111" s="437" t="s">
        <v>655</v>
      </c>
      <c r="B111" s="437"/>
      <c r="C111" s="437"/>
      <c r="D111" s="81">
        <f>SUM(D96:D110)</f>
        <v>9850</v>
      </c>
      <c r="E111" s="82">
        <f>+'Tổng,SUMMARY'!$Q$243</f>
        <v>9850</v>
      </c>
      <c r="F111" s="83">
        <f>+E111-D111</f>
        <v>0</v>
      </c>
      <c r="G111" s="83"/>
    </row>
    <row r="112" spans="1:7">
      <c r="A112" s="435" t="s">
        <v>214</v>
      </c>
      <c r="B112" s="435" t="s">
        <v>215</v>
      </c>
      <c r="C112" s="79" t="s">
        <v>670</v>
      </c>
      <c r="D112" s="80">
        <v>100</v>
      </c>
    </row>
    <row r="113" spans="1:6">
      <c r="A113" s="435"/>
      <c r="B113" s="435"/>
      <c r="C113" s="79" t="s">
        <v>671</v>
      </c>
      <c r="D113" s="80">
        <v>100</v>
      </c>
    </row>
    <row r="114" spans="1:6">
      <c r="A114" s="435"/>
      <c r="B114" s="435"/>
      <c r="C114" s="79"/>
      <c r="D114" s="80"/>
    </row>
    <row r="115" spans="1:6">
      <c r="A115" s="435"/>
      <c r="B115" s="435"/>
      <c r="C115" s="79"/>
      <c r="D115" s="80"/>
    </row>
    <row r="116" spans="1:6">
      <c r="A116" s="436"/>
      <c r="B116" s="436"/>
      <c r="C116" s="79"/>
      <c r="D116" s="80"/>
    </row>
    <row r="117" spans="1:6" s="74" customFormat="1" ht="24" customHeight="1">
      <c r="A117" s="437" t="s">
        <v>655</v>
      </c>
      <c r="B117" s="437"/>
      <c r="C117" s="437"/>
      <c r="D117" s="81">
        <f>SUM(D112:D116)</f>
        <v>200</v>
      </c>
      <c r="E117" s="82">
        <f>+VLOOKUP(A112,'Tổng,SUMMARY'!C:Q,15,0)</f>
        <v>200</v>
      </c>
      <c r="F117" s="83"/>
    </row>
    <row r="118" spans="1:6">
      <c r="A118" s="434" t="s">
        <v>296</v>
      </c>
      <c r="B118" s="434" t="s">
        <v>297</v>
      </c>
      <c r="C118" s="79"/>
      <c r="D118" s="80"/>
    </row>
    <row r="119" spans="1:6">
      <c r="A119" s="435"/>
      <c r="B119" s="435"/>
      <c r="C119" s="79" t="s">
        <v>1108</v>
      </c>
      <c r="D119" s="80">
        <v>1200</v>
      </c>
    </row>
    <row r="120" spans="1:6">
      <c r="A120" s="435"/>
      <c r="B120" s="435"/>
      <c r="C120" s="79" t="s">
        <v>1109</v>
      </c>
      <c r="D120" s="80">
        <v>1200</v>
      </c>
    </row>
    <row r="121" spans="1:6">
      <c r="A121" s="435"/>
      <c r="B121" s="435"/>
      <c r="C121" s="79" t="s">
        <v>1110</v>
      </c>
      <c r="D121" s="80">
        <v>350</v>
      </c>
    </row>
    <row r="122" spans="1:6">
      <c r="A122" s="435"/>
      <c r="B122" s="435"/>
      <c r="C122" s="79" t="s">
        <v>1111</v>
      </c>
      <c r="D122" s="80">
        <v>850</v>
      </c>
    </row>
    <row r="123" spans="1:6">
      <c r="A123" s="435"/>
      <c r="B123" s="435"/>
      <c r="C123" s="79" t="s">
        <v>1153</v>
      </c>
      <c r="D123" s="80">
        <v>600</v>
      </c>
    </row>
    <row r="124" spans="1:6">
      <c r="A124" s="435"/>
      <c r="B124" s="435"/>
      <c r="C124" s="79" t="s">
        <v>1226</v>
      </c>
      <c r="D124" s="80">
        <v>1200</v>
      </c>
    </row>
    <row r="125" spans="1:6">
      <c r="A125" s="435"/>
      <c r="B125" s="435"/>
      <c r="C125" s="79"/>
      <c r="D125" s="80"/>
    </row>
    <row r="126" spans="1:6">
      <c r="A126" s="435"/>
      <c r="B126" s="435"/>
      <c r="C126" s="79"/>
      <c r="D126" s="80"/>
    </row>
    <row r="127" spans="1:6">
      <c r="A127" s="435"/>
      <c r="B127" s="435"/>
      <c r="C127" s="79"/>
      <c r="D127" s="80"/>
    </row>
    <row r="128" spans="1:6">
      <c r="A128" s="435"/>
      <c r="B128" s="435"/>
      <c r="C128" s="79"/>
      <c r="D128" s="80"/>
    </row>
    <row r="129" spans="1:5">
      <c r="A129" s="435"/>
      <c r="B129" s="435"/>
      <c r="C129" s="79"/>
      <c r="D129" s="80"/>
    </row>
    <row r="130" spans="1:5">
      <c r="A130" s="435"/>
      <c r="B130" s="435"/>
      <c r="C130" s="79"/>
      <c r="D130" s="80"/>
    </row>
    <row r="131" spans="1:5">
      <c r="A131" s="436"/>
      <c r="B131" s="436"/>
      <c r="C131" s="79"/>
      <c r="D131" s="80"/>
    </row>
    <row r="132" spans="1:5" s="74" customFormat="1" ht="24" customHeight="1">
      <c r="A132" s="437" t="s">
        <v>655</v>
      </c>
      <c r="B132" s="437"/>
      <c r="C132" s="437"/>
      <c r="D132" s="81">
        <f>SUM(D118:D131)</f>
        <v>5400</v>
      </c>
      <c r="E132" s="82">
        <f>+'Tổng,SUMMARY'!$Q$14</f>
        <v>5400</v>
      </c>
    </row>
    <row r="133" spans="1:5">
      <c r="A133" s="434" t="s">
        <v>358</v>
      </c>
      <c r="B133" s="434" t="s">
        <v>359</v>
      </c>
      <c r="C133" s="79"/>
      <c r="D133" s="80"/>
    </row>
    <row r="134" spans="1:5">
      <c r="A134" s="435"/>
      <c r="B134" s="435"/>
      <c r="C134" s="79" t="s">
        <v>1257</v>
      </c>
      <c r="D134" s="80">
        <v>200</v>
      </c>
    </row>
    <row r="135" spans="1:5">
      <c r="A135" s="435"/>
      <c r="B135" s="435"/>
      <c r="C135" s="79" t="s">
        <v>1315</v>
      </c>
      <c r="D135" s="80">
        <v>1200</v>
      </c>
    </row>
    <row r="136" spans="1:5">
      <c r="A136" s="435"/>
      <c r="B136" s="435"/>
      <c r="C136" s="79" t="s">
        <v>1356</v>
      </c>
      <c r="D136" s="80">
        <v>1200</v>
      </c>
    </row>
    <row r="137" spans="1:5">
      <c r="A137" s="435"/>
      <c r="B137" s="435"/>
      <c r="C137" s="79" t="s">
        <v>1409</v>
      </c>
      <c r="D137" s="80">
        <v>1200</v>
      </c>
    </row>
    <row r="138" spans="1:5">
      <c r="A138" s="435"/>
      <c r="B138" s="435"/>
      <c r="C138" s="79" t="s">
        <v>1410</v>
      </c>
      <c r="D138" s="80">
        <v>600</v>
      </c>
    </row>
    <row r="139" spans="1:5">
      <c r="A139" s="435"/>
      <c r="B139" s="435"/>
      <c r="C139" s="79" t="s">
        <v>1435</v>
      </c>
      <c r="D139" s="80">
        <v>1200</v>
      </c>
    </row>
    <row r="140" spans="1:5">
      <c r="A140" s="435"/>
      <c r="B140" s="435"/>
      <c r="C140" s="79" t="s">
        <v>1436</v>
      </c>
      <c r="D140" s="80">
        <v>1200</v>
      </c>
    </row>
    <row r="141" spans="1:5">
      <c r="A141" s="435"/>
      <c r="B141" s="435"/>
      <c r="C141" s="79" t="s">
        <v>1437</v>
      </c>
      <c r="D141" s="80">
        <v>1200</v>
      </c>
    </row>
    <row r="142" spans="1:5">
      <c r="A142" s="435"/>
      <c r="B142" s="435"/>
      <c r="C142" s="79" t="s">
        <v>1460</v>
      </c>
      <c r="D142" s="80">
        <v>1200</v>
      </c>
    </row>
    <row r="143" spans="1:5">
      <c r="A143" s="435"/>
      <c r="B143" s="435"/>
      <c r="C143" s="79" t="s">
        <v>1497</v>
      </c>
      <c r="D143" s="80">
        <v>1150</v>
      </c>
    </row>
    <row r="144" spans="1:5">
      <c r="A144" s="435"/>
      <c r="B144" s="435"/>
      <c r="C144" s="79" t="s">
        <v>1514</v>
      </c>
      <c r="D144" s="80">
        <v>1200</v>
      </c>
    </row>
    <row r="145" spans="1:6">
      <c r="A145" s="435"/>
      <c r="B145" s="435"/>
      <c r="C145" s="79" t="s">
        <v>1515</v>
      </c>
      <c r="D145" s="80">
        <v>2400</v>
      </c>
    </row>
    <row r="146" spans="1:6">
      <c r="A146" s="435"/>
      <c r="B146" s="435"/>
      <c r="C146" s="79" t="s">
        <v>1554</v>
      </c>
      <c r="D146" s="80">
        <v>1200</v>
      </c>
    </row>
    <row r="147" spans="1:6">
      <c r="A147" s="435"/>
      <c r="B147" s="435"/>
      <c r="C147" s="79" t="s">
        <v>1555</v>
      </c>
      <c r="D147" s="80">
        <v>1200</v>
      </c>
    </row>
    <row r="148" spans="1:6">
      <c r="A148" s="435"/>
      <c r="B148" s="435"/>
      <c r="C148" s="79" t="s">
        <v>1556</v>
      </c>
      <c r="D148" s="80">
        <v>1200</v>
      </c>
    </row>
    <row r="149" spans="1:6">
      <c r="A149" s="435"/>
      <c r="B149" s="435"/>
      <c r="C149" s="79" t="s">
        <v>1572</v>
      </c>
      <c r="D149" s="80">
        <v>1200</v>
      </c>
    </row>
    <row r="150" spans="1:6">
      <c r="A150" s="435"/>
      <c r="B150" s="435"/>
      <c r="C150" s="79" t="s">
        <v>1573</v>
      </c>
      <c r="D150" s="80">
        <v>1200</v>
      </c>
    </row>
    <row r="151" spans="1:6">
      <c r="A151" s="435"/>
      <c r="B151" s="435"/>
      <c r="C151" s="79" t="s">
        <v>1574</v>
      </c>
      <c r="D151" s="80">
        <v>1200</v>
      </c>
    </row>
    <row r="152" spans="1:6">
      <c r="A152" s="435"/>
      <c r="B152" s="435"/>
      <c r="C152" s="79" t="s">
        <v>1515</v>
      </c>
      <c r="D152" s="80">
        <v>2400</v>
      </c>
    </row>
    <row r="153" spans="1:6">
      <c r="A153" s="435"/>
      <c r="B153" s="435"/>
      <c r="C153" s="79" t="s">
        <v>1437</v>
      </c>
      <c r="D153" s="80">
        <v>1200</v>
      </c>
    </row>
    <row r="154" spans="1:6">
      <c r="A154" s="435"/>
      <c r="B154" s="435"/>
      <c r="C154" s="79"/>
      <c r="D154" s="80"/>
    </row>
    <row r="155" spans="1:6">
      <c r="A155" s="435"/>
      <c r="B155" s="435"/>
      <c r="C155" s="79"/>
      <c r="D155" s="80"/>
    </row>
    <row r="156" spans="1:6">
      <c r="A156" s="435"/>
      <c r="B156" s="435"/>
      <c r="C156" s="79"/>
      <c r="D156" s="80"/>
    </row>
    <row r="157" spans="1:6">
      <c r="A157" s="435"/>
      <c r="B157" s="435"/>
      <c r="C157" s="79"/>
      <c r="D157" s="80"/>
    </row>
    <row r="158" spans="1:6">
      <c r="A158" s="435"/>
      <c r="B158" s="435"/>
      <c r="C158" s="79"/>
      <c r="D158" s="80"/>
    </row>
    <row r="159" spans="1:6">
      <c r="A159" s="436"/>
      <c r="B159" s="436"/>
      <c r="C159" s="79"/>
      <c r="D159" s="80"/>
    </row>
    <row r="160" spans="1:6" s="74" customFormat="1" ht="24" customHeight="1">
      <c r="A160" s="437" t="s">
        <v>655</v>
      </c>
      <c r="B160" s="437"/>
      <c r="C160" s="437"/>
      <c r="D160" s="81">
        <f>SUM(D133:D159)</f>
        <v>24750</v>
      </c>
      <c r="E160" s="82">
        <f>+'Tổng,SUMMARY'!$Q$178</f>
        <v>24750</v>
      </c>
      <c r="F160" s="83">
        <f>+E160-D160</f>
        <v>0</v>
      </c>
    </row>
    <row r="161" spans="1:4">
      <c r="A161" s="434" t="s">
        <v>85</v>
      </c>
      <c r="B161" s="434" t="s">
        <v>86</v>
      </c>
      <c r="C161" s="79" t="s">
        <v>662</v>
      </c>
      <c r="D161" s="80">
        <v>100</v>
      </c>
    </row>
    <row r="162" spans="1:4" ht="15.75" customHeight="1">
      <c r="A162" s="435"/>
      <c r="B162" s="435"/>
      <c r="C162" s="79" t="s">
        <v>1521</v>
      </c>
      <c r="D162" s="80">
        <v>1200</v>
      </c>
    </row>
    <row r="163" spans="1:4" ht="15.75" customHeight="1">
      <c r="A163" s="435"/>
      <c r="B163" s="435"/>
      <c r="C163" s="79" t="s">
        <v>1522</v>
      </c>
      <c r="D163" s="80">
        <v>1200</v>
      </c>
    </row>
    <row r="164" spans="1:4" ht="15.75" customHeight="1">
      <c r="A164" s="435"/>
      <c r="B164" s="435"/>
      <c r="C164" s="79" t="s">
        <v>1557</v>
      </c>
      <c r="D164" s="80">
        <v>1200</v>
      </c>
    </row>
    <row r="165" spans="1:4" ht="15.75" customHeight="1">
      <c r="A165" s="435"/>
      <c r="B165" s="435"/>
      <c r="C165" s="79" t="s">
        <v>1558</v>
      </c>
      <c r="D165" s="80">
        <v>1200</v>
      </c>
    </row>
    <row r="166" spans="1:4" ht="15.75" customHeight="1">
      <c r="A166" s="435"/>
      <c r="B166" s="435"/>
      <c r="C166" s="79" t="s">
        <v>1580</v>
      </c>
      <c r="D166" s="80">
        <v>2400</v>
      </c>
    </row>
    <row r="167" spans="1:4" ht="15.75" customHeight="1">
      <c r="A167" s="435"/>
      <c r="B167" s="435"/>
      <c r="C167" s="79" t="s">
        <v>1581</v>
      </c>
      <c r="D167" s="80">
        <v>1200</v>
      </c>
    </row>
    <row r="168" spans="1:4">
      <c r="A168" s="435"/>
      <c r="B168" s="435"/>
      <c r="C168" s="79" t="s">
        <v>1582</v>
      </c>
      <c r="D168" s="80">
        <v>1200</v>
      </c>
    </row>
    <row r="169" spans="1:4">
      <c r="A169" s="435"/>
      <c r="B169" s="435"/>
      <c r="C169" s="79"/>
      <c r="D169" s="80"/>
    </row>
    <row r="170" spans="1:4">
      <c r="A170" s="435"/>
      <c r="B170" s="435"/>
      <c r="C170" s="79"/>
      <c r="D170" s="80"/>
    </row>
    <row r="171" spans="1:4">
      <c r="A171" s="435"/>
      <c r="B171" s="435"/>
      <c r="C171" s="79"/>
      <c r="D171" s="80"/>
    </row>
    <row r="172" spans="1:4">
      <c r="A172" s="435"/>
      <c r="B172" s="435"/>
      <c r="C172" s="79"/>
      <c r="D172" s="80"/>
    </row>
    <row r="173" spans="1:4">
      <c r="A173" s="435"/>
      <c r="B173" s="435"/>
      <c r="C173" s="79"/>
      <c r="D173" s="80"/>
    </row>
    <row r="174" spans="1:4">
      <c r="A174" s="435"/>
      <c r="B174" s="435"/>
      <c r="C174" s="79"/>
      <c r="D174" s="80"/>
    </row>
    <row r="175" spans="1:4">
      <c r="A175" s="435"/>
      <c r="B175" s="435"/>
      <c r="C175" s="79"/>
      <c r="D175" s="80"/>
    </row>
    <row r="176" spans="1:4">
      <c r="A176" s="435"/>
      <c r="B176" s="435"/>
      <c r="C176" s="79"/>
      <c r="D176" s="80"/>
    </row>
    <row r="177" spans="1:6">
      <c r="A177" s="435"/>
      <c r="B177" s="435"/>
      <c r="C177" s="79"/>
      <c r="D177" s="80"/>
    </row>
    <row r="178" spans="1:6">
      <c r="A178" s="435"/>
      <c r="B178" s="435"/>
      <c r="C178" s="79"/>
      <c r="D178" s="80"/>
    </row>
    <row r="179" spans="1:6">
      <c r="A179" s="435"/>
      <c r="B179" s="435"/>
      <c r="C179" s="79"/>
      <c r="D179" s="80"/>
    </row>
    <row r="180" spans="1:6">
      <c r="A180" s="435"/>
      <c r="B180" s="435"/>
      <c r="C180" s="79"/>
      <c r="D180" s="80"/>
    </row>
    <row r="181" spans="1:6">
      <c r="A181" s="435"/>
      <c r="B181" s="435"/>
      <c r="C181" s="79"/>
      <c r="D181" s="80"/>
    </row>
    <row r="182" spans="1:6">
      <c r="A182" s="435"/>
      <c r="B182" s="435"/>
      <c r="C182" s="79"/>
      <c r="D182" s="80"/>
    </row>
    <row r="183" spans="1:6">
      <c r="A183" s="435"/>
      <c r="B183" s="435"/>
      <c r="C183" s="79"/>
      <c r="D183" s="80"/>
    </row>
    <row r="184" spans="1:6">
      <c r="A184" s="435"/>
      <c r="B184" s="435"/>
      <c r="C184" s="79"/>
      <c r="D184" s="80"/>
    </row>
    <row r="185" spans="1:6">
      <c r="A185" s="435"/>
      <c r="B185" s="435"/>
      <c r="C185" s="79"/>
      <c r="D185" s="80"/>
    </row>
    <row r="186" spans="1:6">
      <c r="A186" s="435"/>
      <c r="B186" s="435"/>
      <c r="C186" s="79"/>
      <c r="D186" s="80"/>
    </row>
    <row r="187" spans="1:6">
      <c r="A187" s="436"/>
      <c r="B187" s="436"/>
      <c r="C187" s="79"/>
      <c r="D187" s="80"/>
    </row>
    <row r="188" spans="1:6" s="74" customFormat="1" ht="24" customHeight="1">
      <c r="A188" s="437" t="s">
        <v>655</v>
      </c>
      <c r="B188" s="437"/>
      <c r="C188" s="437"/>
      <c r="D188" s="81">
        <f>SUM(D161:D187)</f>
        <v>9700</v>
      </c>
      <c r="E188" s="82">
        <f>+VLOOKUP(A161,'Tổng,SUMMARY'!C:Q,15,0)</f>
        <v>9700</v>
      </c>
      <c r="F188" s="83">
        <f>+D188-E188</f>
        <v>0</v>
      </c>
    </row>
    <row r="189" spans="1:6">
      <c r="A189" s="434" t="s">
        <v>860</v>
      </c>
      <c r="B189" s="434" t="s">
        <v>309</v>
      </c>
      <c r="C189" s="79" t="s">
        <v>1467</v>
      </c>
      <c r="D189" s="80">
        <v>720</v>
      </c>
    </row>
    <row r="190" spans="1:6">
      <c r="A190" s="435"/>
      <c r="B190" s="435"/>
      <c r="C190" s="79" t="s">
        <v>857</v>
      </c>
      <c r="D190" s="80">
        <v>720</v>
      </c>
    </row>
    <row r="191" spans="1:6">
      <c r="A191" s="435"/>
      <c r="B191" s="435"/>
      <c r="C191" s="79" t="s">
        <v>858</v>
      </c>
      <c r="D191" s="80">
        <v>90</v>
      </c>
    </row>
    <row r="192" spans="1:6">
      <c r="A192" s="435"/>
      <c r="B192" s="435"/>
      <c r="C192" s="79" t="s">
        <v>859</v>
      </c>
      <c r="D192" s="80">
        <v>270</v>
      </c>
    </row>
    <row r="193" spans="1:7">
      <c r="A193" s="435"/>
      <c r="B193" s="435"/>
      <c r="C193" s="79" t="s">
        <v>1468</v>
      </c>
      <c r="D193" s="80">
        <v>720</v>
      </c>
    </row>
    <row r="194" spans="1:7">
      <c r="A194" s="435"/>
      <c r="B194" s="435"/>
      <c r="C194" s="79" t="s">
        <v>1469</v>
      </c>
      <c r="D194" s="80">
        <v>720</v>
      </c>
    </row>
    <row r="195" spans="1:7" ht="15.75" customHeight="1">
      <c r="A195" s="435"/>
      <c r="B195" s="435"/>
      <c r="C195" s="79"/>
      <c r="D195" s="80"/>
    </row>
    <row r="196" spans="1:7">
      <c r="A196" s="435"/>
      <c r="B196" s="435"/>
      <c r="C196" s="79"/>
      <c r="D196" s="80"/>
    </row>
    <row r="197" spans="1:7">
      <c r="A197" s="436"/>
      <c r="B197" s="436"/>
      <c r="C197" s="79"/>
      <c r="D197" s="80"/>
    </row>
    <row r="198" spans="1:7" s="74" customFormat="1" ht="24" customHeight="1">
      <c r="A198" s="437" t="s">
        <v>655</v>
      </c>
      <c r="B198" s="437"/>
      <c r="C198" s="437"/>
      <c r="D198" s="81">
        <f>SUM(D189:D197)</f>
        <v>3240</v>
      </c>
      <c r="E198" s="82">
        <f>+'Tổng,SUMMARY'!Q264</f>
        <v>1050</v>
      </c>
      <c r="F198" s="83">
        <f>+E198-D198</f>
        <v>-2190</v>
      </c>
      <c r="G198" s="74" t="s">
        <v>888</v>
      </c>
    </row>
    <row r="199" spans="1:7">
      <c r="A199" s="435" t="s">
        <v>1158</v>
      </c>
      <c r="B199" s="435" t="s">
        <v>1157</v>
      </c>
      <c r="C199" s="79" t="s">
        <v>1159</v>
      </c>
      <c r="D199" s="80">
        <v>300</v>
      </c>
    </row>
    <row r="200" spans="1:7">
      <c r="A200" s="435"/>
      <c r="B200" s="435"/>
      <c r="C200" s="79" t="s">
        <v>1331</v>
      </c>
      <c r="D200" s="80">
        <v>720</v>
      </c>
    </row>
    <row r="201" spans="1:7">
      <c r="A201" s="435"/>
      <c r="B201" s="435"/>
      <c r="C201" s="79" t="s">
        <v>1332</v>
      </c>
      <c r="D201" s="80">
        <v>720</v>
      </c>
    </row>
    <row r="202" spans="1:7">
      <c r="A202" s="435"/>
      <c r="B202" s="435"/>
      <c r="C202" s="79" t="s">
        <v>1333</v>
      </c>
      <c r="D202" s="80">
        <v>720</v>
      </c>
    </row>
    <row r="203" spans="1:7">
      <c r="A203" s="435"/>
      <c r="B203" s="435"/>
      <c r="C203" s="79" t="s">
        <v>1389</v>
      </c>
      <c r="D203" s="80">
        <v>720</v>
      </c>
    </row>
    <row r="204" spans="1:7">
      <c r="A204" s="435"/>
      <c r="B204" s="435"/>
      <c r="C204" s="79" t="s">
        <v>1390</v>
      </c>
      <c r="D204" s="80">
        <v>720</v>
      </c>
    </row>
    <row r="205" spans="1:7">
      <c r="A205" s="435"/>
      <c r="B205" s="435"/>
      <c r="C205" s="79" t="s">
        <v>1391</v>
      </c>
      <c r="D205" s="80">
        <v>720</v>
      </c>
    </row>
    <row r="206" spans="1:7">
      <c r="A206" s="435"/>
      <c r="B206" s="435"/>
      <c r="C206" s="79" t="s">
        <v>1424</v>
      </c>
      <c r="D206" s="80">
        <v>720</v>
      </c>
    </row>
    <row r="207" spans="1:7">
      <c r="A207" s="435"/>
      <c r="B207" s="435"/>
      <c r="C207" s="79" t="s">
        <v>1425</v>
      </c>
      <c r="D207" s="80">
        <v>510</v>
      </c>
    </row>
    <row r="208" spans="1:7">
      <c r="A208" s="435"/>
      <c r="B208" s="435"/>
      <c r="C208" s="79" t="s">
        <v>1426</v>
      </c>
      <c r="D208" s="80">
        <v>720</v>
      </c>
    </row>
    <row r="209" spans="1:6">
      <c r="A209" s="435"/>
      <c r="B209" s="435"/>
      <c r="C209" s="79" t="s">
        <v>1427</v>
      </c>
      <c r="D209" s="80">
        <v>210</v>
      </c>
    </row>
    <row r="210" spans="1:6">
      <c r="A210" s="435"/>
      <c r="B210" s="435"/>
      <c r="C210" s="79" t="s">
        <v>1389</v>
      </c>
      <c r="D210" s="80">
        <v>720</v>
      </c>
    </row>
    <row r="211" spans="1:6">
      <c r="A211" s="435"/>
      <c r="B211" s="435"/>
      <c r="C211" s="79" t="s">
        <v>1390</v>
      </c>
      <c r="D211" s="80">
        <v>720</v>
      </c>
    </row>
    <row r="212" spans="1:6">
      <c r="A212" s="435"/>
      <c r="B212" s="435"/>
      <c r="C212" s="79" t="s">
        <v>1391</v>
      </c>
      <c r="D212" s="80">
        <v>720</v>
      </c>
    </row>
    <row r="213" spans="1:6">
      <c r="A213" s="435"/>
      <c r="B213" s="435"/>
      <c r="C213" s="79"/>
      <c r="D213" s="80"/>
    </row>
    <row r="214" spans="1:6">
      <c r="A214" s="435"/>
      <c r="B214" s="435"/>
      <c r="C214" s="79"/>
      <c r="D214" s="80"/>
    </row>
    <row r="215" spans="1:6">
      <c r="A215" s="435"/>
      <c r="B215" s="435"/>
      <c r="C215" s="79"/>
      <c r="D215" s="80"/>
    </row>
    <row r="216" spans="1:6">
      <c r="A216" s="436"/>
      <c r="B216" s="436"/>
      <c r="C216" s="79"/>
      <c r="D216" s="80"/>
    </row>
    <row r="217" spans="1:6" s="74" customFormat="1" ht="24" customHeight="1">
      <c r="A217" s="437" t="s">
        <v>655</v>
      </c>
      <c r="B217" s="437"/>
      <c r="C217" s="437"/>
      <c r="D217" s="81">
        <f>SUM(D199:D216)</f>
        <v>8940</v>
      </c>
      <c r="E217" s="82">
        <f>+'Tổng,SUMMARY'!$Q$265</f>
        <v>11100</v>
      </c>
      <c r="F217" s="83">
        <f>+E217-D217</f>
        <v>2160</v>
      </c>
    </row>
    <row r="218" spans="1:6">
      <c r="A218" s="435" t="s">
        <v>16</v>
      </c>
      <c r="B218" s="435" t="s">
        <v>17</v>
      </c>
      <c r="C218" s="79" t="s">
        <v>672</v>
      </c>
      <c r="D218" s="80">
        <v>850</v>
      </c>
    </row>
    <row r="219" spans="1:6">
      <c r="A219" s="435"/>
      <c r="B219" s="435"/>
      <c r="C219" s="79"/>
      <c r="D219" s="80"/>
    </row>
    <row r="220" spans="1:6">
      <c r="A220" s="435"/>
      <c r="B220" s="435"/>
      <c r="C220" s="79"/>
      <c r="D220" s="80"/>
    </row>
    <row r="221" spans="1:6">
      <c r="A221" s="435"/>
      <c r="B221" s="435"/>
      <c r="C221" s="79"/>
      <c r="D221" s="80"/>
    </row>
    <row r="222" spans="1:6">
      <c r="A222" s="435"/>
      <c r="B222" s="435"/>
      <c r="C222" s="79"/>
      <c r="D222" s="80"/>
    </row>
    <row r="223" spans="1:6">
      <c r="A223" s="435"/>
      <c r="B223" s="435"/>
      <c r="C223" s="79"/>
      <c r="D223" s="80"/>
    </row>
    <row r="224" spans="1:6">
      <c r="A224" s="435"/>
      <c r="B224" s="435"/>
      <c r="C224" s="79"/>
      <c r="D224" s="80"/>
    </row>
    <row r="225" spans="1:6">
      <c r="A225" s="435"/>
      <c r="B225" s="435"/>
      <c r="C225" s="79"/>
      <c r="D225" s="80"/>
    </row>
    <row r="226" spans="1:6">
      <c r="A226" s="435"/>
      <c r="B226" s="435"/>
      <c r="C226" s="79"/>
      <c r="D226" s="80"/>
    </row>
    <row r="227" spans="1:6">
      <c r="A227" s="435"/>
      <c r="B227" s="435"/>
      <c r="C227" s="79"/>
      <c r="D227" s="80"/>
    </row>
    <row r="228" spans="1:6">
      <c r="A228" s="436"/>
      <c r="B228" s="436"/>
      <c r="C228" s="79"/>
      <c r="D228" s="80"/>
    </row>
    <row r="229" spans="1:6" s="74" customFormat="1" ht="24" customHeight="1">
      <c r="A229" s="437" t="s">
        <v>655</v>
      </c>
      <c r="B229" s="437"/>
      <c r="C229" s="437"/>
      <c r="D229" s="81">
        <f>SUM(D218:D228)</f>
        <v>850</v>
      </c>
      <c r="E229" s="82" t="e">
        <f>+VLOOKUP(A224,'Tổng,SUMMARY'!C:Q,15,0)</f>
        <v>#N/A</v>
      </c>
      <c r="F229" s="83" t="e">
        <f>+E229-D229</f>
        <v>#N/A</v>
      </c>
    </row>
    <row r="230" spans="1:6">
      <c r="A230" s="434" t="s">
        <v>116</v>
      </c>
      <c r="B230" s="434" t="s">
        <v>117</v>
      </c>
      <c r="C230" s="79" t="s">
        <v>1300</v>
      </c>
      <c r="D230" s="80">
        <v>3000</v>
      </c>
    </row>
    <row r="231" spans="1:6">
      <c r="A231" s="435"/>
      <c r="B231" s="435"/>
      <c r="C231" s="79"/>
      <c r="D231" s="80"/>
    </row>
    <row r="232" spans="1:6">
      <c r="A232" s="435"/>
      <c r="B232" s="435"/>
      <c r="C232" s="79"/>
      <c r="D232" s="80"/>
    </row>
    <row r="233" spans="1:6">
      <c r="A233" s="435"/>
      <c r="B233" s="435"/>
      <c r="C233" s="79"/>
      <c r="D233" s="80"/>
    </row>
    <row r="234" spans="1:6">
      <c r="A234" s="435"/>
      <c r="B234" s="435"/>
      <c r="C234" s="79"/>
      <c r="D234" s="80"/>
    </row>
    <row r="235" spans="1:6">
      <c r="A235" s="435"/>
      <c r="B235" s="435"/>
      <c r="C235" s="79"/>
      <c r="D235" s="80"/>
    </row>
    <row r="236" spans="1:6">
      <c r="A236" s="435"/>
      <c r="B236" s="435"/>
      <c r="C236" s="79"/>
      <c r="D236" s="80"/>
    </row>
    <row r="237" spans="1:6">
      <c r="A237" s="435"/>
      <c r="B237" s="435"/>
      <c r="C237" s="79"/>
      <c r="D237" s="80"/>
    </row>
    <row r="238" spans="1:6">
      <c r="A238" s="435"/>
      <c r="B238" s="435"/>
      <c r="C238" s="79"/>
      <c r="D238" s="80"/>
    </row>
    <row r="239" spans="1:6">
      <c r="A239" s="435"/>
      <c r="B239" s="435"/>
      <c r="C239" s="79"/>
      <c r="D239" s="80"/>
    </row>
    <row r="240" spans="1:6">
      <c r="A240" s="435"/>
      <c r="B240" s="435"/>
      <c r="C240" s="79"/>
      <c r="D240" s="80"/>
    </row>
    <row r="241" spans="1:5">
      <c r="A241" s="435"/>
      <c r="B241" s="435"/>
      <c r="C241" s="79"/>
      <c r="D241" s="80"/>
    </row>
    <row r="242" spans="1:5">
      <c r="A242" s="435"/>
      <c r="B242" s="435"/>
      <c r="C242" s="79"/>
      <c r="D242" s="80"/>
    </row>
    <row r="243" spans="1:5">
      <c r="A243" s="436"/>
      <c r="B243" s="436"/>
      <c r="C243" s="79"/>
      <c r="D243" s="80"/>
    </row>
    <row r="244" spans="1:5" s="74" customFormat="1" ht="24" customHeight="1">
      <c r="A244" s="437" t="s">
        <v>655</v>
      </c>
      <c r="B244" s="437"/>
      <c r="C244" s="437"/>
      <c r="D244" s="81">
        <f>SUM(D230:D243)</f>
        <v>3000</v>
      </c>
      <c r="E244" s="82">
        <f>+'Tổng,SUMMARY'!$Q$210</f>
        <v>3000</v>
      </c>
    </row>
    <row r="245" spans="1:5">
      <c r="A245" s="434" t="s">
        <v>848</v>
      </c>
      <c r="B245" s="434" t="s">
        <v>846</v>
      </c>
      <c r="C245" s="79" t="s">
        <v>662</v>
      </c>
      <c r="D245" s="80">
        <v>2900</v>
      </c>
    </row>
    <row r="246" spans="1:5">
      <c r="A246" s="435"/>
      <c r="B246" s="435"/>
      <c r="C246" s="79" t="s">
        <v>849</v>
      </c>
      <c r="D246" s="80">
        <v>1200</v>
      </c>
    </row>
    <row r="247" spans="1:5">
      <c r="A247" s="435"/>
      <c r="B247" s="435"/>
      <c r="C247" s="79" t="s">
        <v>850</v>
      </c>
      <c r="D247" s="80">
        <v>1200</v>
      </c>
    </row>
    <row r="248" spans="1:5">
      <c r="A248" s="435"/>
      <c r="B248" s="435"/>
      <c r="C248" s="79" t="s">
        <v>851</v>
      </c>
      <c r="D248" s="80">
        <v>1200</v>
      </c>
    </row>
    <row r="249" spans="1:5">
      <c r="A249" s="435"/>
      <c r="B249" s="435"/>
      <c r="C249" s="79" t="s">
        <v>856</v>
      </c>
      <c r="D249" s="80">
        <v>1200</v>
      </c>
    </row>
    <row r="250" spans="1:5">
      <c r="A250" s="435"/>
      <c r="B250" s="435"/>
      <c r="C250" s="79" t="s">
        <v>861</v>
      </c>
      <c r="D250" s="80">
        <v>400</v>
      </c>
    </row>
    <row r="251" spans="1:5">
      <c r="A251" s="435"/>
      <c r="B251" s="435"/>
      <c r="C251" s="79"/>
      <c r="D251" s="80"/>
    </row>
    <row r="252" spans="1:5">
      <c r="A252" s="435"/>
      <c r="B252" s="435"/>
      <c r="C252" s="79"/>
      <c r="D252" s="80"/>
    </row>
    <row r="253" spans="1:5">
      <c r="A253" s="435"/>
      <c r="B253" s="435"/>
      <c r="C253" s="79"/>
      <c r="D253" s="80"/>
    </row>
    <row r="254" spans="1:5">
      <c r="A254" s="435"/>
      <c r="B254" s="435"/>
      <c r="C254" s="79"/>
      <c r="D254" s="80"/>
    </row>
    <row r="255" spans="1:5">
      <c r="A255" s="435"/>
      <c r="B255" s="435"/>
      <c r="C255" s="79"/>
      <c r="D255" s="80"/>
    </row>
    <row r="256" spans="1:5">
      <c r="A256" s="435"/>
      <c r="B256" s="435"/>
      <c r="C256" s="79"/>
      <c r="D256" s="80"/>
    </row>
    <row r="257" spans="1:6">
      <c r="A257" s="436"/>
      <c r="B257" s="436"/>
      <c r="C257" s="79"/>
      <c r="D257" s="80"/>
    </row>
    <row r="258" spans="1:6" s="74" customFormat="1" ht="24" customHeight="1">
      <c r="A258" s="437" t="s">
        <v>655</v>
      </c>
      <c r="B258" s="437"/>
      <c r="C258" s="437"/>
      <c r="D258" s="81">
        <f>SUM(D245:D257)</f>
        <v>8100</v>
      </c>
      <c r="E258" s="82">
        <f>+'Tổng,SUMMARY'!Q12</f>
        <v>1100</v>
      </c>
      <c r="F258" s="83">
        <f>+E258-D258</f>
        <v>-7000</v>
      </c>
    </row>
    <row r="259" spans="1:6">
      <c r="A259" s="434" t="s">
        <v>895</v>
      </c>
      <c r="B259" s="434" t="s">
        <v>321</v>
      </c>
      <c r="D259" s="80">
        <v>150</v>
      </c>
    </row>
    <row r="260" spans="1:6">
      <c r="A260" s="435"/>
      <c r="B260" s="435"/>
      <c r="C260" s="79" t="s">
        <v>1504</v>
      </c>
      <c r="D260" s="80">
        <v>1200</v>
      </c>
    </row>
    <row r="261" spans="1:6">
      <c r="A261" s="435"/>
      <c r="B261" s="435"/>
      <c r="C261" s="79" t="s">
        <v>1505</v>
      </c>
      <c r="D261" s="80">
        <v>1200</v>
      </c>
    </row>
    <row r="262" spans="1:6">
      <c r="A262" s="435"/>
      <c r="B262" s="435"/>
      <c r="C262" s="79"/>
      <c r="D262" s="80"/>
    </row>
    <row r="263" spans="1:6">
      <c r="A263" s="435"/>
      <c r="B263" s="435"/>
      <c r="C263" s="79"/>
      <c r="D263" s="80"/>
    </row>
    <row r="264" spans="1:6">
      <c r="A264" s="435"/>
      <c r="B264" s="435"/>
      <c r="C264" s="79"/>
      <c r="D264" s="80"/>
    </row>
    <row r="265" spans="1:6">
      <c r="A265" s="435"/>
      <c r="B265" s="435"/>
      <c r="C265" s="79"/>
      <c r="D265" s="80"/>
    </row>
    <row r="266" spans="1:6">
      <c r="A266" s="435"/>
      <c r="B266" s="435"/>
      <c r="C266" s="79"/>
      <c r="D266" s="80"/>
    </row>
    <row r="267" spans="1:6">
      <c r="A267" s="435"/>
      <c r="B267" s="435"/>
      <c r="C267" s="79"/>
      <c r="D267" s="80"/>
    </row>
    <row r="268" spans="1:6">
      <c r="A268" s="435"/>
      <c r="B268" s="435"/>
      <c r="C268" s="79"/>
      <c r="D268" s="80"/>
    </row>
    <row r="269" spans="1:6">
      <c r="A269" s="435"/>
      <c r="B269" s="435"/>
      <c r="C269" s="79"/>
      <c r="D269" s="80"/>
    </row>
    <row r="270" spans="1:6">
      <c r="A270" s="435"/>
      <c r="B270" s="435"/>
      <c r="C270" s="79"/>
      <c r="D270" s="80"/>
    </row>
    <row r="271" spans="1:6">
      <c r="A271" s="435"/>
      <c r="B271" s="435"/>
      <c r="C271" s="79"/>
      <c r="D271" s="80"/>
    </row>
    <row r="272" spans="1:6">
      <c r="A272" s="435"/>
      <c r="B272" s="435"/>
      <c r="C272" s="79"/>
      <c r="D272" s="80"/>
    </row>
    <row r="273" spans="1:6">
      <c r="A273" s="436"/>
      <c r="B273" s="436"/>
      <c r="C273" s="79"/>
      <c r="D273" s="80"/>
    </row>
    <row r="274" spans="1:6" s="74" customFormat="1" ht="24" customHeight="1">
      <c r="A274" s="437" t="s">
        <v>655</v>
      </c>
      <c r="B274" s="437"/>
      <c r="C274" s="437"/>
      <c r="D274" s="81">
        <f>SUM(D259:D273)</f>
        <v>2550</v>
      </c>
      <c r="E274" s="82">
        <f>+'Tổng,SUMMARY'!$Q$132</f>
        <v>2550</v>
      </c>
      <c r="F274" s="83"/>
    </row>
    <row r="275" spans="1:6">
      <c r="A275" s="434" t="s">
        <v>894</v>
      </c>
      <c r="B275" s="434" t="s">
        <v>323</v>
      </c>
      <c r="C275" s="79"/>
      <c r="D275" s="80">
        <v>2400</v>
      </c>
    </row>
    <row r="276" spans="1:6">
      <c r="A276" s="435"/>
      <c r="B276" s="435"/>
      <c r="C276" s="79" t="s">
        <v>1307</v>
      </c>
      <c r="D276" s="80">
        <v>900</v>
      </c>
    </row>
    <row r="277" spans="1:6">
      <c r="A277" s="435"/>
      <c r="B277" s="435"/>
      <c r="C277" s="79" t="s">
        <v>1352</v>
      </c>
      <c r="D277" s="80">
        <f>1150-450</f>
        <v>700</v>
      </c>
    </row>
    <row r="278" spans="1:6">
      <c r="A278" s="435"/>
      <c r="B278" s="435"/>
      <c r="C278" s="79" t="s">
        <v>1560</v>
      </c>
      <c r="D278" s="80">
        <v>1200</v>
      </c>
    </row>
    <row r="279" spans="1:6">
      <c r="A279" s="435"/>
      <c r="B279" s="435"/>
      <c r="C279" s="79" t="s">
        <v>1561</v>
      </c>
      <c r="D279" s="80">
        <v>1200</v>
      </c>
    </row>
    <row r="280" spans="1:6">
      <c r="A280" s="435"/>
      <c r="B280" s="435"/>
      <c r="C280" s="79"/>
      <c r="D280" s="80"/>
    </row>
    <row r="281" spans="1:6">
      <c r="A281" s="435"/>
      <c r="B281" s="435"/>
      <c r="C281" s="79"/>
      <c r="D281" s="80"/>
    </row>
    <row r="282" spans="1:6">
      <c r="A282" s="435"/>
      <c r="B282" s="435"/>
      <c r="C282" s="79"/>
      <c r="D282" s="80"/>
    </row>
    <row r="283" spans="1:6">
      <c r="A283" s="435"/>
      <c r="B283" s="435"/>
      <c r="C283" s="79"/>
      <c r="D283" s="80"/>
    </row>
    <row r="284" spans="1:6">
      <c r="A284" s="436"/>
      <c r="B284" s="436"/>
      <c r="C284" s="79"/>
      <c r="D284" s="80"/>
    </row>
    <row r="285" spans="1:6" s="74" customFormat="1" ht="24" customHeight="1">
      <c r="A285" s="437" t="s">
        <v>655</v>
      </c>
      <c r="B285" s="437"/>
      <c r="C285" s="437"/>
      <c r="D285" s="81">
        <f>SUM(D275:D284)</f>
        <v>6400</v>
      </c>
      <c r="E285" s="82">
        <f>+'Tổng,SUMMARY'!$Q$101</f>
        <v>6400</v>
      </c>
      <c r="F285" s="83">
        <f>+E285-D285</f>
        <v>0</v>
      </c>
    </row>
    <row r="286" spans="1:6">
      <c r="A286" s="434" t="s">
        <v>1179</v>
      </c>
      <c r="B286" s="434" t="s">
        <v>482</v>
      </c>
      <c r="C286" s="84"/>
      <c r="D286" s="85">
        <v>1600</v>
      </c>
    </row>
    <row r="287" spans="1:6">
      <c r="A287" s="435"/>
      <c r="B287" s="435"/>
      <c r="C287" s="86" t="s">
        <v>1567</v>
      </c>
      <c r="D287" s="80">
        <v>900</v>
      </c>
    </row>
    <row r="288" spans="1:6">
      <c r="A288" s="435"/>
      <c r="B288" s="435"/>
      <c r="C288" s="86" t="s">
        <v>1568</v>
      </c>
      <c r="D288" s="80">
        <v>1200</v>
      </c>
    </row>
    <row r="289" spans="1:4">
      <c r="A289" s="435"/>
      <c r="B289" s="435"/>
      <c r="C289" s="86" t="s">
        <v>1569</v>
      </c>
      <c r="D289" s="80">
        <v>1200</v>
      </c>
    </row>
    <row r="290" spans="1:4">
      <c r="A290" s="435"/>
      <c r="B290" s="435"/>
      <c r="C290" s="86"/>
      <c r="D290" s="80"/>
    </row>
    <row r="291" spans="1:4">
      <c r="A291" s="435"/>
      <c r="B291" s="435"/>
      <c r="C291" s="86"/>
      <c r="D291" s="80"/>
    </row>
    <row r="292" spans="1:4">
      <c r="A292" s="435"/>
      <c r="B292" s="435"/>
      <c r="C292" s="86"/>
      <c r="D292" s="80"/>
    </row>
    <row r="293" spans="1:4">
      <c r="A293" s="435"/>
      <c r="B293" s="435"/>
      <c r="C293" s="86"/>
      <c r="D293" s="80"/>
    </row>
    <row r="294" spans="1:4">
      <c r="A294" s="435"/>
      <c r="B294" s="435"/>
      <c r="C294" s="86"/>
      <c r="D294" s="80"/>
    </row>
    <row r="295" spans="1:4">
      <c r="A295" s="435"/>
      <c r="B295" s="435"/>
      <c r="C295" s="86"/>
      <c r="D295" s="80"/>
    </row>
    <row r="296" spans="1:4">
      <c r="A296" s="435"/>
      <c r="B296" s="435"/>
      <c r="C296" s="86"/>
      <c r="D296" s="80"/>
    </row>
    <row r="297" spans="1:4">
      <c r="A297" s="435"/>
      <c r="B297" s="435"/>
      <c r="C297" s="86"/>
      <c r="D297" s="80"/>
    </row>
    <row r="298" spans="1:4">
      <c r="A298" s="435"/>
      <c r="B298" s="435"/>
      <c r="C298" s="86"/>
      <c r="D298" s="80"/>
    </row>
    <row r="299" spans="1:4">
      <c r="A299" s="435"/>
      <c r="B299" s="435"/>
      <c r="C299" s="86"/>
      <c r="D299" s="80"/>
    </row>
    <row r="300" spans="1:4">
      <c r="A300" s="435"/>
      <c r="B300" s="435"/>
      <c r="C300" s="86"/>
      <c r="D300" s="80"/>
    </row>
    <row r="301" spans="1:4">
      <c r="A301" s="435"/>
      <c r="B301" s="435"/>
      <c r="C301" s="86"/>
      <c r="D301" s="80"/>
    </row>
    <row r="302" spans="1:4">
      <c r="A302" s="435"/>
      <c r="B302" s="435"/>
      <c r="C302" s="86"/>
      <c r="D302" s="80"/>
    </row>
    <row r="303" spans="1:4">
      <c r="A303" s="435"/>
      <c r="B303" s="435"/>
      <c r="C303" s="86"/>
      <c r="D303" s="80"/>
    </row>
    <row r="304" spans="1:4">
      <c r="A304" s="435"/>
      <c r="B304" s="435"/>
      <c r="C304" s="86"/>
      <c r="D304" s="80"/>
    </row>
    <row r="305" spans="1:7">
      <c r="A305" s="435"/>
      <c r="B305" s="435"/>
      <c r="C305" s="86"/>
      <c r="D305" s="80"/>
    </row>
    <row r="306" spans="1:7">
      <c r="A306" s="435"/>
      <c r="B306" s="435"/>
      <c r="C306" s="86"/>
      <c r="D306" s="80"/>
    </row>
    <row r="307" spans="1:7">
      <c r="A307" s="435"/>
      <c r="B307" s="435"/>
      <c r="C307" s="86"/>
      <c r="D307" s="80"/>
    </row>
    <row r="308" spans="1:7">
      <c r="A308" s="436"/>
      <c r="B308" s="436"/>
      <c r="C308" s="79"/>
      <c r="D308" s="80"/>
    </row>
    <row r="309" spans="1:7" s="74" customFormat="1" ht="24" customHeight="1">
      <c r="A309" s="437" t="s">
        <v>655</v>
      </c>
      <c r="B309" s="437"/>
      <c r="C309" s="437"/>
      <c r="D309" s="81">
        <f>SUM(D286:D308)</f>
        <v>4900</v>
      </c>
      <c r="E309" s="82">
        <f>+'Tổng,SUMMARY'!$Q$233</f>
        <v>4900</v>
      </c>
      <c r="F309" s="8"/>
      <c r="G309" s="83"/>
    </row>
    <row r="310" spans="1:7">
      <c r="A310" s="434" t="s">
        <v>483</v>
      </c>
      <c r="B310" s="434" t="s">
        <v>484</v>
      </c>
      <c r="C310" s="84"/>
      <c r="D310" s="80"/>
    </row>
    <row r="311" spans="1:7">
      <c r="A311" s="435"/>
      <c r="B311" s="435"/>
      <c r="C311" s="84" t="s">
        <v>673</v>
      </c>
      <c r="D311" s="80">
        <v>300</v>
      </c>
    </row>
    <row r="312" spans="1:7">
      <c r="A312" s="435"/>
      <c r="B312" s="435"/>
      <c r="C312" s="84" t="s">
        <v>795</v>
      </c>
      <c r="D312" s="80">
        <v>1200</v>
      </c>
    </row>
    <row r="313" spans="1:7">
      <c r="A313" s="435"/>
      <c r="B313" s="435"/>
      <c r="C313" s="84" t="s">
        <v>796</v>
      </c>
      <c r="D313" s="80">
        <v>1200</v>
      </c>
    </row>
    <row r="314" spans="1:7">
      <c r="A314" s="435"/>
      <c r="B314" s="435"/>
      <c r="C314" s="84" t="s">
        <v>816</v>
      </c>
      <c r="D314" s="80">
        <v>1200</v>
      </c>
    </row>
    <row r="315" spans="1:7">
      <c r="A315" s="435"/>
      <c r="B315" s="435"/>
      <c r="C315" s="84" t="s">
        <v>841</v>
      </c>
      <c r="D315" s="80">
        <v>1100</v>
      </c>
    </row>
    <row r="316" spans="1:7">
      <c r="A316" s="435"/>
      <c r="B316" s="435"/>
      <c r="C316" s="84" t="s">
        <v>863</v>
      </c>
      <c r="D316" s="80">
        <v>1200</v>
      </c>
    </row>
    <row r="317" spans="1:7">
      <c r="A317" s="435"/>
      <c r="B317" s="435"/>
      <c r="C317" s="84" t="s">
        <v>880</v>
      </c>
      <c r="D317" s="80">
        <v>1200</v>
      </c>
    </row>
    <row r="318" spans="1:7">
      <c r="A318" s="435"/>
      <c r="B318" s="435"/>
      <c r="C318" s="84" t="s">
        <v>881</v>
      </c>
      <c r="D318" s="80">
        <v>1100</v>
      </c>
    </row>
    <row r="319" spans="1:7">
      <c r="A319" s="435"/>
      <c r="B319" s="435"/>
      <c r="C319" s="84" t="s">
        <v>882</v>
      </c>
      <c r="D319" s="80">
        <v>1200</v>
      </c>
    </row>
    <row r="320" spans="1:7">
      <c r="A320" s="435"/>
      <c r="B320" s="435"/>
      <c r="C320" s="84" t="s">
        <v>886</v>
      </c>
      <c r="D320" s="80">
        <v>500</v>
      </c>
    </row>
    <row r="321" spans="1:6">
      <c r="A321" s="435"/>
      <c r="B321" s="435"/>
      <c r="C321" s="84" t="s">
        <v>900</v>
      </c>
      <c r="D321" s="80">
        <v>1200</v>
      </c>
    </row>
    <row r="322" spans="1:6">
      <c r="A322" s="435"/>
      <c r="B322" s="435"/>
      <c r="C322" s="84"/>
      <c r="D322" s="80"/>
    </row>
    <row r="323" spans="1:6">
      <c r="A323" s="435"/>
      <c r="B323" s="435"/>
      <c r="C323" s="84"/>
      <c r="D323" s="80"/>
    </row>
    <row r="324" spans="1:6">
      <c r="A324" s="435"/>
      <c r="B324" s="435"/>
      <c r="C324" s="84"/>
      <c r="D324" s="80"/>
    </row>
    <row r="325" spans="1:6">
      <c r="A325" s="435"/>
      <c r="B325" s="435"/>
      <c r="C325" s="84"/>
      <c r="D325" s="80"/>
    </row>
    <row r="326" spans="1:6">
      <c r="A326" s="435"/>
      <c r="B326" s="435"/>
      <c r="C326" s="79"/>
      <c r="D326" s="80"/>
    </row>
    <row r="327" spans="1:6">
      <c r="A327" s="436"/>
      <c r="B327" s="436"/>
      <c r="C327" s="79"/>
      <c r="D327" s="80"/>
    </row>
    <row r="328" spans="1:6" s="74" customFormat="1" ht="24" customHeight="1">
      <c r="A328" s="437" t="s">
        <v>655</v>
      </c>
      <c r="B328" s="437"/>
      <c r="C328" s="437"/>
      <c r="D328" s="81">
        <f>SUM(D310:D327)</f>
        <v>11400</v>
      </c>
      <c r="E328" s="82">
        <f>+'Tổng,SUMMARY'!$Q$228</f>
        <v>0</v>
      </c>
      <c r="F328" s="83">
        <f>+E328-D328</f>
        <v>-11400</v>
      </c>
    </row>
    <row r="329" spans="1:6">
      <c r="A329" s="434" t="s">
        <v>70</v>
      </c>
      <c r="B329" s="434" t="s">
        <v>69</v>
      </c>
      <c r="C329" s="79"/>
      <c r="D329" s="80"/>
    </row>
    <row r="330" spans="1:6">
      <c r="A330" s="435"/>
      <c r="B330" s="435"/>
      <c r="C330" s="79" t="s">
        <v>674</v>
      </c>
      <c r="D330" s="80"/>
    </row>
    <row r="331" spans="1:6">
      <c r="A331" s="435"/>
      <c r="B331" s="435"/>
      <c r="C331" s="79" t="s">
        <v>675</v>
      </c>
      <c r="D331" s="80"/>
    </row>
    <row r="332" spans="1:6">
      <c r="A332" s="435"/>
      <c r="B332" s="435"/>
      <c r="C332" s="79"/>
      <c r="D332" s="80"/>
    </row>
    <row r="333" spans="1:6">
      <c r="A333" s="435"/>
      <c r="B333" s="435"/>
      <c r="C333" s="79"/>
      <c r="D333" s="80"/>
    </row>
    <row r="334" spans="1:6">
      <c r="A334" s="435"/>
      <c r="B334" s="435"/>
      <c r="C334" s="79"/>
      <c r="D334" s="80"/>
    </row>
    <row r="335" spans="1:6">
      <c r="A335" s="435"/>
      <c r="B335" s="435"/>
      <c r="C335" s="79"/>
      <c r="D335" s="80"/>
    </row>
    <row r="336" spans="1:6">
      <c r="A336" s="435"/>
      <c r="B336" s="435"/>
      <c r="C336" s="79"/>
      <c r="D336" s="80"/>
    </row>
    <row r="337" spans="1:5">
      <c r="A337" s="435"/>
      <c r="B337" s="435"/>
      <c r="C337" s="79"/>
      <c r="D337" s="80"/>
    </row>
    <row r="338" spans="1:5">
      <c r="A338" s="436"/>
      <c r="B338" s="436"/>
      <c r="C338" s="79"/>
      <c r="D338" s="80"/>
    </row>
    <row r="339" spans="1:5" s="74" customFormat="1" ht="24" customHeight="1">
      <c r="A339" s="438" t="s">
        <v>655</v>
      </c>
      <c r="B339" s="439"/>
      <c r="C339" s="440"/>
      <c r="D339" s="81">
        <f>SUM(D329:D338)</f>
        <v>0</v>
      </c>
      <c r="E339" s="82" t="e">
        <f>+VLOOKUP(A334,'Tổng,SUMMARY'!C:Q,15,0)</f>
        <v>#N/A</v>
      </c>
    </row>
    <row r="340" spans="1:5">
      <c r="A340" s="434" t="s">
        <v>374</v>
      </c>
      <c r="B340" s="434" t="s">
        <v>375</v>
      </c>
      <c r="C340" s="79" t="s">
        <v>676</v>
      </c>
      <c r="D340" s="80">
        <v>900</v>
      </c>
    </row>
    <row r="341" spans="1:5">
      <c r="A341" s="435"/>
      <c r="B341" s="435"/>
      <c r="C341" s="79" t="s">
        <v>677</v>
      </c>
      <c r="D341" s="80">
        <v>600</v>
      </c>
    </row>
    <row r="342" spans="1:5">
      <c r="A342" s="435"/>
      <c r="B342" s="435"/>
      <c r="C342" s="79" t="s">
        <v>678</v>
      </c>
      <c r="D342" s="80">
        <v>1200</v>
      </c>
    </row>
    <row r="343" spans="1:5">
      <c r="A343" s="435"/>
      <c r="B343" s="435"/>
      <c r="C343" s="79" t="s">
        <v>679</v>
      </c>
      <c r="D343" s="80">
        <v>1200</v>
      </c>
    </row>
    <row r="344" spans="1:5">
      <c r="A344" s="435"/>
      <c r="B344" s="435"/>
      <c r="C344" s="79" t="s">
        <v>680</v>
      </c>
      <c r="D344" s="80">
        <v>1200</v>
      </c>
    </row>
    <row r="345" spans="1:5">
      <c r="A345" s="435"/>
      <c r="B345" s="435"/>
      <c r="C345" s="79" t="s">
        <v>681</v>
      </c>
      <c r="D345" s="80">
        <v>1200</v>
      </c>
    </row>
    <row r="346" spans="1:5">
      <c r="A346" s="435"/>
      <c r="B346" s="435"/>
      <c r="C346" s="79" t="s">
        <v>682</v>
      </c>
      <c r="D346" s="80">
        <v>1200</v>
      </c>
    </row>
    <row r="347" spans="1:5">
      <c r="A347" s="435"/>
      <c r="B347" s="435"/>
      <c r="C347" s="79" t="s">
        <v>683</v>
      </c>
      <c r="D347" s="80">
        <v>1200</v>
      </c>
    </row>
    <row r="348" spans="1:5">
      <c r="A348" s="435"/>
      <c r="B348" s="435"/>
      <c r="C348" s="79" t="s">
        <v>684</v>
      </c>
      <c r="D348" s="80">
        <v>1200</v>
      </c>
    </row>
    <row r="349" spans="1:5">
      <c r="A349" s="435"/>
      <c r="B349" s="435"/>
      <c r="C349" s="79" t="s">
        <v>685</v>
      </c>
      <c r="D349" s="80">
        <v>1200</v>
      </c>
    </row>
    <row r="350" spans="1:5">
      <c r="A350" s="435"/>
      <c r="B350" s="435"/>
      <c r="C350" s="79" t="s">
        <v>802</v>
      </c>
      <c r="D350" s="80">
        <v>1200</v>
      </c>
    </row>
    <row r="351" spans="1:5">
      <c r="A351" s="435"/>
      <c r="B351" s="435"/>
      <c r="C351" s="79" t="s">
        <v>803</v>
      </c>
      <c r="D351" s="80">
        <v>1200</v>
      </c>
    </row>
    <row r="352" spans="1:5">
      <c r="A352" s="435"/>
      <c r="B352" s="435"/>
      <c r="C352" s="79" t="s">
        <v>804</v>
      </c>
      <c r="D352" s="80">
        <v>1200</v>
      </c>
    </row>
    <row r="353" spans="1:4">
      <c r="A353" s="435"/>
      <c r="B353" s="435"/>
      <c r="C353" s="79" t="s">
        <v>829</v>
      </c>
      <c r="D353" s="80">
        <v>1200</v>
      </c>
    </row>
    <row r="354" spans="1:4">
      <c r="A354" s="435"/>
      <c r="B354" s="435"/>
      <c r="C354" s="79" t="s">
        <v>830</v>
      </c>
      <c r="D354" s="80">
        <v>1200</v>
      </c>
    </row>
    <row r="355" spans="1:4">
      <c r="A355" s="435"/>
      <c r="B355" s="435"/>
      <c r="C355" s="79" t="s">
        <v>831</v>
      </c>
      <c r="D355" s="80">
        <v>1200</v>
      </c>
    </row>
    <row r="356" spans="1:4">
      <c r="A356" s="435"/>
      <c r="B356" s="435"/>
      <c r="C356" s="79" t="s">
        <v>832</v>
      </c>
      <c r="D356" s="80">
        <v>1200</v>
      </c>
    </row>
    <row r="357" spans="1:4">
      <c r="A357" s="435"/>
      <c r="B357" s="435"/>
      <c r="C357" s="79" t="s">
        <v>833</v>
      </c>
      <c r="D357" s="80">
        <v>1200</v>
      </c>
    </row>
    <row r="358" spans="1:4">
      <c r="A358" s="435"/>
      <c r="B358" s="435"/>
      <c r="C358" s="79" t="s">
        <v>834</v>
      </c>
      <c r="D358" s="80">
        <v>1200</v>
      </c>
    </row>
    <row r="359" spans="1:4">
      <c r="A359" s="435"/>
      <c r="B359" s="435"/>
      <c r="C359" s="79" t="s">
        <v>835</v>
      </c>
      <c r="D359" s="80">
        <v>1200</v>
      </c>
    </row>
    <row r="360" spans="1:4">
      <c r="A360" s="435"/>
      <c r="B360" s="435"/>
      <c r="C360" s="79" t="s">
        <v>836</v>
      </c>
      <c r="D360" s="80">
        <v>600</v>
      </c>
    </row>
    <row r="361" spans="1:4">
      <c r="A361" s="435"/>
      <c r="B361" s="435"/>
      <c r="C361" s="79"/>
      <c r="D361" s="80"/>
    </row>
    <row r="362" spans="1:4">
      <c r="A362" s="435"/>
      <c r="B362" s="435"/>
      <c r="C362" s="79"/>
      <c r="D362" s="80"/>
    </row>
    <row r="363" spans="1:4">
      <c r="A363" s="435"/>
      <c r="B363" s="435"/>
      <c r="C363" s="79"/>
      <c r="D363" s="80"/>
    </row>
    <row r="364" spans="1:4">
      <c r="A364" s="435"/>
      <c r="B364" s="435"/>
      <c r="C364" s="79"/>
      <c r="D364" s="80"/>
    </row>
    <row r="365" spans="1:4">
      <c r="A365" s="435"/>
      <c r="B365" s="435"/>
      <c r="C365" s="79"/>
      <c r="D365" s="80"/>
    </row>
    <row r="366" spans="1:4">
      <c r="A366" s="435"/>
      <c r="B366" s="435"/>
      <c r="C366" s="79"/>
      <c r="D366" s="80"/>
    </row>
    <row r="367" spans="1:4">
      <c r="A367" s="435"/>
      <c r="B367" s="435"/>
      <c r="C367" s="79"/>
      <c r="D367" s="80"/>
    </row>
    <row r="368" spans="1:4">
      <c r="A368" s="436"/>
      <c r="B368" s="436"/>
      <c r="C368" s="79"/>
      <c r="D368" s="80"/>
    </row>
    <row r="369" spans="1:7" s="74" customFormat="1" ht="24" customHeight="1">
      <c r="A369" s="438" t="s">
        <v>655</v>
      </c>
      <c r="B369" s="439"/>
      <c r="C369" s="440"/>
      <c r="D369" s="81">
        <f>SUM(D340:D368)</f>
        <v>23700</v>
      </c>
      <c r="E369" s="82">
        <f>+'Tổng,SUMMARY'!$Q$234</f>
        <v>23700</v>
      </c>
      <c r="G369" s="83"/>
    </row>
    <row r="370" spans="1:7">
      <c r="A370" s="435" t="s">
        <v>471</v>
      </c>
      <c r="B370" s="435" t="s">
        <v>472</v>
      </c>
      <c r="C370" s="79"/>
      <c r="D370" s="80"/>
    </row>
    <row r="371" spans="1:7">
      <c r="A371" s="435"/>
      <c r="B371" s="435"/>
      <c r="C371" s="79" t="s">
        <v>1334</v>
      </c>
      <c r="D371" s="80">
        <v>900</v>
      </c>
    </row>
    <row r="372" spans="1:7">
      <c r="A372" s="435"/>
      <c r="B372" s="435"/>
      <c r="C372" s="79" t="s">
        <v>1373</v>
      </c>
      <c r="D372" s="80">
        <v>400</v>
      </c>
    </row>
    <row r="373" spans="1:7">
      <c r="A373" s="435"/>
      <c r="B373" s="435"/>
      <c r="C373" s="79" t="s">
        <v>1374</v>
      </c>
      <c r="D373" s="80">
        <v>1200</v>
      </c>
    </row>
    <row r="374" spans="1:7">
      <c r="A374" s="435"/>
      <c r="B374" s="435"/>
      <c r="C374" s="79" t="s">
        <v>1375</v>
      </c>
      <c r="D374" s="80">
        <v>400</v>
      </c>
    </row>
    <row r="375" spans="1:7">
      <c r="A375" s="435"/>
      <c r="B375" s="435"/>
      <c r="C375" s="79" t="s">
        <v>1373</v>
      </c>
      <c r="D375" s="80">
        <v>800</v>
      </c>
    </row>
    <row r="376" spans="1:7">
      <c r="A376" s="435"/>
      <c r="B376" s="435"/>
      <c r="C376" s="79" t="s">
        <v>1376</v>
      </c>
      <c r="D376" s="80">
        <v>1200</v>
      </c>
    </row>
    <row r="377" spans="1:7">
      <c r="A377" s="435"/>
      <c r="B377" s="435"/>
      <c r="C377" s="79" t="s">
        <v>1438</v>
      </c>
      <c r="D377" s="80">
        <v>1000</v>
      </c>
    </row>
    <row r="378" spans="1:7">
      <c r="A378" s="435"/>
      <c r="B378" s="435"/>
      <c r="C378" s="79" t="s">
        <v>1439</v>
      </c>
      <c r="D378" s="80">
        <v>1000</v>
      </c>
    </row>
    <row r="379" spans="1:7">
      <c r="A379" s="435"/>
      <c r="B379" s="435"/>
      <c r="C379" s="79" t="s">
        <v>1438</v>
      </c>
      <c r="D379" s="80">
        <v>400</v>
      </c>
    </row>
    <row r="380" spans="1:7">
      <c r="A380" s="435"/>
      <c r="B380" s="435"/>
      <c r="C380" s="79" t="s">
        <v>1517</v>
      </c>
      <c r="D380" s="80">
        <v>650</v>
      </c>
    </row>
    <row r="381" spans="1:7">
      <c r="A381" s="435"/>
      <c r="B381" s="435"/>
      <c r="C381" s="79"/>
      <c r="D381" s="80"/>
    </row>
    <row r="382" spans="1:7">
      <c r="A382" s="435"/>
      <c r="B382" s="435"/>
      <c r="C382" s="79"/>
      <c r="D382" s="80"/>
    </row>
    <row r="383" spans="1:7">
      <c r="A383" s="435"/>
      <c r="B383" s="435"/>
      <c r="C383" s="79"/>
      <c r="D383" s="80"/>
    </row>
    <row r="384" spans="1:7">
      <c r="A384" s="435"/>
      <c r="B384" s="435"/>
      <c r="C384" s="79"/>
      <c r="D384" s="80"/>
    </row>
    <row r="385" spans="1:5">
      <c r="A385" s="435"/>
      <c r="B385" s="435"/>
      <c r="C385" s="79"/>
      <c r="D385" s="80"/>
    </row>
    <row r="386" spans="1:5">
      <c r="A386" s="436"/>
      <c r="B386" s="436"/>
      <c r="C386" s="79"/>
      <c r="D386" s="80"/>
    </row>
    <row r="387" spans="1:5" s="74" customFormat="1" ht="24" customHeight="1">
      <c r="A387" s="438" t="s">
        <v>655</v>
      </c>
      <c r="B387" s="439"/>
      <c r="C387" s="440"/>
      <c r="D387" s="81">
        <f>SUM(D370:D386)</f>
        <v>7950</v>
      </c>
      <c r="E387" s="82">
        <f>+'Tổng,SUMMARY'!$Q$202</f>
        <v>7950</v>
      </c>
    </row>
    <row r="388" spans="1:5">
      <c r="A388" s="434" t="s">
        <v>243</v>
      </c>
      <c r="B388" s="434" t="s">
        <v>244</v>
      </c>
      <c r="C388" s="79" t="s">
        <v>686</v>
      </c>
      <c r="D388" s="80">
        <v>900</v>
      </c>
    </row>
    <row r="389" spans="1:5">
      <c r="A389" s="435"/>
      <c r="B389" s="435"/>
      <c r="C389" s="79"/>
      <c r="D389" s="80"/>
    </row>
    <row r="390" spans="1:5">
      <c r="A390" s="435"/>
      <c r="B390" s="435"/>
      <c r="C390" s="79"/>
      <c r="D390" s="80"/>
    </row>
    <row r="391" spans="1:5">
      <c r="A391" s="435"/>
      <c r="B391" s="435"/>
      <c r="C391" s="79"/>
      <c r="D391" s="80"/>
    </row>
    <row r="392" spans="1:5">
      <c r="A392" s="435"/>
      <c r="B392" s="435"/>
      <c r="C392" s="79"/>
      <c r="D392" s="80"/>
    </row>
    <row r="393" spans="1:5">
      <c r="A393" s="435"/>
      <c r="B393" s="435"/>
      <c r="C393" s="79"/>
      <c r="D393" s="80"/>
    </row>
    <row r="394" spans="1:5">
      <c r="A394" s="435"/>
      <c r="B394" s="435"/>
      <c r="C394" s="79"/>
      <c r="D394" s="80"/>
    </row>
    <row r="395" spans="1:5">
      <c r="A395" s="435"/>
      <c r="B395" s="435"/>
      <c r="C395" s="79"/>
      <c r="D395" s="80"/>
    </row>
    <row r="396" spans="1:5">
      <c r="A396" s="435"/>
      <c r="B396" s="435"/>
      <c r="C396" s="79"/>
      <c r="D396" s="80"/>
    </row>
    <row r="397" spans="1:5">
      <c r="A397" s="436"/>
      <c r="B397" s="436"/>
      <c r="C397" s="79"/>
      <c r="D397" s="80"/>
    </row>
    <row r="398" spans="1:5" s="74" customFormat="1" ht="24" customHeight="1">
      <c r="A398" s="438" t="s">
        <v>655</v>
      </c>
      <c r="B398" s="439"/>
      <c r="C398" s="440"/>
      <c r="D398" s="81">
        <f>SUM(D388:D397)</f>
        <v>900</v>
      </c>
      <c r="E398" s="82" t="e">
        <f>+VLOOKUP(A393,'Tổng,SUMMARY'!C:Q,15,0)</f>
        <v>#N/A</v>
      </c>
    </row>
    <row r="399" spans="1:5">
      <c r="A399" s="434" t="s">
        <v>23</v>
      </c>
      <c r="B399" s="434" t="s">
        <v>945</v>
      </c>
      <c r="C399" s="79" t="s">
        <v>676</v>
      </c>
      <c r="D399" s="80">
        <v>50</v>
      </c>
    </row>
    <row r="400" spans="1:5">
      <c r="A400" s="435"/>
      <c r="B400" s="435"/>
      <c r="C400" s="79" t="s">
        <v>687</v>
      </c>
      <c r="D400" s="80"/>
    </row>
    <row r="401" spans="1:5">
      <c r="A401" s="435"/>
      <c r="B401" s="435"/>
      <c r="C401" s="79" t="s">
        <v>688</v>
      </c>
      <c r="D401" s="80"/>
    </row>
    <row r="402" spans="1:5">
      <c r="A402" s="435"/>
      <c r="B402" s="435"/>
      <c r="C402" s="79" t="s">
        <v>689</v>
      </c>
      <c r="D402" s="80"/>
    </row>
    <row r="403" spans="1:5">
      <c r="A403" s="435"/>
      <c r="B403" s="435"/>
      <c r="C403" s="79" t="s">
        <v>690</v>
      </c>
      <c r="D403" s="80"/>
    </row>
    <row r="404" spans="1:5">
      <c r="A404" s="435"/>
      <c r="B404" s="435"/>
      <c r="C404" s="79" t="s">
        <v>691</v>
      </c>
      <c r="D404" s="80"/>
    </row>
    <row r="405" spans="1:5">
      <c r="A405" s="435"/>
      <c r="B405" s="435"/>
      <c r="C405" s="79" t="s">
        <v>692</v>
      </c>
      <c r="D405" s="80"/>
    </row>
    <row r="406" spans="1:5">
      <c r="A406" s="435"/>
      <c r="B406" s="435"/>
      <c r="C406" s="79"/>
      <c r="D406" s="80"/>
    </row>
    <row r="407" spans="1:5">
      <c r="A407" s="435"/>
      <c r="B407" s="435"/>
      <c r="C407" s="79"/>
      <c r="D407" s="80"/>
    </row>
    <row r="408" spans="1:5">
      <c r="A408" s="435"/>
      <c r="B408" s="435"/>
      <c r="C408" s="79"/>
      <c r="D408" s="80"/>
    </row>
    <row r="409" spans="1:5">
      <c r="A409" s="435"/>
      <c r="B409" s="435"/>
      <c r="C409" s="79"/>
      <c r="D409" s="80"/>
    </row>
    <row r="410" spans="1:5">
      <c r="A410" s="435"/>
      <c r="B410" s="435"/>
      <c r="C410" s="79"/>
      <c r="D410" s="80"/>
    </row>
    <row r="411" spans="1:5">
      <c r="A411" s="436"/>
      <c r="B411" s="436"/>
      <c r="C411" s="79"/>
      <c r="D411" s="80"/>
    </row>
    <row r="412" spans="1:5" s="74" customFormat="1" ht="24" customHeight="1">
      <c r="A412" s="438" t="s">
        <v>655</v>
      </c>
      <c r="B412" s="439"/>
      <c r="C412" s="440"/>
      <c r="D412" s="81">
        <f>SUM(D399:D411)</f>
        <v>50</v>
      </c>
      <c r="E412" s="82">
        <f>+'Tổng,SUMMARY'!$Q$166</f>
        <v>50</v>
      </c>
    </row>
    <row r="413" spans="1:5">
      <c r="A413" s="434" t="s">
        <v>838</v>
      </c>
      <c r="B413" s="434" t="s">
        <v>840</v>
      </c>
      <c r="C413" s="79"/>
      <c r="D413" s="80">
        <v>350</v>
      </c>
    </row>
    <row r="414" spans="1:5">
      <c r="A414" s="435"/>
      <c r="B414" s="435"/>
      <c r="C414" s="79"/>
      <c r="D414" s="80"/>
    </row>
    <row r="415" spans="1:5">
      <c r="A415" s="435"/>
      <c r="B415" s="435"/>
      <c r="C415" s="79"/>
      <c r="D415" s="80"/>
    </row>
    <row r="416" spans="1:5">
      <c r="A416" s="435"/>
      <c r="B416" s="435"/>
      <c r="C416" s="79"/>
      <c r="D416" s="80"/>
    </row>
    <row r="417" spans="1:5">
      <c r="A417" s="435"/>
      <c r="B417" s="435"/>
      <c r="C417" s="79"/>
      <c r="D417" s="80"/>
    </row>
    <row r="418" spans="1:5">
      <c r="A418" s="435"/>
      <c r="B418" s="435"/>
      <c r="C418" s="79"/>
      <c r="D418" s="80"/>
    </row>
    <row r="419" spans="1:5">
      <c r="A419" s="435"/>
      <c r="B419" s="435"/>
      <c r="C419" s="79"/>
      <c r="D419" s="80"/>
    </row>
    <row r="420" spans="1:5">
      <c r="A420" s="436"/>
      <c r="B420" s="436"/>
      <c r="C420" s="79"/>
      <c r="D420" s="80"/>
    </row>
    <row r="421" spans="1:5" ht="15.75">
      <c r="A421" s="438" t="s">
        <v>655</v>
      </c>
      <c r="B421" s="439"/>
      <c r="C421" s="440"/>
      <c r="D421" s="81">
        <f>SUM(D413:D420)</f>
        <v>350</v>
      </c>
      <c r="E421" s="82">
        <f>+'Tổng,SUMMARY'!$Q$196</f>
        <v>350</v>
      </c>
    </row>
    <row r="422" spans="1:5">
      <c r="A422" s="434" t="s">
        <v>192</v>
      </c>
      <c r="B422" s="434" t="s">
        <v>186</v>
      </c>
      <c r="C422" s="79"/>
      <c r="D422" s="80"/>
    </row>
    <row r="423" spans="1:5">
      <c r="A423" s="435"/>
      <c r="B423" s="435"/>
      <c r="C423" s="79" t="s">
        <v>693</v>
      </c>
      <c r="D423" s="80">
        <v>700</v>
      </c>
    </row>
    <row r="424" spans="1:5">
      <c r="A424" s="435"/>
      <c r="B424" s="435"/>
      <c r="C424" s="79" t="s">
        <v>694</v>
      </c>
      <c r="D424" s="80">
        <v>350</v>
      </c>
    </row>
    <row r="425" spans="1:5">
      <c r="A425" s="435"/>
      <c r="B425" s="435"/>
      <c r="C425" s="79" t="s">
        <v>1120</v>
      </c>
      <c r="D425" s="80">
        <v>1200</v>
      </c>
    </row>
    <row r="426" spans="1:5">
      <c r="A426" s="435"/>
      <c r="B426" s="435"/>
      <c r="C426" s="79" t="s">
        <v>1121</v>
      </c>
      <c r="D426" s="80">
        <v>1200</v>
      </c>
    </row>
    <row r="427" spans="1:5">
      <c r="A427" s="435"/>
      <c r="B427" s="435"/>
      <c r="C427" s="79"/>
      <c r="D427" s="80"/>
    </row>
    <row r="428" spans="1:5">
      <c r="A428" s="435"/>
      <c r="B428" s="435"/>
      <c r="C428" s="79"/>
      <c r="D428" s="80"/>
    </row>
    <row r="429" spans="1:5">
      <c r="A429" s="435"/>
      <c r="B429" s="435"/>
      <c r="C429" s="79" t="s">
        <v>1144</v>
      </c>
      <c r="D429" s="80">
        <v>1200</v>
      </c>
    </row>
    <row r="430" spans="1:5">
      <c r="A430" s="435"/>
      <c r="B430" s="435"/>
      <c r="C430" s="79" t="s">
        <v>1160</v>
      </c>
      <c r="D430" s="80">
        <v>400</v>
      </c>
    </row>
    <row r="431" spans="1:5">
      <c r="A431" s="435"/>
      <c r="B431" s="435"/>
      <c r="C431" s="79"/>
      <c r="D431" s="80"/>
    </row>
    <row r="432" spans="1:5">
      <c r="A432" s="435"/>
      <c r="B432" s="435"/>
      <c r="C432" s="79"/>
      <c r="D432" s="80"/>
    </row>
    <row r="433" spans="1:6">
      <c r="A433" s="435"/>
      <c r="B433" s="435"/>
      <c r="C433" s="79"/>
      <c r="D433" s="80"/>
    </row>
    <row r="434" spans="1:6">
      <c r="A434" s="435"/>
      <c r="B434" s="435"/>
      <c r="C434" s="79"/>
      <c r="D434" s="80"/>
    </row>
    <row r="435" spans="1:6">
      <c r="A435" s="435"/>
      <c r="B435" s="435"/>
      <c r="C435" s="79"/>
      <c r="D435" s="80"/>
    </row>
    <row r="436" spans="1:6">
      <c r="A436" s="435"/>
      <c r="B436" s="435"/>
      <c r="C436" s="79"/>
      <c r="D436" s="80"/>
    </row>
    <row r="437" spans="1:6">
      <c r="A437" s="435"/>
      <c r="B437" s="435"/>
      <c r="C437" s="79"/>
      <c r="D437" s="80"/>
      <c r="F437" s="73"/>
    </row>
    <row r="438" spans="1:6">
      <c r="A438" s="436"/>
      <c r="B438" s="436"/>
      <c r="C438" s="79"/>
      <c r="D438" s="80"/>
    </row>
    <row r="439" spans="1:6" ht="15.75">
      <c r="A439" s="438" t="s">
        <v>655</v>
      </c>
      <c r="B439" s="439"/>
      <c r="C439" s="440"/>
      <c r="D439" s="81">
        <f>SUM(D422:D438)</f>
        <v>5050</v>
      </c>
      <c r="E439" s="82">
        <f>+'Tổng,SUMMARY'!$Q$114</f>
        <v>5050</v>
      </c>
    </row>
    <row r="440" spans="1:6">
      <c r="A440" s="433" t="s">
        <v>185</v>
      </c>
      <c r="B440" s="433" t="s">
        <v>186</v>
      </c>
    </row>
    <row r="441" spans="1:6">
      <c r="A441" s="433"/>
      <c r="B441" s="433"/>
      <c r="C441" s="79" t="s">
        <v>1014</v>
      </c>
      <c r="D441" s="80">
        <v>50</v>
      </c>
    </row>
    <row r="442" spans="1:6">
      <c r="A442" s="433"/>
      <c r="B442" s="433"/>
      <c r="C442" s="79"/>
      <c r="D442" s="80"/>
    </row>
    <row r="443" spans="1:6">
      <c r="A443" s="433"/>
      <c r="B443" s="433"/>
      <c r="C443" s="79" t="s">
        <v>1059</v>
      </c>
      <c r="D443" s="80">
        <v>350</v>
      </c>
    </row>
    <row r="444" spans="1:6">
      <c r="A444" s="433"/>
      <c r="B444" s="433"/>
      <c r="C444" s="79"/>
      <c r="D444" s="80"/>
    </row>
    <row r="445" spans="1:6">
      <c r="A445" s="433"/>
      <c r="B445" s="433"/>
      <c r="C445" s="79" t="s">
        <v>1060</v>
      </c>
      <c r="D445" s="80">
        <v>200</v>
      </c>
    </row>
    <row r="446" spans="1:6">
      <c r="A446" s="433"/>
      <c r="B446" s="433"/>
      <c r="C446" s="79" t="s">
        <v>1099</v>
      </c>
      <c r="D446" s="80">
        <v>700</v>
      </c>
      <c r="E446" s="76" t="s">
        <v>1100</v>
      </c>
    </row>
    <row r="447" spans="1:6">
      <c r="A447" s="433"/>
      <c r="B447" s="433"/>
      <c r="C447" s="79"/>
      <c r="D447" s="80"/>
    </row>
    <row r="448" spans="1:6">
      <c r="A448" s="433"/>
      <c r="B448" s="433"/>
      <c r="C448" s="79"/>
      <c r="D448" s="80"/>
    </row>
    <row r="449" spans="1:6">
      <c r="A449" s="433"/>
      <c r="B449" s="433"/>
      <c r="C449" s="79"/>
      <c r="D449" s="80"/>
    </row>
    <row r="450" spans="1:6" ht="15.75">
      <c r="A450" s="438" t="s">
        <v>655</v>
      </c>
      <c r="B450" s="439"/>
      <c r="C450" s="440"/>
      <c r="D450" s="81">
        <f>SUM(D440:D449)</f>
        <v>1300</v>
      </c>
      <c r="E450" s="82">
        <f>+'Tổng,SUMMARY'!$Q$113</f>
        <v>8300</v>
      </c>
      <c r="F450" s="87">
        <f>+E450-D450</f>
        <v>7000</v>
      </c>
    </row>
    <row r="451" spans="1:6">
      <c r="A451" s="434" t="s">
        <v>206</v>
      </c>
      <c r="B451" s="434" t="s">
        <v>186</v>
      </c>
      <c r="C451" s="79" t="s">
        <v>1483</v>
      </c>
      <c r="D451" s="80">
        <v>1200</v>
      </c>
    </row>
    <row r="452" spans="1:6">
      <c r="A452" s="435"/>
      <c r="B452" s="435"/>
      <c r="C452" s="79" t="s">
        <v>695</v>
      </c>
      <c r="D452" s="80">
        <v>200</v>
      </c>
    </row>
    <row r="453" spans="1:6">
      <c r="A453" s="435"/>
      <c r="B453" s="435"/>
      <c r="C453" s="79" t="s">
        <v>696</v>
      </c>
      <c r="D453" s="80">
        <v>100</v>
      </c>
    </row>
    <row r="454" spans="1:6">
      <c r="A454" s="435"/>
      <c r="B454" s="435"/>
      <c r="C454" s="79" t="s">
        <v>697</v>
      </c>
      <c r="D454" s="80">
        <v>400</v>
      </c>
    </row>
    <row r="455" spans="1:6">
      <c r="A455" s="435"/>
      <c r="B455" s="435"/>
      <c r="C455" s="79" t="s">
        <v>698</v>
      </c>
      <c r="D455" s="80">
        <v>650</v>
      </c>
    </row>
    <row r="456" spans="1:6">
      <c r="A456" s="435"/>
      <c r="B456" s="435"/>
      <c r="C456" s="79" t="s">
        <v>699</v>
      </c>
      <c r="D456" s="80">
        <v>950</v>
      </c>
    </row>
    <row r="457" spans="1:6">
      <c r="A457" s="435"/>
      <c r="B457" s="435"/>
      <c r="C457" s="79" t="s">
        <v>1461</v>
      </c>
      <c r="D457" s="80">
        <v>1200</v>
      </c>
    </row>
    <row r="458" spans="1:6">
      <c r="A458" s="435"/>
      <c r="B458" s="435"/>
      <c r="C458" s="79" t="s">
        <v>1324</v>
      </c>
      <c r="D458" s="80">
        <v>400</v>
      </c>
    </row>
    <row r="459" spans="1:6">
      <c r="A459" s="435"/>
      <c r="B459" s="435"/>
      <c r="C459" s="79" t="s">
        <v>1354</v>
      </c>
      <c r="D459" s="80">
        <v>1050</v>
      </c>
    </row>
    <row r="460" spans="1:6">
      <c r="A460" s="435"/>
      <c r="B460" s="435"/>
      <c r="C460" s="79" t="s">
        <v>1500</v>
      </c>
      <c r="D460" s="80">
        <v>1200</v>
      </c>
    </row>
    <row r="461" spans="1:6">
      <c r="A461" s="435"/>
      <c r="B461" s="435"/>
      <c r="C461" s="79" t="s">
        <v>1501</v>
      </c>
      <c r="D461" s="80">
        <v>1200</v>
      </c>
    </row>
    <row r="462" spans="1:6">
      <c r="A462" s="435"/>
      <c r="B462" s="435"/>
      <c r="C462" s="79"/>
      <c r="D462" s="80"/>
    </row>
    <row r="463" spans="1:6">
      <c r="A463" s="435"/>
      <c r="B463" s="435"/>
      <c r="C463" s="79"/>
      <c r="D463" s="80"/>
    </row>
    <row r="464" spans="1:6">
      <c r="A464" s="435"/>
      <c r="B464" s="435"/>
      <c r="C464" s="79"/>
      <c r="D464" s="80"/>
    </row>
    <row r="465" spans="1:5">
      <c r="A465" s="435"/>
      <c r="B465" s="435"/>
      <c r="C465" s="79"/>
      <c r="D465" s="80"/>
    </row>
    <row r="466" spans="1:5">
      <c r="A466" s="435"/>
      <c r="B466" s="435"/>
      <c r="C466" s="79"/>
      <c r="D466" s="80"/>
    </row>
    <row r="467" spans="1:5">
      <c r="A467" s="436"/>
      <c r="B467" s="436"/>
      <c r="C467" s="79"/>
      <c r="D467" s="80"/>
    </row>
    <row r="468" spans="1:5" ht="15.75">
      <c r="A468" s="438" t="s">
        <v>655</v>
      </c>
      <c r="B468" s="439"/>
      <c r="C468" s="440"/>
      <c r="D468" s="81">
        <f>SUM(D451:D467)</f>
        <v>8550</v>
      </c>
      <c r="E468" s="82">
        <f>+'Tổng,SUMMARY'!$Q$115</f>
        <v>8550</v>
      </c>
    </row>
    <row r="469" spans="1:5">
      <c r="A469" s="434" t="s">
        <v>247</v>
      </c>
      <c r="B469" s="434" t="s">
        <v>248</v>
      </c>
      <c r="C469" s="79" t="s">
        <v>676</v>
      </c>
      <c r="D469" s="80">
        <f>4450-3600</f>
        <v>850</v>
      </c>
    </row>
    <row r="470" spans="1:5">
      <c r="A470" s="435"/>
      <c r="B470" s="435"/>
      <c r="C470" s="79" t="s">
        <v>700</v>
      </c>
      <c r="D470" s="80">
        <v>1200</v>
      </c>
    </row>
    <row r="471" spans="1:5">
      <c r="A471" s="435"/>
      <c r="B471" s="435"/>
      <c r="C471" s="79" t="s">
        <v>701</v>
      </c>
      <c r="D471" s="80">
        <v>1200</v>
      </c>
    </row>
    <row r="472" spans="1:5">
      <c r="A472" s="435"/>
      <c r="B472" s="435"/>
      <c r="C472" s="79" t="s">
        <v>702</v>
      </c>
      <c r="D472" s="80">
        <v>150</v>
      </c>
    </row>
    <row r="473" spans="1:5">
      <c r="A473" s="435"/>
      <c r="B473" s="435"/>
      <c r="C473" s="79"/>
      <c r="D473" s="80"/>
    </row>
    <row r="474" spans="1:5">
      <c r="A474" s="435"/>
      <c r="B474" s="435"/>
      <c r="C474" s="79"/>
      <c r="D474" s="80"/>
    </row>
    <row r="475" spans="1:5">
      <c r="A475" s="436"/>
      <c r="B475" s="436"/>
      <c r="C475" s="79"/>
      <c r="D475" s="80"/>
    </row>
    <row r="476" spans="1:5" ht="15.75">
      <c r="A476" s="438" t="s">
        <v>655</v>
      </c>
      <c r="B476" s="439"/>
      <c r="C476" s="440"/>
      <c r="D476" s="81">
        <f>SUM(D469:D475)</f>
        <v>3400</v>
      </c>
      <c r="E476" s="82" t="e">
        <f>+VLOOKUP(A471,'Tổng,SUMMARY'!C:Q,15,0)</f>
        <v>#N/A</v>
      </c>
    </row>
    <row r="477" spans="1:5">
      <c r="A477" s="434" t="s">
        <v>114</v>
      </c>
      <c r="B477" s="434" t="s">
        <v>115</v>
      </c>
      <c r="C477" s="79" t="s">
        <v>703</v>
      </c>
      <c r="D477" s="80">
        <v>100</v>
      </c>
    </row>
    <row r="478" spans="1:5">
      <c r="A478" s="435"/>
      <c r="B478" s="435"/>
      <c r="C478" s="79" t="s">
        <v>704</v>
      </c>
      <c r="D478" s="80">
        <v>300</v>
      </c>
    </row>
    <row r="479" spans="1:5">
      <c r="A479" s="435"/>
      <c r="B479" s="435"/>
      <c r="C479" s="79"/>
      <c r="D479" s="80"/>
    </row>
    <row r="480" spans="1:5">
      <c r="A480" s="435"/>
      <c r="B480" s="435"/>
      <c r="C480" s="79"/>
      <c r="D480" s="80"/>
    </row>
    <row r="481" spans="1:5">
      <c r="A481" s="435"/>
      <c r="B481" s="435"/>
      <c r="C481" s="79"/>
      <c r="D481" s="80"/>
    </row>
    <row r="482" spans="1:5">
      <c r="A482" s="435"/>
      <c r="B482" s="435"/>
      <c r="C482" s="79"/>
      <c r="D482" s="80"/>
    </row>
    <row r="483" spans="1:5">
      <c r="A483" s="435"/>
      <c r="B483" s="435"/>
      <c r="C483" s="79"/>
      <c r="D483" s="80"/>
    </row>
    <row r="484" spans="1:5">
      <c r="A484" s="435"/>
      <c r="B484" s="435"/>
      <c r="C484" s="79"/>
      <c r="D484" s="80"/>
    </row>
    <row r="485" spans="1:5">
      <c r="A485" s="435"/>
      <c r="B485" s="435"/>
      <c r="C485" s="79"/>
      <c r="D485" s="80"/>
    </row>
    <row r="486" spans="1:5">
      <c r="A486" s="436"/>
      <c r="B486" s="436"/>
      <c r="C486" s="79"/>
      <c r="D486" s="80"/>
    </row>
    <row r="487" spans="1:5" ht="15.75">
      <c r="A487" s="438" t="s">
        <v>655</v>
      </c>
      <c r="B487" s="439"/>
      <c r="C487" s="440"/>
      <c r="D487" s="81">
        <f>SUM(D477:D486)</f>
        <v>400</v>
      </c>
      <c r="E487" s="82" t="e">
        <f>+VLOOKUP(A482,'Tổng,SUMMARY'!C:Q,15,0)</f>
        <v>#N/A</v>
      </c>
    </row>
    <row r="488" spans="1:5">
      <c r="A488" s="434" t="s">
        <v>165</v>
      </c>
      <c r="B488" s="434" t="s">
        <v>166</v>
      </c>
      <c r="C488" s="79" t="s">
        <v>705</v>
      </c>
      <c r="D488" s="80">
        <v>1000</v>
      </c>
    </row>
    <row r="489" spans="1:5">
      <c r="A489" s="435"/>
      <c r="B489" s="435"/>
      <c r="C489" s="79" t="s">
        <v>706</v>
      </c>
      <c r="D489" s="80">
        <v>1200</v>
      </c>
    </row>
    <row r="490" spans="1:5">
      <c r="A490" s="435"/>
      <c r="B490" s="435"/>
      <c r="C490" s="79"/>
      <c r="D490" s="80"/>
    </row>
    <row r="491" spans="1:5">
      <c r="A491" s="435"/>
      <c r="B491" s="435"/>
      <c r="C491" s="79"/>
      <c r="D491" s="80"/>
    </row>
    <row r="492" spans="1:5">
      <c r="A492" s="435"/>
      <c r="B492" s="435"/>
      <c r="C492" s="79"/>
      <c r="D492" s="80"/>
    </row>
    <row r="493" spans="1:5">
      <c r="A493" s="435"/>
      <c r="B493" s="435"/>
      <c r="C493" s="79"/>
      <c r="D493" s="80"/>
    </row>
    <row r="494" spans="1:5">
      <c r="A494" s="435"/>
      <c r="B494" s="435"/>
      <c r="C494" s="79"/>
      <c r="D494" s="80"/>
    </row>
    <row r="495" spans="1:5">
      <c r="A495" s="435"/>
      <c r="B495" s="435"/>
      <c r="C495" s="79"/>
      <c r="D495" s="80"/>
    </row>
    <row r="496" spans="1:5">
      <c r="A496" s="435"/>
      <c r="B496" s="435"/>
      <c r="C496" s="79"/>
      <c r="D496" s="80"/>
    </row>
    <row r="497" spans="1:5">
      <c r="A497" s="435"/>
      <c r="B497" s="435"/>
      <c r="C497" s="79"/>
      <c r="D497" s="80"/>
    </row>
    <row r="498" spans="1:5">
      <c r="A498" s="435"/>
      <c r="B498" s="435"/>
      <c r="C498" s="79"/>
      <c r="D498" s="80"/>
    </row>
    <row r="499" spans="1:5">
      <c r="A499" s="435"/>
      <c r="B499" s="435"/>
      <c r="C499" s="79"/>
      <c r="D499" s="80"/>
    </row>
    <row r="500" spans="1:5">
      <c r="A500" s="436"/>
      <c r="B500" s="436"/>
      <c r="C500" s="79"/>
      <c r="D500" s="80"/>
    </row>
    <row r="501" spans="1:5" ht="15.75">
      <c r="A501" s="438" t="s">
        <v>655</v>
      </c>
      <c r="B501" s="439"/>
      <c r="C501" s="440"/>
      <c r="D501" s="81">
        <f>SUM(D488:D500)</f>
        <v>2200</v>
      </c>
      <c r="E501" s="82">
        <f>+'Tổng,SUMMARY'!$Q$212</f>
        <v>2200</v>
      </c>
    </row>
    <row r="502" spans="1:5">
      <c r="A502" s="434" t="s">
        <v>473</v>
      </c>
      <c r="B502" s="434" t="s">
        <v>474</v>
      </c>
      <c r="C502" s="79" t="s">
        <v>707</v>
      </c>
      <c r="D502" s="80">
        <v>100</v>
      </c>
    </row>
    <row r="503" spans="1:5">
      <c r="A503" s="435"/>
      <c r="B503" s="435"/>
      <c r="C503" s="79" t="s">
        <v>1028</v>
      </c>
      <c r="D503" s="80">
        <v>100</v>
      </c>
    </row>
    <row r="504" spans="1:5">
      <c r="A504" s="435"/>
      <c r="B504" s="435"/>
      <c r="C504" s="79"/>
      <c r="D504" s="80"/>
    </row>
    <row r="505" spans="1:5">
      <c r="A505" s="435"/>
      <c r="B505" s="435"/>
      <c r="C505" s="79"/>
      <c r="D505" s="80"/>
    </row>
    <row r="506" spans="1:5">
      <c r="A506" s="435"/>
      <c r="B506" s="435"/>
      <c r="C506" s="79"/>
      <c r="D506" s="80"/>
    </row>
    <row r="507" spans="1:5">
      <c r="A507" s="435"/>
      <c r="B507" s="435"/>
      <c r="C507" s="79"/>
      <c r="D507" s="80"/>
    </row>
    <row r="508" spans="1:5">
      <c r="A508" s="435"/>
      <c r="B508" s="435"/>
      <c r="C508" s="79"/>
      <c r="D508" s="80"/>
    </row>
    <row r="509" spans="1:5">
      <c r="A509" s="435"/>
      <c r="B509" s="435"/>
      <c r="C509" s="79"/>
      <c r="D509" s="80"/>
    </row>
    <row r="510" spans="1:5">
      <c r="A510" s="435"/>
      <c r="B510" s="435"/>
      <c r="C510" s="79"/>
      <c r="D510" s="80"/>
    </row>
    <row r="511" spans="1:5">
      <c r="A511" s="436"/>
      <c r="B511" s="436"/>
      <c r="C511" s="79"/>
      <c r="D511" s="80"/>
    </row>
    <row r="512" spans="1:5" ht="15.75">
      <c r="A512" s="438" t="s">
        <v>655</v>
      </c>
      <c r="B512" s="439"/>
      <c r="C512" s="440"/>
      <c r="D512" s="81">
        <f>SUM(D502:D511)</f>
        <v>200</v>
      </c>
      <c r="E512" s="82">
        <f>+'Tổng,SUMMARY'!$Q$184</f>
        <v>200</v>
      </c>
    </row>
    <row r="513" spans="1:5">
      <c r="A513" s="434" t="s">
        <v>471</v>
      </c>
      <c r="B513" s="434" t="s">
        <v>472</v>
      </c>
      <c r="C513" s="79" t="s">
        <v>708</v>
      </c>
      <c r="D513" s="80">
        <v>1000</v>
      </c>
    </row>
    <row r="514" spans="1:5">
      <c r="A514" s="435"/>
      <c r="B514" s="435"/>
      <c r="C514" s="79" t="s">
        <v>709</v>
      </c>
      <c r="D514" s="80">
        <v>550</v>
      </c>
    </row>
    <row r="515" spans="1:5">
      <c r="A515" s="435"/>
      <c r="B515" s="435"/>
      <c r="C515" s="79" t="s">
        <v>710</v>
      </c>
      <c r="D515" s="80">
        <v>1000</v>
      </c>
    </row>
    <row r="516" spans="1:5">
      <c r="A516" s="435"/>
      <c r="B516" s="435"/>
      <c r="C516" s="79"/>
      <c r="D516" s="80"/>
    </row>
    <row r="517" spans="1:5">
      <c r="A517" s="435"/>
      <c r="B517" s="435"/>
      <c r="C517" s="79"/>
      <c r="D517" s="80"/>
    </row>
    <row r="518" spans="1:5">
      <c r="A518" s="435"/>
      <c r="B518" s="435"/>
      <c r="C518" s="79"/>
      <c r="D518" s="80"/>
    </row>
    <row r="519" spans="1:5">
      <c r="A519" s="435"/>
      <c r="B519" s="435"/>
      <c r="C519" s="79"/>
      <c r="D519" s="80"/>
    </row>
    <row r="520" spans="1:5">
      <c r="A520" s="435"/>
      <c r="B520" s="435"/>
      <c r="C520" s="79"/>
      <c r="D520" s="80"/>
    </row>
    <row r="521" spans="1:5">
      <c r="A521" s="436"/>
      <c r="B521" s="436"/>
      <c r="C521" s="79"/>
      <c r="D521" s="80"/>
    </row>
    <row r="522" spans="1:5" ht="15.75">
      <c r="A522" s="438" t="s">
        <v>655</v>
      </c>
      <c r="B522" s="439"/>
      <c r="C522" s="440"/>
      <c r="D522" s="81">
        <f>SUM(D513:D521)</f>
        <v>2550</v>
      </c>
      <c r="E522" s="82" t="e">
        <f>+VLOOKUP(A517,'Tổng,SUMMARY'!C:Q,15,0)</f>
        <v>#N/A</v>
      </c>
    </row>
    <row r="523" spans="1:5">
      <c r="A523" s="434" t="s">
        <v>209</v>
      </c>
      <c r="B523" s="434" t="s">
        <v>210</v>
      </c>
      <c r="C523" s="79"/>
      <c r="D523" s="80"/>
      <c r="E523" s="8"/>
    </row>
    <row r="524" spans="1:5">
      <c r="A524" s="435"/>
      <c r="B524" s="435"/>
      <c r="C524" s="79"/>
      <c r="D524" s="80"/>
      <c r="E524" s="8"/>
    </row>
    <row r="525" spans="1:5">
      <c r="A525" s="435"/>
      <c r="B525" s="435"/>
      <c r="C525" s="79" t="s">
        <v>1472</v>
      </c>
      <c r="D525" s="80">
        <v>1100</v>
      </c>
      <c r="E525" s="8"/>
    </row>
    <row r="526" spans="1:5">
      <c r="A526" s="435"/>
      <c r="B526" s="435"/>
      <c r="C526" s="79" t="s">
        <v>1471</v>
      </c>
      <c r="D526" s="80">
        <v>1200</v>
      </c>
      <c r="E526" s="8"/>
    </row>
    <row r="527" spans="1:5">
      <c r="A527" s="435"/>
      <c r="B527" s="435"/>
      <c r="C527" s="79" t="s">
        <v>1470</v>
      </c>
      <c r="D527" s="80">
        <v>100</v>
      </c>
      <c r="E527" s="8"/>
    </row>
    <row r="528" spans="1:5">
      <c r="A528" s="435"/>
      <c r="B528" s="435"/>
      <c r="C528" s="79" t="s">
        <v>1145</v>
      </c>
      <c r="D528" s="80">
        <v>1200</v>
      </c>
      <c r="E528" s="8"/>
    </row>
    <row r="529" spans="1:5">
      <c r="A529" s="435"/>
      <c r="B529" s="435"/>
      <c r="C529" s="79" t="s">
        <v>1146</v>
      </c>
      <c r="D529" s="80">
        <v>1200</v>
      </c>
      <c r="E529" s="8"/>
    </row>
    <row r="530" spans="1:5">
      <c r="A530" s="435"/>
      <c r="B530" s="435"/>
      <c r="C530" s="79"/>
      <c r="D530" s="80"/>
      <c r="E530" s="8"/>
    </row>
    <row r="531" spans="1:5">
      <c r="A531" s="435"/>
      <c r="B531" s="435"/>
      <c r="C531" s="79"/>
      <c r="D531" s="80"/>
      <c r="E531" s="8"/>
    </row>
    <row r="532" spans="1:5">
      <c r="A532" s="435"/>
      <c r="B532" s="435"/>
      <c r="C532" s="79" t="s">
        <v>1220</v>
      </c>
      <c r="D532" s="80">
        <v>1200</v>
      </c>
      <c r="E532" s="8"/>
    </row>
    <row r="533" spans="1:5">
      <c r="A533" s="435"/>
      <c r="B533" s="435"/>
      <c r="C533" s="79" t="s">
        <v>1221</v>
      </c>
      <c r="D533" s="80">
        <v>1200</v>
      </c>
      <c r="E533" s="8"/>
    </row>
    <row r="534" spans="1:5">
      <c r="A534" s="435"/>
      <c r="B534" s="435"/>
      <c r="C534" s="79" t="s">
        <v>1224</v>
      </c>
      <c r="D534" s="80">
        <v>1200</v>
      </c>
      <c r="E534" s="8"/>
    </row>
    <row r="535" spans="1:5">
      <c r="A535" s="435"/>
      <c r="B535" s="435"/>
      <c r="C535" s="79" t="s">
        <v>1225</v>
      </c>
      <c r="D535" s="80">
        <v>550</v>
      </c>
      <c r="E535" s="8"/>
    </row>
    <row r="536" spans="1:5">
      <c r="A536" s="435"/>
      <c r="B536" s="435"/>
      <c r="C536" s="79" t="s">
        <v>1302</v>
      </c>
      <c r="D536" s="80">
        <v>1200</v>
      </c>
      <c r="E536" s="8"/>
    </row>
    <row r="537" spans="1:5">
      <c r="A537" s="435"/>
      <c r="B537" s="435"/>
      <c r="C537" s="79" t="s">
        <v>1303</v>
      </c>
      <c r="D537" s="80">
        <v>1200</v>
      </c>
      <c r="E537" s="8"/>
    </row>
    <row r="538" spans="1:5">
      <c r="A538" s="435"/>
      <c r="B538" s="435"/>
      <c r="C538" s="79" t="s">
        <v>1304</v>
      </c>
      <c r="D538" s="80">
        <v>1200</v>
      </c>
      <c r="E538" s="8"/>
    </row>
    <row r="539" spans="1:5">
      <c r="A539" s="435"/>
      <c r="B539" s="435"/>
      <c r="C539" s="79" t="s">
        <v>1305</v>
      </c>
      <c r="D539" s="80">
        <v>1200</v>
      </c>
      <c r="E539" s="8"/>
    </row>
    <row r="540" spans="1:5">
      <c r="A540" s="435"/>
      <c r="B540" s="435"/>
      <c r="C540" s="79" t="s">
        <v>1340</v>
      </c>
      <c r="D540" s="80">
        <v>1200</v>
      </c>
      <c r="E540" s="8"/>
    </row>
    <row r="541" spans="1:5">
      <c r="A541" s="435"/>
      <c r="B541" s="435"/>
      <c r="C541" s="79" t="s">
        <v>1341</v>
      </c>
      <c r="D541" s="80">
        <v>1200</v>
      </c>
      <c r="E541" s="8"/>
    </row>
    <row r="542" spans="1:5">
      <c r="A542" s="435"/>
      <c r="B542" s="435"/>
      <c r="C542" s="79" t="s">
        <v>1371</v>
      </c>
      <c r="D542" s="80">
        <v>1050</v>
      </c>
      <c r="E542" s="8"/>
    </row>
    <row r="543" spans="1:5">
      <c r="A543" s="435"/>
      <c r="B543" s="435"/>
      <c r="C543" s="79" t="s">
        <v>1372</v>
      </c>
      <c r="D543" s="80">
        <v>800</v>
      </c>
      <c r="E543" s="8"/>
    </row>
    <row r="544" spans="1:5">
      <c r="A544" s="435"/>
      <c r="B544" s="435"/>
      <c r="C544" s="79" t="s">
        <v>1433</v>
      </c>
      <c r="D544" s="80">
        <v>1200</v>
      </c>
      <c r="E544" s="8"/>
    </row>
    <row r="545" spans="1:6">
      <c r="A545" s="435"/>
      <c r="B545" s="435"/>
      <c r="C545" s="79" t="s">
        <v>1434</v>
      </c>
      <c r="D545" s="80">
        <v>1200</v>
      </c>
      <c r="E545" s="8"/>
    </row>
    <row r="546" spans="1:6">
      <c r="A546" s="435"/>
      <c r="B546" s="435"/>
      <c r="C546" s="79" t="s">
        <v>1511</v>
      </c>
      <c r="D546" s="80">
        <v>1200</v>
      </c>
      <c r="E546" s="8"/>
    </row>
    <row r="547" spans="1:6">
      <c r="A547" s="435"/>
      <c r="B547" s="435"/>
      <c r="C547" s="79" t="s">
        <v>1371</v>
      </c>
      <c r="D547" s="80">
        <v>100</v>
      </c>
      <c r="E547" s="8"/>
    </row>
    <row r="548" spans="1:6">
      <c r="A548" s="435"/>
      <c r="B548" s="435"/>
      <c r="C548" s="79" t="s">
        <v>1512</v>
      </c>
      <c r="D548" s="80">
        <v>1100</v>
      </c>
      <c r="E548" s="8"/>
    </row>
    <row r="549" spans="1:6">
      <c r="A549" s="435"/>
      <c r="B549" s="435"/>
      <c r="C549" s="79" t="s">
        <v>1553</v>
      </c>
      <c r="D549" s="80">
        <v>1200</v>
      </c>
      <c r="E549" s="8"/>
    </row>
    <row r="550" spans="1:6">
      <c r="A550" s="435"/>
      <c r="B550" s="435"/>
      <c r="C550" s="79" t="s">
        <v>1511</v>
      </c>
      <c r="D550" s="80">
        <v>1200</v>
      </c>
      <c r="E550" s="8"/>
    </row>
    <row r="551" spans="1:6">
      <c r="A551" s="435"/>
      <c r="B551" s="435"/>
      <c r="C551" s="79"/>
      <c r="D551" s="80"/>
      <c r="E551" s="8"/>
    </row>
    <row r="552" spans="1:6">
      <c r="A552" s="435"/>
      <c r="B552" s="435"/>
      <c r="C552" s="79"/>
      <c r="D552" s="80"/>
      <c r="E552" s="8"/>
    </row>
    <row r="553" spans="1:6">
      <c r="A553" s="435"/>
      <c r="B553" s="435"/>
      <c r="C553" s="79"/>
      <c r="D553" s="80"/>
      <c r="E553" s="8"/>
    </row>
    <row r="554" spans="1:6">
      <c r="A554" s="435"/>
      <c r="B554" s="435"/>
      <c r="C554" s="79"/>
      <c r="D554" s="80"/>
      <c r="E554" s="8"/>
    </row>
    <row r="555" spans="1:6">
      <c r="A555" s="435"/>
      <c r="B555" s="435"/>
      <c r="C555" s="79"/>
      <c r="D555" s="80"/>
      <c r="E555" s="8"/>
    </row>
    <row r="556" spans="1:6">
      <c r="A556" s="435"/>
      <c r="B556" s="435"/>
      <c r="C556" s="79"/>
      <c r="D556" s="80"/>
      <c r="E556" s="8"/>
    </row>
    <row r="557" spans="1:6">
      <c r="A557" s="436"/>
      <c r="B557" s="436"/>
      <c r="C557" s="79"/>
      <c r="D557" s="80"/>
      <c r="E557" s="8"/>
    </row>
    <row r="558" spans="1:6" ht="15.75">
      <c r="A558" s="438" t="s">
        <v>655</v>
      </c>
      <c r="B558" s="439"/>
      <c r="C558" s="440"/>
      <c r="D558" s="81">
        <f>SUM(D523:D557)</f>
        <v>25200</v>
      </c>
      <c r="E558" s="82">
        <f>+'Tổng,SUMMARY'!$Q$127</f>
        <v>25200</v>
      </c>
      <c r="F558" s="87">
        <f>+E558-D558</f>
        <v>0</v>
      </c>
    </row>
    <row r="559" spans="1:6">
      <c r="A559" s="433" t="s">
        <v>479</v>
      </c>
      <c r="B559" s="433" t="s">
        <v>480</v>
      </c>
      <c r="C559" s="79" t="s">
        <v>676</v>
      </c>
      <c r="D559" s="80">
        <v>100</v>
      </c>
    </row>
    <row r="560" spans="1:6">
      <c r="A560" s="433"/>
      <c r="B560" s="433"/>
      <c r="C560" s="79" t="s">
        <v>711</v>
      </c>
      <c r="D560" s="80">
        <v>200</v>
      </c>
    </row>
    <row r="561" spans="1:5">
      <c r="A561" s="433"/>
      <c r="B561" s="433"/>
      <c r="C561" s="79"/>
      <c r="D561" s="80"/>
    </row>
    <row r="562" spans="1:5">
      <c r="A562" s="433"/>
      <c r="B562" s="433"/>
      <c r="C562" s="79"/>
      <c r="D562" s="80"/>
    </row>
    <row r="563" spans="1:5" ht="15.75">
      <c r="A563" s="438" t="s">
        <v>655</v>
      </c>
      <c r="B563" s="439"/>
      <c r="C563" s="440"/>
      <c r="D563" s="81">
        <f>SUM(D559:D562)</f>
        <v>300</v>
      </c>
      <c r="E563" s="82" t="e">
        <f>+VLOOKUP(A557,'Tổng,SUMMARY'!C:Q,15,0)</f>
        <v>#N/A</v>
      </c>
    </row>
    <row r="564" spans="1:5">
      <c r="A564" s="433" t="s">
        <v>253</v>
      </c>
      <c r="B564" s="433" t="s">
        <v>254</v>
      </c>
      <c r="C564" s="79" t="s">
        <v>712</v>
      </c>
      <c r="D564" s="80">
        <v>200</v>
      </c>
    </row>
    <row r="565" spans="1:5">
      <c r="A565" s="433"/>
      <c r="B565" s="433"/>
      <c r="C565" s="79" t="s">
        <v>842</v>
      </c>
      <c r="D565" s="80">
        <v>1000</v>
      </c>
    </row>
    <row r="566" spans="1:5">
      <c r="A566" s="433"/>
      <c r="B566" s="433"/>
      <c r="C566" s="79" t="s">
        <v>843</v>
      </c>
      <c r="D566" s="80">
        <v>200</v>
      </c>
    </row>
    <row r="567" spans="1:5">
      <c r="A567" s="433"/>
      <c r="B567" s="433"/>
      <c r="C567" s="79" t="s">
        <v>823</v>
      </c>
      <c r="D567" s="80">
        <v>1100</v>
      </c>
    </row>
    <row r="568" spans="1:5">
      <c r="A568" s="433"/>
      <c r="B568" s="433"/>
      <c r="C568" s="79"/>
      <c r="D568" s="80"/>
    </row>
    <row r="569" spans="1:5">
      <c r="A569" s="433"/>
      <c r="B569" s="433"/>
      <c r="C569" s="79"/>
      <c r="D569" s="80"/>
    </row>
    <row r="570" spans="1:5">
      <c r="A570" s="433"/>
      <c r="B570" s="433"/>
      <c r="C570" s="79"/>
      <c r="D570" s="80"/>
    </row>
    <row r="571" spans="1:5" ht="15.75">
      <c r="A571" s="438" t="s">
        <v>655</v>
      </c>
      <c r="B571" s="439"/>
      <c r="C571" s="440"/>
      <c r="D571" s="81">
        <f>SUM(D564:D570)</f>
        <v>2500</v>
      </c>
      <c r="E571" s="82">
        <f>+'Tổng,SUMMARY'!$Q$46</f>
        <v>500</v>
      </c>
    </row>
    <row r="572" spans="1:5">
      <c r="A572" s="433" t="s">
        <v>346</v>
      </c>
      <c r="B572" s="433" t="s">
        <v>347</v>
      </c>
      <c r="C572" s="79"/>
      <c r="D572" s="80">
        <v>1200</v>
      </c>
    </row>
    <row r="573" spans="1:5">
      <c r="A573" s="433"/>
      <c r="B573" s="433"/>
      <c r="C573" s="79"/>
      <c r="D573" s="80"/>
    </row>
    <row r="574" spans="1:5">
      <c r="A574" s="433"/>
      <c r="B574" s="433"/>
      <c r="C574" s="79" t="s">
        <v>1020</v>
      </c>
      <c r="D574" s="80">
        <v>300</v>
      </c>
    </row>
    <row r="575" spans="1:5">
      <c r="A575" s="433"/>
      <c r="B575" s="433"/>
      <c r="C575" s="79" t="s">
        <v>1021</v>
      </c>
      <c r="D575" s="80">
        <v>1200</v>
      </c>
    </row>
    <row r="576" spans="1:5">
      <c r="A576" s="433"/>
      <c r="B576" s="433"/>
      <c r="C576" s="79" t="s">
        <v>1022</v>
      </c>
      <c r="D576" s="80">
        <v>1200</v>
      </c>
    </row>
    <row r="577" spans="1:6">
      <c r="A577" s="433"/>
      <c r="B577" s="433"/>
      <c r="C577" s="79"/>
      <c r="D577" s="80"/>
    </row>
    <row r="578" spans="1:6">
      <c r="A578" s="433"/>
      <c r="B578" s="433"/>
      <c r="C578" s="79" t="s">
        <v>1058</v>
      </c>
      <c r="D578" s="80">
        <v>50</v>
      </c>
    </row>
    <row r="579" spans="1:6">
      <c r="A579" s="433"/>
      <c r="B579" s="433"/>
      <c r="C579" s="79" t="s">
        <v>1089</v>
      </c>
      <c r="D579" s="80">
        <v>1200</v>
      </c>
    </row>
    <row r="580" spans="1:6">
      <c r="A580" s="433"/>
      <c r="B580" s="433"/>
      <c r="C580" s="79" t="s">
        <v>1143</v>
      </c>
      <c r="D580" s="80">
        <v>1200</v>
      </c>
    </row>
    <row r="581" spans="1:6">
      <c r="A581" s="433"/>
      <c r="B581" s="433"/>
      <c r="C581" s="79"/>
      <c r="D581" s="80"/>
    </row>
    <row r="582" spans="1:6">
      <c r="A582" s="433"/>
      <c r="B582" s="433"/>
      <c r="C582" s="79" t="s">
        <v>1020</v>
      </c>
      <c r="D582" s="80">
        <v>650</v>
      </c>
    </row>
    <row r="583" spans="1:6">
      <c r="A583" s="433"/>
      <c r="B583" s="433"/>
      <c r="C583" s="79"/>
      <c r="D583" s="80"/>
    </row>
    <row r="584" spans="1:6">
      <c r="A584" s="433"/>
      <c r="B584" s="433"/>
      <c r="C584" s="79"/>
      <c r="D584" s="80"/>
    </row>
    <row r="585" spans="1:6">
      <c r="A585" s="433"/>
      <c r="B585" s="433"/>
      <c r="C585" s="79"/>
      <c r="D585" s="80"/>
    </row>
    <row r="586" spans="1:6">
      <c r="A586" s="433"/>
      <c r="B586" s="433"/>
      <c r="C586" s="79"/>
      <c r="D586" s="80"/>
    </row>
    <row r="587" spans="1:6">
      <c r="A587" s="433"/>
      <c r="B587" s="433"/>
      <c r="C587" s="79"/>
      <c r="D587" s="80"/>
    </row>
    <row r="588" spans="1:6" ht="15.75">
      <c r="A588" s="438" t="s">
        <v>655</v>
      </c>
      <c r="B588" s="439"/>
      <c r="C588" s="440"/>
      <c r="D588" s="81">
        <f>SUM(D572:D587)</f>
        <v>7000</v>
      </c>
      <c r="E588" s="82">
        <f>+'Tổng,SUMMARY'!$Q$174</f>
        <v>7000</v>
      </c>
      <c r="F588" s="87">
        <f>+E588-D588</f>
        <v>0</v>
      </c>
    </row>
    <row r="589" spans="1:6">
      <c r="A589" s="434" t="s">
        <v>305</v>
      </c>
      <c r="B589" s="434" t="s">
        <v>306</v>
      </c>
      <c r="C589" s="79"/>
      <c r="D589" s="80"/>
    </row>
    <row r="590" spans="1:6">
      <c r="A590" s="435"/>
      <c r="B590" s="435"/>
      <c r="C590" s="79" t="s">
        <v>1350</v>
      </c>
      <c r="D590" s="80">
        <v>250</v>
      </c>
    </row>
    <row r="591" spans="1:6">
      <c r="A591" s="435"/>
      <c r="B591" s="435"/>
      <c r="C591" s="79" t="s">
        <v>1503</v>
      </c>
      <c r="D591" s="80">
        <v>1000</v>
      </c>
    </row>
    <row r="592" spans="1:6">
      <c r="A592" s="435"/>
      <c r="B592" s="435"/>
      <c r="C592" s="79"/>
      <c r="D592" s="80"/>
    </row>
    <row r="593" spans="1:6">
      <c r="A593" s="435"/>
      <c r="B593" s="435"/>
      <c r="C593" s="79"/>
      <c r="D593" s="80"/>
    </row>
    <row r="594" spans="1:6">
      <c r="A594" s="435"/>
      <c r="B594" s="435"/>
      <c r="C594" s="79"/>
      <c r="D594" s="80"/>
    </row>
    <row r="595" spans="1:6">
      <c r="A595" s="435"/>
      <c r="B595" s="435"/>
      <c r="C595" s="79"/>
      <c r="D595" s="80"/>
    </row>
    <row r="596" spans="1:6">
      <c r="A596" s="436"/>
      <c r="B596" s="436"/>
      <c r="C596" s="79"/>
      <c r="D596" s="80"/>
    </row>
    <row r="597" spans="1:6" ht="15.75">
      <c r="A597" s="438" t="s">
        <v>655</v>
      </c>
      <c r="B597" s="439"/>
      <c r="C597" s="440"/>
      <c r="D597" s="81">
        <f>SUM(D589:D596)</f>
        <v>1250</v>
      </c>
      <c r="E597" s="82">
        <f>+'Tổng,SUMMARY'!$Q$227</f>
        <v>1250</v>
      </c>
      <c r="F597" s="87"/>
    </row>
    <row r="598" spans="1:6">
      <c r="A598" s="434" t="s">
        <v>460</v>
      </c>
      <c r="B598" s="434" t="s">
        <v>461</v>
      </c>
      <c r="C598" s="79" t="s">
        <v>705</v>
      </c>
      <c r="D598" s="80">
        <v>10500</v>
      </c>
    </row>
    <row r="599" spans="1:6">
      <c r="A599" s="435"/>
      <c r="B599" s="435"/>
      <c r="C599" s="79" t="s">
        <v>713</v>
      </c>
      <c r="D599" s="80">
        <v>1200</v>
      </c>
    </row>
    <row r="600" spans="1:6">
      <c r="A600" s="435"/>
      <c r="B600" s="435"/>
      <c r="C600" s="79" t="s">
        <v>714</v>
      </c>
      <c r="D600" s="80">
        <v>300</v>
      </c>
    </row>
    <row r="601" spans="1:6">
      <c r="A601" s="435"/>
      <c r="B601" s="435"/>
      <c r="C601" s="79"/>
      <c r="D601" s="80"/>
    </row>
    <row r="602" spans="1:6">
      <c r="A602" s="435"/>
      <c r="B602" s="435"/>
      <c r="C602" s="79"/>
      <c r="D602" s="80"/>
    </row>
    <row r="603" spans="1:6">
      <c r="A603" s="435"/>
      <c r="B603" s="435"/>
      <c r="C603" s="79"/>
      <c r="D603" s="80"/>
    </row>
    <row r="604" spans="1:6">
      <c r="A604" s="435"/>
      <c r="B604" s="435"/>
      <c r="C604" s="79"/>
      <c r="D604" s="80"/>
    </row>
    <row r="605" spans="1:6">
      <c r="A605" s="435"/>
      <c r="B605" s="435"/>
      <c r="C605" s="79"/>
      <c r="D605" s="80"/>
    </row>
    <row r="606" spans="1:6">
      <c r="A606" s="435"/>
      <c r="B606" s="435"/>
      <c r="C606" s="79"/>
      <c r="D606" s="80"/>
    </row>
    <row r="607" spans="1:6">
      <c r="A607" s="435"/>
      <c r="B607" s="435"/>
      <c r="C607" s="79"/>
      <c r="D607" s="80"/>
    </row>
    <row r="608" spans="1:6">
      <c r="A608" s="435"/>
      <c r="B608" s="435"/>
      <c r="C608" s="79"/>
      <c r="D608" s="80"/>
    </row>
    <row r="609" spans="1:5">
      <c r="A609" s="435"/>
      <c r="B609" s="435"/>
      <c r="C609" s="79"/>
      <c r="D609" s="80"/>
    </row>
    <row r="610" spans="1:5">
      <c r="A610" s="435"/>
      <c r="B610" s="435"/>
      <c r="C610" s="79"/>
      <c r="D610" s="80"/>
    </row>
    <row r="611" spans="1:5">
      <c r="A611" s="436"/>
      <c r="B611" s="436"/>
      <c r="C611" s="79"/>
      <c r="D611" s="80"/>
    </row>
    <row r="612" spans="1:5" ht="15.75">
      <c r="A612" s="438" t="s">
        <v>655</v>
      </c>
      <c r="B612" s="439"/>
      <c r="C612" s="440"/>
      <c r="D612" s="81">
        <f>SUM(D598:D611)</f>
        <v>12000</v>
      </c>
      <c r="E612" s="82">
        <f>+'Tổng,SUMMARY'!$Q$231</f>
        <v>12000</v>
      </c>
    </row>
    <row r="613" spans="1:5">
      <c r="A613" s="433" t="s">
        <v>264</v>
      </c>
      <c r="B613" s="433" t="s">
        <v>265</v>
      </c>
      <c r="C613" s="79" t="s">
        <v>1488</v>
      </c>
      <c r="D613" s="80">
        <v>400</v>
      </c>
    </row>
    <row r="614" spans="1:5">
      <c r="A614" s="433"/>
      <c r="B614" s="433"/>
      <c r="C614" s="79" t="s">
        <v>780</v>
      </c>
      <c r="D614" s="80">
        <v>700</v>
      </c>
    </row>
    <row r="615" spans="1:5">
      <c r="A615" s="433"/>
      <c r="B615" s="433"/>
      <c r="C615" s="79" t="s">
        <v>798</v>
      </c>
      <c r="D615" s="80">
        <v>1200</v>
      </c>
    </row>
    <row r="616" spans="1:5">
      <c r="A616" s="433"/>
      <c r="B616" s="433"/>
      <c r="C616" s="79" t="s">
        <v>799</v>
      </c>
      <c r="D616" s="80">
        <v>500</v>
      </c>
    </row>
    <row r="617" spans="1:5">
      <c r="A617" s="433"/>
      <c r="B617" s="433"/>
      <c r="C617" s="79" t="s">
        <v>820</v>
      </c>
      <c r="D617" s="80">
        <v>1150</v>
      </c>
    </row>
    <row r="618" spans="1:5">
      <c r="A618" s="433"/>
      <c r="B618" s="433"/>
      <c r="C618" s="79" t="s">
        <v>852</v>
      </c>
      <c r="D618" s="80">
        <v>600</v>
      </c>
    </row>
    <row r="619" spans="1:5">
      <c r="A619" s="433"/>
      <c r="B619" s="433"/>
      <c r="C619" s="79" t="s">
        <v>853</v>
      </c>
      <c r="D619" s="80">
        <v>600</v>
      </c>
    </row>
    <row r="620" spans="1:5">
      <c r="A620" s="433"/>
      <c r="B620" s="433"/>
      <c r="C620" s="79" t="s">
        <v>862</v>
      </c>
      <c r="D620" s="80">
        <v>400</v>
      </c>
    </row>
    <row r="621" spans="1:5">
      <c r="A621" s="433"/>
      <c r="B621" s="433"/>
      <c r="C621" s="79" t="s">
        <v>864</v>
      </c>
      <c r="D621" s="80">
        <v>450</v>
      </c>
    </row>
    <row r="622" spans="1:5">
      <c r="A622" s="433"/>
      <c r="B622" s="433"/>
      <c r="C622" s="79"/>
      <c r="D622" s="80"/>
    </row>
    <row r="623" spans="1:5">
      <c r="A623" s="433"/>
      <c r="B623" s="433"/>
      <c r="C623" s="79"/>
      <c r="D623" s="80"/>
    </row>
    <row r="624" spans="1:5">
      <c r="A624" s="433"/>
      <c r="B624" s="433"/>
      <c r="C624" s="79"/>
      <c r="D624" s="80"/>
    </row>
    <row r="625" spans="1:8">
      <c r="A625" s="433"/>
      <c r="B625" s="433"/>
      <c r="C625" s="368" t="s">
        <v>1489</v>
      </c>
      <c r="D625" s="368">
        <v>300</v>
      </c>
      <c r="F625" s="368"/>
      <c r="G625" s="79"/>
      <c r="H625" s="80"/>
    </row>
    <row r="626" spans="1:8" ht="15.75">
      <c r="A626" s="438" t="s">
        <v>655</v>
      </c>
      <c r="B626" s="439"/>
      <c r="C626" s="440"/>
      <c r="D626" s="81">
        <f>SUM(D613:D625)</f>
        <v>6300</v>
      </c>
      <c r="E626" s="82">
        <f>+'Tổng,SUMMARY'!$Q$23</f>
        <v>3300</v>
      </c>
    </row>
    <row r="627" spans="1:8">
      <c r="A627" s="434" t="s">
        <v>370</v>
      </c>
      <c r="B627" s="434" t="s">
        <v>371</v>
      </c>
      <c r="C627" s="79" t="s">
        <v>676</v>
      </c>
      <c r="D627" s="80">
        <v>300</v>
      </c>
    </row>
    <row r="628" spans="1:8">
      <c r="A628" s="435"/>
      <c r="B628" s="435"/>
      <c r="C628" s="79"/>
      <c r="D628" s="80"/>
    </row>
    <row r="629" spans="1:8">
      <c r="A629" s="435"/>
      <c r="B629" s="435"/>
      <c r="C629" s="79"/>
      <c r="D629" s="80"/>
    </row>
    <row r="630" spans="1:8">
      <c r="A630" s="435"/>
      <c r="B630" s="435"/>
      <c r="C630" s="79"/>
      <c r="D630" s="80"/>
    </row>
    <row r="631" spans="1:8">
      <c r="A631" s="435"/>
      <c r="B631" s="435"/>
      <c r="C631" s="79"/>
      <c r="D631" s="80"/>
    </row>
    <row r="632" spans="1:8">
      <c r="A632" s="435"/>
      <c r="B632" s="435"/>
      <c r="C632" s="79"/>
      <c r="D632" s="80"/>
    </row>
    <row r="633" spans="1:8">
      <c r="A633" s="435"/>
      <c r="B633" s="435"/>
      <c r="C633" s="79"/>
      <c r="D633" s="80"/>
    </row>
    <row r="634" spans="1:8">
      <c r="A634" s="435"/>
      <c r="B634" s="435"/>
      <c r="C634" s="79"/>
      <c r="D634" s="80"/>
    </row>
    <row r="635" spans="1:8">
      <c r="A635" s="435"/>
      <c r="B635" s="435"/>
      <c r="C635" s="79"/>
      <c r="D635" s="80"/>
    </row>
    <row r="636" spans="1:8">
      <c r="A636" s="435"/>
      <c r="B636" s="435"/>
      <c r="C636" s="79"/>
      <c r="D636" s="80"/>
    </row>
    <row r="637" spans="1:8">
      <c r="A637" s="435"/>
      <c r="B637" s="435"/>
      <c r="C637" s="79"/>
      <c r="D637" s="80"/>
    </row>
    <row r="638" spans="1:8">
      <c r="A638" s="435"/>
      <c r="B638" s="435"/>
      <c r="C638" s="79"/>
      <c r="D638" s="80"/>
    </row>
    <row r="639" spans="1:8">
      <c r="A639" s="435"/>
      <c r="B639" s="435"/>
      <c r="C639" s="79"/>
      <c r="D639" s="80"/>
    </row>
    <row r="640" spans="1:8">
      <c r="A640" s="435"/>
      <c r="B640" s="435"/>
      <c r="C640" s="79"/>
      <c r="D640" s="80"/>
    </row>
    <row r="641" spans="1:6">
      <c r="A641" s="436"/>
      <c r="B641" s="436"/>
      <c r="C641" s="79"/>
      <c r="D641" s="80"/>
      <c r="F641" s="87"/>
    </row>
    <row r="642" spans="1:6" ht="0.75" customHeight="1">
      <c r="A642" s="438" t="s">
        <v>655</v>
      </c>
      <c r="B642" s="439"/>
      <c r="C642" s="440"/>
      <c r="D642" s="81">
        <f>SUM(D627:D641)</f>
        <v>300</v>
      </c>
      <c r="E642" s="82"/>
      <c r="F642" s="87">
        <f>+E642-D642</f>
        <v>-300</v>
      </c>
    </row>
    <row r="643" spans="1:6" ht="23.25" customHeight="1">
      <c r="A643" s="433" t="s">
        <v>1090</v>
      </c>
      <c r="B643" s="433" t="s">
        <v>268</v>
      </c>
      <c r="C643" s="369"/>
      <c r="D643" s="88">
        <f>8640-1980</f>
        <v>6660</v>
      </c>
    </row>
    <row r="644" spans="1:6">
      <c r="A644" s="433"/>
      <c r="B644" s="433"/>
      <c r="C644" s="369"/>
      <c r="D644" s="80"/>
    </row>
    <row r="645" spans="1:6">
      <c r="A645" s="433"/>
      <c r="B645" s="433"/>
      <c r="C645" s="369" t="s">
        <v>987</v>
      </c>
      <c r="D645" s="80">
        <v>660</v>
      </c>
    </row>
    <row r="646" spans="1:6">
      <c r="A646" s="433"/>
      <c r="B646" s="433"/>
      <c r="C646" s="369" t="s">
        <v>1002</v>
      </c>
      <c r="D646" s="80">
        <v>690</v>
      </c>
    </row>
    <row r="647" spans="1:6">
      <c r="A647" s="433"/>
      <c r="B647" s="433"/>
      <c r="C647" s="369" t="s">
        <v>1092</v>
      </c>
      <c r="D647" s="80">
        <v>780</v>
      </c>
    </row>
    <row r="648" spans="1:6">
      <c r="A648" s="433"/>
      <c r="B648" s="433"/>
      <c r="C648" s="369" t="s">
        <v>1093</v>
      </c>
      <c r="D648" s="80">
        <v>780</v>
      </c>
    </row>
    <row r="649" spans="1:6">
      <c r="A649" s="433"/>
      <c r="B649" s="433"/>
      <c r="C649" s="369" t="s">
        <v>1102</v>
      </c>
      <c r="D649" s="80">
        <v>780</v>
      </c>
    </row>
    <row r="650" spans="1:6">
      <c r="A650" s="433"/>
      <c r="B650" s="433"/>
      <c r="C650" s="369" t="s">
        <v>1127</v>
      </c>
      <c r="D650" s="80">
        <v>750</v>
      </c>
    </row>
    <row r="651" spans="1:6">
      <c r="A651" s="433"/>
      <c r="B651" s="433"/>
      <c r="C651" s="369" t="s">
        <v>1128</v>
      </c>
      <c r="D651" s="80">
        <v>630</v>
      </c>
    </row>
    <row r="652" spans="1:6">
      <c r="A652" s="433"/>
      <c r="B652" s="433"/>
      <c r="C652" s="369" t="s">
        <v>1129</v>
      </c>
      <c r="D652" s="80">
        <v>780</v>
      </c>
    </row>
    <row r="653" spans="1:6">
      <c r="A653" s="433"/>
      <c r="B653" s="433"/>
      <c r="C653" s="369" t="s">
        <v>1130</v>
      </c>
      <c r="D653" s="80">
        <v>780</v>
      </c>
    </row>
    <row r="654" spans="1:6">
      <c r="A654" s="433"/>
      <c r="B654" s="433"/>
      <c r="C654" s="369" t="s">
        <v>1164</v>
      </c>
      <c r="D654" s="80">
        <v>780</v>
      </c>
    </row>
    <row r="655" spans="1:6">
      <c r="A655" s="433"/>
      <c r="B655" s="433"/>
      <c r="C655" s="369" t="s">
        <v>1165</v>
      </c>
      <c r="D655" s="80">
        <v>450</v>
      </c>
    </row>
    <row r="656" spans="1:6">
      <c r="A656" s="433"/>
      <c r="B656" s="433"/>
      <c r="C656" s="369" t="s">
        <v>1186</v>
      </c>
      <c r="D656" s="80">
        <v>780</v>
      </c>
    </row>
    <row r="657" spans="1:4">
      <c r="A657" s="433"/>
      <c r="B657" s="433"/>
      <c r="C657" s="369" t="s">
        <v>1187</v>
      </c>
      <c r="D657" s="80">
        <v>780</v>
      </c>
    </row>
    <row r="658" spans="1:4">
      <c r="A658" s="433"/>
      <c r="B658" s="433"/>
      <c r="C658" s="369" t="s">
        <v>1188</v>
      </c>
      <c r="D658" s="80">
        <v>780</v>
      </c>
    </row>
    <row r="659" spans="1:4">
      <c r="A659" s="433"/>
      <c r="B659" s="433"/>
      <c r="C659" s="369" t="s">
        <v>1189</v>
      </c>
      <c r="D659" s="80">
        <v>780</v>
      </c>
    </row>
    <row r="660" spans="1:4">
      <c r="A660" s="433"/>
      <c r="B660" s="433"/>
      <c r="C660" s="369" t="s">
        <v>1205</v>
      </c>
      <c r="D660" s="80">
        <v>780</v>
      </c>
    </row>
    <row r="661" spans="1:4">
      <c r="A661" s="433"/>
      <c r="B661" s="433"/>
      <c r="C661" s="369" t="s">
        <v>1206</v>
      </c>
      <c r="D661" s="80">
        <v>780</v>
      </c>
    </row>
    <row r="662" spans="1:4">
      <c r="A662" s="433"/>
      <c r="B662" s="433"/>
      <c r="C662" s="369" t="s">
        <v>1207</v>
      </c>
      <c r="D662" s="80">
        <v>780</v>
      </c>
    </row>
    <row r="663" spans="1:4">
      <c r="A663" s="433"/>
      <c r="B663" s="433"/>
      <c r="C663" s="369" t="s">
        <v>1310</v>
      </c>
      <c r="D663" s="80">
        <v>780</v>
      </c>
    </row>
    <row r="664" spans="1:4">
      <c r="A664" s="433"/>
      <c r="B664" s="433"/>
      <c r="C664" s="369" t="s">
        <v>1311</v>
      </c>
      <c r="D664" s="80">
        <v>780</v>
      </c>
    </row>
    <row r="665" spans="1:4">
      <c r="A665" s="433"/>
      <c r="B665" s="433"/>
      <c r="C665" s="369" t="s">
        <v>1312</v>
      </c>
      <c r="D665" s="80">
        <v>780</v>
      </c>
    </row>
    <row r="666" spans="1:4">
      <c r="A666" s="433"/>
      <c r="B666" s="433"/>
      <c r="C666" s="369" t="s">
        <v>1313</v>
      </c>
      <c r="D666" s="80">
        <v>390</v>
      </c>
    </row>
    <row r="667" spans="1:4">
      <c r="A667" s="433"/>
      <c r="B667" s="433"/>
      <c r="C667" s="369" t="s">
        <v>1359</v>
      </c>
      <c r="D667" s="80">
        <v>780</v>
      </c>
    </row>
    <row r="668" spans="1:4">
      <c r="A668" s="433"/>
      <c r="B668" s="433"/>
      <c r="C668" s="369" t="s">
        <v>1360</v>
      </c>
      <c r="D668" s="80">
        <v>780</v>
      </c>
    </row>
    <row r="669" spans="1:4">
      <c r="A669" s="433"/>
      <c r="B669" s="433"/>
      <c r="C669" s="369" t="s">
        <v>1361</v>
      </c>
      <c r="D669" s="80">
        <v>780</v>
      </c>
    </row>
    <row r="670" spans="1:4">
      <c r="A670" s="433"/>
      <c r="B670" s="433"/>
      <c r="C670" s="369" t="s">
        <v>1415</v>
      </c>
      <c r="D670" s="80">
        <v>780</v>
      </c>
    </row>
    <row r="671" spans="1:4">
      <c r="A671" s="433"/>
      <c r="B671" s="433"/>
      <c r="C671" s="369" t="s">
        <v>1416</v>
      </c>
      <c r="D671" s="80">
        <v>780</v>
      </c>
    </row>
    <row r="672" spans="1:4">
      <c r="A672" s="433"/>
      <c r="B672" s="433"/>
      <c r="C672" s="369" t="s">
        <v>1417</v>
      </c>
      <c r="D672" s="80">
        <v>780</v>
      </c>
    </row>
    <row r="673" spans="1:6">
      <c r="A673" s="433"/>
      <c r="B673" s="433"/>
      <c r="C673" s="369" t="s">
        <v>1418</v>
      </c>
      <c r="D673" s="80">
        <v>780</v>
      </c>
    </row>
    <row r="674" spans="1:6">
      <c r="A674" s="433"/>
      <c r="B674" s="433"/>
      <c r="C674" s="369" t="s">
        <v>1419</v>
      </c>
      <c r="D674" s="80">
        <v>780</v>
      </c>
    </row>
    <row r="675" spans="1:6">
      <c r="A675" s="433"/>
      <c r="B675" s="433"/>
      <c r="C675" s="369" t="s">
        <v>1420</v>
      </c>
      <c r="D675" s="80">
        <v>750</v>
      </c>
    </row>
    <row r="676" spans="1:6">
      <c r="A676" s="433"/>
      <c r="B676" s="433"/>
      <c r="C676" s="369" t="s">
        <v>1455</v>
      </c>
      <c r="D676" s="80">
        <v>1560</v>
      </c>
    </row>
    <row r="677" spans="1:6">
      <c r="A677" s="433"/>
      <c r="B677" s="433"/>
      <c r="C677" s="369" t="s">
        <v>1477</v>
      </c>
      <c r="D677" s="80">
        <v>780</v>
      </c>
    </row>
    <row r="678" spans="1:6">
      <c r="A678" s="433"/>
      <c r="B678" s="433"/>
      <c r="C678" s="369" t="s">
        <v>1482</v>
      </c>
      <c r="D678" s="80">
        <v>780</v>
      </c>
    </row>
    <row r="679" spans="1:6">
      <c r="A679" s="433"/>
      <c r="B679" s="433"/>
      <c r="C679" s="369" t="s">
        <v>1491</v>
      </c>
      <c r="D679" s="80">
        <v>780</v>
      </c>
    </row>
    <row r="680" spans="1:6">
      <c r="A680" s="433"/>
      <c r="B680" s="433"/>
      <c r="C680" s="369" t="s">
        <v>1492</v>
      </c>
      <c r="D680" s="80">
        <v>780</v>
      </c>
    </row>
    <row r="681" spans="1:6">
      <c r="A681" s="433"/>
      <c r="B681" s="433"/>
      <c r="C681" s="369" t="s">
        <v>1493</v>
      </c>
      <c r="D681" s="80">
        <v>780</v>
      </c>
      <c r="F681" s="87"/>
    </row>
    <row r="682" spans="1:6">
      <c r="A682" s="433"/>
      <c r="B682" s="433"/>
      <c r="C682" s="369" t="s">
        <v>1494</v>
      </c>
      <c r="D682" s="80">
        <v>660</v>
      </c>
      <c r="F682" s="87"/>
    </row>
    <row r="683" spans="1:6">
      <c r="A683" s="433"/>
      <c r="B683" s="433"/>
      <c r="C683" s="369"/>
      <c r="D683" s="80"/>
      <c r="F683" s="87"/>
    </row>
    <row r="684" spans="1:6">
      <c r="A684" s="433"/>
      <c r="B684" s="433"/>
      <c r="C684" s="369"/>
      <c r="D684" s="80"/>
      <c r="F684" s="87"/>
    </row>
    <row r="685" spans="1:6">
      <c r="A685" s="433"/>
      <c r="B685" s="433"/>
      <c r="C685" s="369"/>
      <c r="D685" s="80"/>
      <c r="F685" s="87"/>
    </row>
    <row r="686" spans="1:6">
      <c r="A686" s="433"/>
      <c r="B686" s="433"/>
      <c r="C686" s="369"/>
      <c r="D686" s="80"/>
      <c r="F686" s="87"/>
    </row>
    <row r="687" spans="1:6">
      <c r="A687" s="433"/>
      <c r="B687" s="433"/>
      <c r="C687" s="369"/>
      <c r="D687" s="80"/>
      <c r="F687" s="87"/>
    </row>
    <row r="688" spans="1:6">
      <c r="A688" s="433"/>
      <c r="B688" s="433"/>
      <c r="C688" s="369"/>
      <c r="D688" s="80"/>
      <c r="F688" s="87"/>
    </row>
    <row r="689" spans="1:6">
      <c r="A689" s="433"/>
      <c r="B689" s="433"/>
      <c r="C689" s="369"/>
      <c r="D689" s="80"/>
      <c r="F689" s="87"/>
    </row>
    <row r="690" spans="1:6">
      <c r="A690" s="433"/>
      <c r="B690" s="433"/>
      <c r="C690" s="369"/>
      <c r="D690" s="80"/>
      <c r="F690" s="87"/>
    </row>
    <row r="691" spans="1:6">
      <c r="A691" s="433"/>
      <c r="B691" s="433"/>
      <c r="C691" s="369"/>
      <c r="D691" s="80"/>
      <c r="F691" s="87"/>
    </row>
    <row r="692" spans="1:6" ht="16.5" customHeight="1">
      <c r="A692" s="438" t="s">
        <v>655</v>
      </c>
      <c r="B692" s="439"/>
      <c r="C692" s="440"/>
      <c r="D692" s="81">
        <f>SUM(D643:D682)</f>
        <v>35820</v>
      </c>
      <c r="E692" s="82">
        <f>+'Tổng,SUMMARY'!$Q$255</f>
        <v>35820</v>
      </c>
      <c r="F692" s="87">
        <f>+E692-D692</f>
        <v>0</v>
      </c>
    </row>
    <row r="693" spans="1:6">
      <c r="A693" s="434" t="s">
        <v>1004</v>
      </c>
      <c r="B693" s="434" t="s">
        <v>1005</v>
      </c>
      <c r="C693" s="79" t="s">
        <v>1006</v>
      </c>
      <c r="D693" s="80"/>
      <c r="F693" s="87"/>
    </row>
    <row r="694" spans="1:6">
      <c r="A694" s="435"/>
      <c r="B694" s="435"/>
      <c r="C694" s="79" t="s">
        <v>1011</v>
      </c>
      <c r="D694" s="80"/>
    </row>
    <row r="695" spans="1:6">
      <c r="A695" s="435"/>
      <c r="B695" s="435"/>
      <c r="C695" s="79"/>
      <c r="D695" s="80"/>
    </row>
    <row r="696" spans="1:6">
      <c r="A696" s="435"/>
      <c r="B696" s="435"/>
      <c r="C696" s="79"/>
      <c r="D696" s="80"/>
    </row>
    <row r="697" spans="1:6">
      <c r="A697" s="435"/>
      <c r="B697" s="435"/>
      <c r="C697" s="79"/>
      <c r="D697" s="80"/>
    </row>
    <row r="698" spans="1:6">
      <c r="A698" s="435"/>
      <c r="B698" s="435"/>
      <c r="C698" s="79"/>
      <c r="D698" s="80"/>
    </row>
    <row r="699" spans="1:6">
      <c r="A699" s="435"/>
      <c r="B699" s="435"/>
      <c r="C699" s="79"/>
      <c r="D699" s="80"/>
    </row>
    <row r="700" spans="1:6">
      <c r="A700" s="435"/>
      <c r="B700" s="435"/>
      <c r="C700" s="79"/>
      <c r="D700" s="80"/>
    </row>
    <row r="701" spans="1:6">
      <c r="A701" s="435"/>
      <c r="B701" s="435"/>
      <c r="C701" s="79"/>
      <c r="D701" s="80"/>
    </row>
    <row r="702" spans="1:6">
      <c r="A702" s="435"/>
      <c r="B702" s="435"/>
      <c r="C702" s="79"/>
      <c r="D702" s="80"/>
    </row>
    <row r="703" spans="1:6">
      <c r="A703" s="435"/>
      <c r="B703" s="435"/>
      <c r="C703" s="79"/>
      <c r="D703" s="80"/>
    </row>
    <row r="704" spans="1:6">
      <c r="A704" s="436"/>
      <c r="B704" s="436"/>
      <c r="C704" s="79"/>
      <c r="D704" s="80"/>
      <c r="F704" s="87"/>
    </row>
    <row r="705" spans="1:6" ht="15.75">
      <c r="A705" s="438" t="s">
        <v>655</v>
      </c>
      <c r="B705" s="439"/>
      <c r="C705" s="440"/>
      <c r="D705" s="81">
        <f>SUM(D693:D704)</f>
        <v>0</v>
      </c>
      <c r="E705" s="82">
        <f>+'Tổng,SUMMARY'!$Q$256</f>
        <v>0</v>
      </c>
      <c r="F705" s="87">
        <f>+E705-D705</f>
        <v>0</v>
      </c>
    </row>
    <row r="706" spans="1:6">
      <c r="A706" s="434" t="s">
        <v>1268</v>
      </c>
      <c r="B706" s="434" t="s">
        <v>1269</v>
      </c>
      <c r="C706" s="79"/>
      <c r="D706" s="80">
        <v>360</v>
      </c>
      <c r="F706" s="87"/>
    </row>
    <row r="707" spans="1:6">
      <c r="A707" s="435"/>
      <c r="B707" s="435"/>
      <c r="C707" s="79" t="s">
        <v>1270</v>
      </c>
      <c r="D707" s="80"/>
    </row>
    <row r="708" spans="1:6">
      <c r="A708" s="435"/>
      <c r="B708" s="435"/>
      <c r="C708" s="79"/>
      <c r="D708" s="80"/>
    </row>
    <row r="709" spans="1:6">
      <c r="A709" s="435"/>
      <c r="B709" s="435"/>
      <c r="C709" s="79"/>
      <c r="D709" s="80"/>
    </row>
    <row r="710" spans="1:6">
      <c r="A710" s="435"/>
      <c r="B710" s="435"/>
      <c r="C710" s="79"/>
      <c r="D710" s="80"/>
    </row>
    <row r="711" spans="1:6">
      <c r="A711" s="435"/>
      <c r="B711" s="435"/>
      <c r="C711" s="79"/>
      <c r="D711" s="80"/>
    </row>
    <row r="712" spans="1:6">
      <c r="A712" s="435"/>
      <c r="B712" s="435"/>
      <c r="C712" s="79"/>
      <c r="D712" s="80"/>
    </row>
    <row r="713" spans="1:6">
      <c r="A713" s="435"/>
      <c r="B713" s="435"/>
      <c r="C713" s="79"/>
      <c r="D713" s="80"/>
    </row>
    <row r="714" spans="1:6">
      <c r="A714" s="435"/>
      <c r="B714" s="435"/>
      <c r="C714" s="79"/>
      <c r="D714" s="80"/>
    </row>
    <row r="715" spans="1:6">
      <c r="A715" s="435"/>
      <c r="B715" s="435"/>
      <c r="C715" s="79"/>
      <c r="D715" s="80"/>
    </row>
    <row r="716" spans="1:6">
      <c r="A716" s="435"/>
      <c r="B716" s="435"/>
      <c r="C716" s="79"/>
      <c r="D716" s="80"/>
    </row>
    <row r="717" spans="1:6">
      <c r="A717" s="436"/>
      <c r="B717" s="436"/>
      <c r="C717" s="79"/>
      <c r="D717" s="80"/>
      <c r="F717" s="87"/>
    </row>
    <row r="718" spans="1:6" ht="15.75">
      <c r="A718" s="438" t="s">
        <v>655</v>
      </c>
      <c r="B718" s="439"/>
      <c r="C718" s="440"/>
      <c r="D718" s="81">
        <f>SUM(D706:D717)</f>
        <v>360</v>
      </c>
      <c r="E718" s="82">
        <f>+'Tổng,SUMMARY'!$Q$257</f>
        <v>360</v>
      </c>
      <c r="F718" s="87">
        <f>+E718-D718</f>
        <v>0</v>
      </c>
    </row>
    <row r="719" spans="1:6">
      <c r="A719" s="434" t="s">
        <v>332</v>
      </c>
      <c r="B719" s="434" t="s">
        <v>333</v>
      </c>
      <c r="C719" s="79"/>
      <c r="D719" s="80"/>
      <c r="F719" s="87"/>
    </row>
    <row r="720" spans="1:6">
      <c r="A720" s="435"/>
      <c r="B720" s="435"/>
      <c r="C720" s="84"/>
      <c r="D720" s="80"/>
    </row>
    <row r="721" spans="1:6">
      <c r="A721" s="435"/>
      <c r="B721" s="435"/>
      <c r="C721" s="84"/>
      <c r="D721" s="80"/>
    </row>
    <row r="722" spans="1:6">
      <c r="A722" s="435"/>
      <c r="B722" s="435"/>
      <c r="C722" s="84" t="s">
        <v>1345</v>
      </c>
      <c r="D722" s="80">
        <v>850</v>
      </c>
    </row>
    <row r="723" spans="1:6">
      <c r="A723" s="435"/>
      <c r="B723" s="435"/>
      <c r="C723" s="84" t="s">
        <v>1346</v>
      </c>
      <c r="D723" s="80">
        <v>600</v>
      </c>
    </row>
    <row r="724" spans="1:6">
      <c r="A724" s="435"/>
      <c r="B724" s="435"/>
      <c r="C724" s="84" t="s">
        <v>1401</v>
      </c>
      <c r="D724" s="80">
        <v>1200</v>
      </c>
    </row>
    <row r="725" spans="1:6">
      <c r="A725" s="435"/>
      <c r="B725" s="435"/>
      <c r="C725" s="79" t="s">
        <v>1462</v>
      </c>
      <c r="D725" s="80">
        <v>1000</v>
      </c>
    </row>
    <row r="726" spans="1:6">
      <c r="A726" s="435"/>
      <c r="B726" s="435"/>
      <c r="C726" s="79"/>
      <c r="D726" s="80"/>
    </row>
    <row r="727" spans="1:6">
      <c r="A727" s="435"/>
      <c r="B727" s="435"/>
      <c r="C727" s="79"/>
      <c r="D727" s="80"/>
    </row>
    <row r="728" spans="1:6">
      <c r="A728" s="435"/>
      <c r="B728" s="435"/>
      <c r="C728" s="79"/>
      <c r="D728" s="80"/>
    </row>
    <row r="729" spans="1:6">
      <c r="A729" s="435"/>
      <c r="B729" s="435"/>
      <c r="C729" s="79"/>
      <c r="D729" s="80"/>
    </row>
    <row r="730" spans="1:6">
      <c r="A730" s="436"/>
      <c r="B730" s="436"/>
      <c r="C730" s="79"/>
      <c r="D730" s="80"/>
      <c r="F730" s="87"/>
    </row>
    <row r="731" spans="1:6" ht="15.75">
      <c r="A731" s="438" t="s">
        <v>655</v>
      </c>
      <c r="B731" s="439"/>
      <c r="C731" s="440"/>
      <c r="D731" s="81">
        <f>SUM(D719:D730)</f>
        <v>3650</v>
      </c>
      <c r="E731" s="82">
        <f>+'Tổng,SUMMARY'!$Q$238</f>
        <v>3650</v>
      </c>
      <c r="F731" s="87">
        <f>+E731-D731</f>
        <v>0</v>
      </c>
    </row>
    <row r="732" spans="1:6">
      <c r="A732" s="434" t="s">
        <v>485</v>
      </c>
      <c r="B732" s="434" t="s">
        <v>486</v>
      </c>
      <c r="C732" s="79" t="s">
        <v>676</v>
      </c>
      <c r="D732" s="80">
        <v>1300</v>
      </c>
    </row>
    <row r="733" spans="1:6">
      <c r="A733" s="435"/>
      <c r="B733" s="435"/>
      <c r="C733" s="84" t="s">
        <v>1306</v>
      </c>
      <c r="D733" s="80">
        <v>700</v>
      </c>
    </row>
    <row r="734" spans="1:6">
      <c r="A734" s="435"/>
      <c r="B734" s="435"/>
      <c r="C734" s="84" t="s">
        <v>1323</v>
      </c>
      <c r="D734" s="80">
        <v>500</v>
      </c>
    </row>
    <row r="735" spans="1:6">
      <c r="A735" s="435"/>
      <c r="B735" s="435"/>
      <c r="C735" s="84" t="s">
        <v>1411</v>
      </c>
      <c r="D735" s="80">
        <v>500</v>
      </c>
    </row>
    <row r="736" spans="1:6">
      <c r="A736" s="435"/>
      <c r="B736" s="435"/>
      <c r="C736" s="84" t="s">
        <v>1412</v>
      </c>
      <c r="D736" s="80">
        <v>1000</v>
      </c>
    </row>
    <row r="737" spans="1:6">
      <c r="A737" s="435"/>
      <c r="B737" s="435"/>
      <c r="C737" s="84" t="s">
        <v>1413</v>
      </c>
      <c r="D737" s="80">
        <v>1200</v>
      </c>
    </row>
    <row r="738" spans="1:6">
      <c r="A738" s="435"/>
      <c r="B738" s="435"/>
      <c r="C738" s="79" t="s">
        <v>1478</v>
      </c>
      <c r="D738" s="80">
        <v>1200</v>
      </c>
    </row>
    <row r="739" spans="1:6">
      <c r="A739" s="435"/>
      <c r="B739" s="435"/>
      <c r="C739" s="79" t="s">
        <v>1525</v>
      </c>
      <c r="D739" s="80">
        <v>1200</v>
      </c>
    </row>
    <row r="740" spans="1:6">
      <c r="A740" s="435"/>
      <c r="B740" s="435"/>
      <c r="C740" s="79" t="s">
        <v>1575</v>
      </c>
      <c r="D740" s="80">
        <v>1200</v>
      </c>
    </row>
    <row r="741" spans="1:6">
      <c r="A741" s="435"/>
      <c r="B741" s="435"/>
      <c r="C741" s="79" t="s">
        <v>1576</v>
      </c>
      <c r="D741" s="80">
        <v>1200</v>
      </c>
    </row>
    <row r="742" spans="1:6">
      <c r="A742" s="435"/>
      <c r="B742" s="435"/>
      <c r="C742" s="79" t="s">
        <v>1577</v>
      </c>
      <c r="D742" s="80">
        <v>1200</v>
      </c>
    </row>
    <row r="743" spans="1:6">
      <c r="A743" s="435"/>
      <c r="B743" s="435"/>
      <c r="C743" s="79" t="s">
        <v>1578</v>
      </c>
      <c r="D743" s="80">
        <v>1200</v>
      </c>
    </row>
    <row r="744" spans="1:6">
      <c r="A744" s="435"/>
      <c r="B744" s="435"/>
      <c r="C744" s="79" t="s">
        <v>1579</v>
      </c>
      <c r="D744" s="80">
        <v>1200</v>
      </c>
    </row>
    <row r="745" spans="1:6">
      <c r="A745" s="435"/>
      <c r="B745" s="435"/>
      <c r="C745" s="79"/>
      <c r="D745" s="80"/>
    </row>
    <row r="746" spans="1:6">
      <c r="A746" s="435"/>
      <c r="B746" s="435"/>
      <c r="C746" s="79"/>
      <c r="D746" s="80"/>
    </row>
    <row r="747" spans="1:6">
      <c r="A747" s="435"/>
      <c r="B747" s="435"/>
      <c r="C747" s="79"/>
      <c r="D747" s="80"/>
    </row>
    <row r="748" spans="1:6">
      <c r="A748" s="436"/>
      <c r="B748" s="436"/>
      <c r="C748" s="79"/>
      <c r="D748" s="80"/>
      <c r="F748" s="87"/>
    </row>
    <row r="749" spans="1:6" ht="15.75">
      <c r="A749" s="438" t="s">
        <v>655</v>
      </c>
      <c r="B749" s="439"/>
      <c r="C749" s="440"/>
      <c r="D749" s="81">
        <f>SUM(D732:D748)</f>
        <v>13600</v>
      </c>
      <c r="E749" s="82">
        <f>+'Tổng,SUMMARY'!$Q$130</f>
        <v>13600</v>
      </c>
      <c r="F749" s="87">
        <f>+E749-D749</f>
        <v>0</v>
      </c>
    </row>
    <row r="750" spans="1:6">
      <c r="A750" s="434" t="s">
        <v>73</v>
      </c>
      <c r="B750" s="434" t="s">
        <v>74</v>
      </c>
      <c r="C750" s="79" t="s">
        <v>676</v>
      </c>
      <c r="D750" s="80">
        <v>3800</v>
      </c>
    </row>
    <row r="751" spans="1:6">
      <c r="A751" s="435"/>
      <c r="B751" s="435"/>
      <c r="C751" s="79" t="s">
        <v>715</v>
      </c>
      <c r="D751" s="80">
        <v>1200</v>
      </c>
    </row>
    <row r="752" spans="1:6">
      <c r="A752" s="435"/>
      <c r="B752" s="435"/>
      <c r="C752" s="79" t="s">
        <v>716</v>
      </c>
      <c r="D752" s="80">
        <v>1200</v>
      </c>
    </row>
    <row r="753" spans="1:6">
      <c r="A753" s="435"/>
      <c r="B753" s="435"/>
      <c r="C753" s="79" t="s">
        <v>717</v>
      </c>
      <c r="D753" s="80">
        <v>1200</v>
      </c>
    </row>
    <row r="754" spans="1:6">
      <c r="A754" s="435"/>
      <c r="B754" s="435"/>
      <c r="C754" s="79" t="s">
        <v>718</v>
      </c>
      <c r="D754" s="80">
        <v>1200</v>
      </c>
    </row>
    <row r="755" spans="1:6">
      <c r="A755" s="435"/>
      <c r="B755" s="435"/>
      <c r="C755" s="79" t="s">
        <v>719</v>
      </c>
      <c r="D755" s="80">
        <v>1200</v>
      </c>
    </row>
    <row r="756" spans="1:6">
      <c r="A756" s="435"/>
      <c r="B756" s="435"/>
      <c r="C756" s="79" t="s">
        <v>720</v>
      </c>
      <c r="D756" s="80">
        <v>1200</v>
      </c>
    </row>
    <row r="757" spans="1:6">
      <c r="A757" s="435"/>
      <c r="B757" s="435"/>
      <c r="C757" s="79" t="s">
        <v>721</v>
      </c>
      <c r="D757" s="80">
        <v>400</v>
      </c>
    </row>
    <row r="758" spans="1:6">
      <c r="A758" s="435"/>
      <c r="B758" s="435"/>
      <c r="C758" s="79" t="s">
        <v>1210</v>
      </c>
      <c r="D758" s="80">
        <v>1200</v>
      </c>
    </row>
    <row r="759" spans="1:6">
      <c r="A759" s="435"/>
      <c r="B759" s="435"/>
      <c r="C759" s="79" t="s">
        <v>1211</v>
      </c>
      <c r="D759" s="80">
        <v>1200</v>
      </c>
    </row>
    <row r="760" spans="1:6">
      <c r="A760" s="435"/>
      <c r="B760" s="435"/>
      <c r="C760" s="79" t="s">
        <v>1212</v>
      </c>
      <c r="D760" s="80">
        <v>1200</v>
      </c>
    </row>
    <row r="761" spans="1:6">
      <c r="A761" s="435"/>
      <c r="B761" s="435"/>
      <c r="C761" s="79" t="s">
        <v>1282</v>
      </c>
      <c r="D761" s="80">
        <v>1200</v>
      </c>
    </row>
    <row r="762" spans="1:6">
      <c r="A762" s="435"/>
      <c r="B762" s="435"/>
      <c r="C762" s="79" t="s">
        <v>1283</v>
      </c>
      <c r="D762" s="80">
        <v>1200</v>
      </c>
    </row>
    <row r="763" spans="1:6">
      <c r="A763" s="435"/>
      <c r="B763" s="435"/>
      <c r="C763" s="79" t="s">
        <v>1284</v>
      </c>
      <c r="D763" s="80">
        <v>1200</v>
      </c>
    </row>
    <row r="764" spans="1:6">
      <c r="A764" s="435"/>
      <c r="B764" s="435"/>
      <c r="C764" s="79" t="s">
        <v>1285</v>
      </c>
      <c r="D764" s="80">
        <v>700</v>
      </c>
    </row>
    <row r="765" spans="1:6">
      <c r="A765" s="435"/>
      <c r="B765" s="435"/>
      <c r="C765" s="79"/>
      <c r="D765" s="80"/>
    </row>
    <row r="766" spans="1:6">
      <c r="A766" s="435"/>
      <c r="B766" s="435"/>
      <c r="C766" s="79"/>
      <c r="D766" s="80"/>
    </row>
    <row r="767" spans="1:6">
      <c r="A767" s="436"/>
      <c r="B767" s="436"/>
      <c r="C767" s="79"/>
      <c r="D767" s="80"/>
      <c r="F767" s="87"/>
    </row>
    <row r="768" spans="1:6" ht="15.75">
      <c r="A768" s="438" t="s">
        <v>655</v>
      </c>
      <c r="B768" s="439"/>
      <c r="C768" s="440"/>
      <c r="D768" s="81">
        <f>SUM(D750:D767)</f>
        <v>19300</v>
      </c>
      <c r="E768" s="82">
        <f>+'Tổng,SUMMARY'!$Q$121</f>
        <v>19300</v>
      </c>
      <c r="F768" s="87">
        <f>+E768-D768</f>
        <v>0</v>
      </c>
    </row>
    <row r="769" spans="1:6">
      <c r="A769" s="434" t="s">
        <v>885</v>
      </c>
      <c r="B769" s="434" t="s">
        <v>50</v>
      </c>
      <c r="C769" s="79" t="s">
        <v>1473</v>
      </c>
      <c r="D769" s="80">
        <v>250</v>
      </c>
    </row>
    <row r="770" spans="1:6">
      <c r="A770" s="435"/>
      <c r="B770" s="435"/>
      <c r="C770" s="79" t="s">
        <v>1474</v>
      </c>
      <c r="D770" s="80">
        <v>500</v>
      </c>
    </row>
    <row r="771" spans="1:6">
      <c r="A771" s="435"/>
      <c r="B771" s="435"/>
      <c r="C771" s="79" t="s">
        <v>1475</v>
      </c>
      <c r="D771" s="80">
        <v>500</v>
      </c>
    </row>
    <row r="772" spans="1:6">
      <c r="A772" s="435"/>
      <c r="B772" s="435"/>
      <c r="C772" s="79"/>
      <c r="D772" s="80"/>
    </row>
    <row r="773" spans="1:6">
      <c r="A773" s="435"/>
      <c r="B773" s="435"/>
      <c r="C773" s="79"/>
      <c r="D773" s="80"/>
    </row>
    <row r="774" spans="1:6">
      <c r="A774" s="435"/>
      <c r="B774" s="435"/>
      <c r="C774" s="79"/>
      <c r="D774" s="80"/>
    </row>
    <row r="775" spans="1:6">
      <c r="A775" s="435"/>
      <c r="B775" s="435"/>
      <c r="C775" s="79"/>
      <c r="D775" s="80"/>
    </row>
    <row r="776" spans="1:6">
      <c r="A776" s="435"/>
      <c r="B776" s="435"/>
      <c r="C776" s="79"/>
      <c r="D776" s="80"/>
    </row>
    <row r="777" spans="1:6">
      <c r="A777" s="436"/>
      <c r="B777" s="436"/>
      <c r="C777" s="79"/>
      <c r="D777" s="80"/>
    </row>
    <row r="778" spans="1:6" s="74" customFormat="1" ht="24" customHeight="1">
      <c r="A778" s="438" t="s">
        <v>655</v>
      </c>
      <c r="B778" s="439"/>
      <c r="C778" s="440"/>
      <c r="D778" s="81">
        <f>SUM(D769:D777)</f>
        <v>1250</v>
      </c>
      <c r="E778" s="82">
        <f>+'Tổng,SUMMARY'!$Q$8</f>
        <v>0</v>
      </c>
      <c r="F778" s="83">
        <f>+E778-D778</f>
        <v>-1250</v>
      </c>
    </row>
    <row r="779" spans="1:6">
      <c r="A779" s="434" t="s">
        <v>49</v>
      </c>
      <c r="B779" s="434" t="s">
        <v>50</v>
      </c>
      <c r="C779" s="79" t="s">
        <v>1080</v>
      </c>
      <c r="D779" s="80">
        <v>1200</v>
      </c>
    </row>
    <row r="780" spans="1:6">
      <c r="A780" s="435"/>
      <c r="B780" s="435"/>
      <c r="C780" s="79" t="s">
        <v>1081</v>
      </c>
      <c r="D780" s="80">
        <v>1200</v>
      </c>
    </row>
    <row r="781" spans="1:6">
      <c r="A781" s="435"/>
      <c r="B781" s="435"/>
      <c r="C781" s="79" t="s">
        <v>1082</v>
      </c>
      <c r="D781" s="80">
        <v>1200</v>
      </c>
    </row>
    <row r="782" spans="1:6">
      <c r="A782" s="435"/>
      <c r="B782" s="435"/>
      <c r="C782" s="79" t="s">
        <v>1112</v>
      </c>
      <c r="D782" s="80">
        <v>1200</v>
      </c>
    </row>
    <row r="783" spans="1:6">
      <c r="A783" s="435"/>
      <c r="B783" s="435"/>
      <c r="C783" s="79" t="s">
        <v>1113</v>
      </c>
      <c r="D783" s="80">
        <v>1200</v>
      </c>
    </row>
    <row r="784" spans="1:6">
      <c r="A784" s="435"/>
      <c r="B784" s="435"/>
      <c r="C784" s="79" t="s">
        <v>1114</v>
      </c>
      <c r="D784" s="80">
        <v>1200</v>
      </c>
    </row>
    <row r="785" spans="1:8">
      <c r="A785" s="435"/>
      <c r="B785" s="435"/>
      <c r="C785" s="79" t="s">
        <v>1113</v>
      </c>
      <c r="D785" s="80">
        <v>1200</v>
      </c>
    </row>
    <row r="786" spans="1:8">
      <c r="A786" s="435"/>
      <c r="B786" s="435"/>
      <c r="C786" s="79" t="s">
        <v>1112</v>
      </c>
      <c r="D786" s="80">
        <v>900</v>
      </c>
    </row>
    <row r="787" spans="1:8">
      <c r="A787" s="435"/>
      <c r="B787" s="435"/>
      <c r="C787" s="79" t="s">
        <v>1114</v>
      </c>
      <c r="D787" s="80">
        <v>1200</v>
      </c>
    </row>
    <row r="788" spans="1:8">
      <c r="A788" s="435"/>
      <c r="B788" s="435"/>
      <c r="C788" s="79"/>
      <c r="D788" s="80"/>
    </row>
    <row r="789" spans="1:8">
      <c r="A789" s="435"/>
      <c r="B789" s="435"/>
      <c r="C789" s="79"/>
      <c r="D789" s="80"/>
    </row>
    <row r="790" spans="1:8">
      <c r="A790" s="436"/>
      <c r="B790" s="436"/>
      <c r="C790" s="79"/>
      <c r="D790" s="80"/>
    </row>
    <row r="791" spans="1:8" s="74" customFormat="1" ht="24" customHeight="1">
      <c r="A791" s="438" t="s">
        <v>655</v>
      </c>
      <c r="B791" s="439"/>
      <c r="C791" s="440"/>
      <c r="D791" s="81">
        <f>SUM(D779:D790)</f>
        <v>10500</v>
      </c>
      <c r="E791" s="82">
        <f>+'Tổng,SUMMARY'!$Q$7</f>
        <v>11750</v>
      </c>
      <c r="F791" s="83">
        <f>+E791-D791</f>
        <v>1250</v>
      </c>
    </row>
    <row r="792" spans="1:8">
      <c r="A792" s="434" t="s">
        <v>241</v>
      </c>
      <c r="B792" s="434" t="s">
        <v>1169</v>
      </c>
      <c r="C792" s="79" t="s">
        <v>676</v>
      </c>
      <c r="D792" s="80">
        <v>250</v>
      </c>
      <c r="H792" s="8" t="s">
        <v>491</v>
      </c>
    </row>
    <row r="793" spans="1:8">
      <c r="A793" s="435"/>
      <c r="B793" s="435"/>
      <c r="C793" s="79"/>
      <c r="D793" s="80"/>
    </row>
    <row r="794" spans="1:8">
      <c r="A794" s="435"/>
      <c r="B794" s="435"/>
      <c r="C794" s="79" t="s">
        <v>1203</v>
      </c>
      <c r="D794" s="80">
        <v>750</v>
      </c>
    </row>
    <row r="795" spans="1:8">
      <c r="A795" s="435"/>
      <c r="B795" s="435"/>
      <c r="C795" s="79" t="s">
        <v>909</v>
      </c>
      <c r="D795" s="80">
        <v>1200</v>
      </c>
    </row>
    <row r="796" spans="1:8">
      <c r="A796" s="435"/>
      <c r="B796" s="435"/>
      <c r="C796" s="79"/>
      <c r="D796" s="80"/>
    </row>
    <row r="797" spans="1:8">
      <c r="A797" s="435"/>
      <c r="B797" s="435"/>
      <c r="C797" s="79"/>
      <c r="D797" s="80"/>
    </row>
    <row r="798" spans="1:8">
      <c r="A798" s="435"/>
      <c r="B798" s="435"/>
      <c r="C798" s="79"/>
      <c r="D798" s="80"/>
    </row>
    <row r="799" spans="1:8">
      <c r="A799" s="435"/>
      <c r="B799" s="435"/>
      <c r="C799" s="79"/>
      <c r="D799" s="80"/>
    </row>
    <row r="800" spans="1:8">
      <c r="A800" s="436"/>
      <c r="B800" s="436"/>
      <c r="C800" s="79"/>
      <c r="D800" s="80"/>
    </row>
    <row r="801" spans="1:6" s="74" customFormat="1" ht="24" customHeight="1">
      <c r="A801" s="438" t="s">
        <v>655</v>
      </c>
      <c r="B801" s="439"/>
      <c r="C801" s="440"/>
      <c r="D801" s="81">
        <f>SUM(D792:D800)</f>
        <v>2200</v>
      </c>
      <c r="E801" s="82">
        <f>+'Tổng,SUMMARY'!$Q$139</f>
        <v>2200</v>
      </c>
      <c r="F801" s="83">
        <f>+E801-D801</f>
        <v>0</v>
      </c>
    </row>
    <row r="802" spans="1:6">
      <c r="A802" s="435" t="s">
        <v>1168</v>
      </c>
      <c r="B802" s="435" t="s">
        <v>1170</v>
      </c>
      <c r="C802" s="79" t="s">
        <v>1171</v>
      </c>
      <c r="D802" s="80">
        <v>1200</v>
      </c>
    </row>
    <row r="803" spans="1:6">
      <c r="A803" s="435"/>
      <c r="B803" s="435"/>
      <c r="C803" s="79" t="s">
        <v>1172</v>
      </c>
      <c r="D803" s="80">
        <v>100</v>
      </c>
    </row>
    <row r="804" spans="1:6">
      <c r="A804" s="435"/>
      <c r="B804" s="435"/>
      <c r="C804" s="79" t="s">
        <v>1173</v>
      </c>
      <c r="D804" s="80">
        <v>300</v>
      </c>
    </row>
    <row r="805" spans="1:6">
      <c r="A805" s="435"/>
      <c r="B805" s="435"/>
      <c r="C805" s="79" t="s">
        <v>1174</v>
      </c>
      <c r="D805" s="80">
        <v>1150</v>
      </c>
    </row>
    <row r="806" spans="1:6">
      <c r="A806" s="435"/>
      <c r="B806" s="435"/>
      <c r="C806" s="79" t="s">
        <v>1175</v>
      </c>
      <c r="D806" s="80">
        <v>1200</v>
      </c>
    </row>
    <row r="807" spans="1:6">
      <c r="A807" s="435"/>
      <c r="B807" s="435"/>
      <c r="C807" s="79" t="s">
        <v>1182</v>
      </c>
      <c r="D807" s="80">
        <v>1200</v>
      </c>
    </row>
    <row r="808" spans="1:6">
      <c r="A808" s="435"/>
      <c r="B808" s="435"/>
      <c r="C808" s="79" t="s">
        <v>1266</v>
      </c>
      <c r="D808" s="80">
        <v>950</v>
      </c>
    </row>
    <row r="809" spans="1:6">
      <c r="A809" s="435"/>
      <c r="B809" s="435"/>
      <c r="C809" s="79"/>
      <c r="D809" s="80"/>
    </row>
    <row r="810" spans="1:6">
      <c r="A810" s="436"/>
      <c r="B810" s="436"/>
      <c r="C810" s="79"/>
      <c r="D810" s="80"/>
    </row>
    <row r="811" spans="1:6" s="74" customFormat="1" ht="24" customHeight="1">
      <c r="A811" s="438" t="s">
        <v>655</v>
      </c>
      <c r="B811" s="439"/>
      <c r="C811" s="440"/>
      <c r="D811" s="81">
        <f>SUM(D802:D810)</f>
        <v>6100</v>
      </c>
      <c r="E811" s="82">
        <f>+'Tổng,SUMMARY'!$Q$161</f>
        <v>6100</v>
      </c>
    </row>
    <row r="812" spans="1:6">
      <c r="A812" s="434" t="s">
        <v>102</v>
      </c>
      <c r="B812" s="434" t="s">
        <v>101</v>
      </c>
      <c r="C812" s="79" t="s">
        <v>676</v>
      </c>
      <c r="D812" s="80">
        <v>2800</v>
      </c>
    </row>
    <row r="813" spans="1:6">
      <c r="A813" s="435"/>
      <c r="B813" s="435"/>
      <c r="C813" s="79" t="s">
        <v>1044</v>
      </c>
      <c r="D813" s="80"/>
    </row>
    <row r="814" spans="1:6">
      <c r="A814" s="435"/>
      <c r="B814" s="435"/>
      <c r="C814" s="79"/>
      <c r="D814" s="80"/>
    </row>
    <row r="815" spans="1:6">
      <c r="A815" s="435"/>
      <c r="B815" s="435"/>
      <c r="C815" s="79"/>
      <c r="D815" s="80"/>
    </row>
    <row r="816" spans="1:6">
      <c r="A816" s="435"/>
      <c r="B816" s="435"/>
      <c r="C816" s="79"/>
      <c r="D816" s="80"/>
    </row>
    <row r="817" spans="1:4">
      <c r="A817" s="435"/>
      <c r="B817" s="435"/>
      <c r="C817" s="79"/>
      <c r="D817" s="80"/>
    </row>
    <row r="818" spans="1:4">
      <c r="A818" s="435"/>
      <c r="B818" s="435"/>
      <c r="C818" s="79"/>
      <c r="D818" s="80"/>
    </row>
    <row r="819" spans="1:4">
      <c r="A819" s="435"/>
      <c r="B819" s="435"/>
      <c r="C819" s="79"/>
      <c r="D819" s="80"/>
    </row>
    <row r="820" spans="1:4">
      <c r="A820" s="435"/>
      <c r="B820" s="435"/>
      <c r="C820" s="79"/>
      <c r="D820" s="80"/>
    </row>
    <row r="821" spans="1:4">
      <c r="A821" s="435"/>
      <c r="B821" s="435"/>
      <c r="C821" s="79"/>
      <c r="D821" s="80"/>
    </row>
    <row r="822" spans="1:4">
      <c r="A822" s="435"/>
      <c r="B822" s="435"/>
      <c r="C822" s="79"/>
      <c r="D822" s="80"/>
    </row>
    <row r="823" spans="1:4">
      <c r="A823" s="435"/>
      <c r="B823" s="435"/>
      <c r="C823" s="79"/>
      <c r="D823" s="80"/>
    </row>
    <row r="824" spans="1:4">
      <c r="A824" s="435"/>
      <c r="B824" s="435"/>
      <c r="C824" s="79"/>
      <c r="D824" s="80"/>
    </row>
    <row r="825" spans="1:4">
      <c r="A825" s="435"/>
      <c r="B825" s="435"/>
      <c r="C825" s="79"/>
      <c r="D825" s="80"/>
    </row>
    <row r="826" spans="1:4">
      <c r="A826" s="435"/>
      <c r="B826" s="435"/>
      <c r="C826" s="79"/>
      <c r="D826" s="80"/>
    </row>
    <row r="827" spans="1:4">
      <c r="A827" s="435"/>
      <c r="B827" s="435"/>
      <c r="C827" s="79"/>
      <c r="D827" s="80"/>
    </row>
    <row r="828" spans="1:4">
      <c r="A828" s="435"/>
      <c r="B828" s="435"/>
      <c r="C828" s="79"/>
      <c r="D828" s="80"/>
    </row>
    <row r="829" spans="1:4">
      <c r="A829" s="435"/>
      <c r="B829" s="435"/>
      <c r="C829" s="79"/>
      <c r="D829" s="80"/>
    </row>
    <row r="830" spans="1:4">
      <c r="A830" s="435"/>
      <c r="B830" s="435"/>
      <c r="C830" s="79"/>
      <c r="D830" s="80"/>
    </row>
    <row r="831" spans="1:4">
      <c r="A831" s="435"/>
      <c r="B831" s="435"/>
      <c r="C831" s="79"/>
      <c r="D831" s="80"/>
    </row>
    <row r="832" spans="1:4">
      <c r="A832" s="435"/>
      <c r="B832" s="435"/>
      <c r="C832" s="79"/>
      <c r="D832" s="80"/>
    </row>
    <row r="833" spans="1:6">
      <c r="A833" s="435"/>
      <c r="B833" s="435"/>
      <c r="C833" s="79"/>
      <c r="D833" s="80"/>
    </row>
    <row r="834" spans="1:6">
      <c r="A834" s="435"/>
      <c r="B834" s="435"/>
      <c r="C834" s="79"/>
      <c r="D834" s="80"/>
    </row>
    <row r="835" spans="1:6">
      <c r="A835" s="435"/>
      <c r="B835" s="435"/>
      <c r="C835" s="79"/>
      <c r="D835" s="80"/>
    </row>
    <row r="836" spans="1:6">
      <c r="A836" s="436"/>
      <c r="B836" s="436"/>
      <c r="C836" s="79"/>
      <c r="D836" s="80"/>
    </row>
    <row r="837" spans="1:6" s="74" customFormat="1" ht="24" customHeight="1">
      <c r="A837" s="438" t="s">
        <v>655</v>
      </c>
      <c r="B837" s="439"/>
      <c r="C837" s="440"/>
      <c r="D837" s="81">
        <f>SUM(D812:D836)</f>
        <v>2800</v>
      </c>
      <c r="E837" s="82">
        <f>+'Tổng,SUMMARY'!$Q$248</f>
        <v>2800</v>
      </c>
      <c r="F837" s="83">
        <f>+E837-D837</f>
        <v>0</v>
      </c>
    </row>
    <row r="838" spans="1:6">
      <c r="A838" s="434" t="s">
        <v>409</v>
      </c>
      <c r="B838" s="434" t="s">
        <v>410</v>
      </c>
      <c r="C838" s="79"/>
      <c r="D838" s="80"/>
    </row>
    <row r="839" spans="1:6">
      <c r="A839" s="435"/>
      <c r="B839" s="435"/>
      <c r="C839" s="79"/>
      <c r="D839" s="80"/>
    </row>
    <row r="840" spans="1:6">
      <c r="A840" s="435"/>
      <c r="B840" s="435"/>
      <c r="C840" s="79"/>
      <c r="D840" s="80"/>
    </row>
    <row r="841" spans="1:6">
      <c r="A841" s="435"/>
      <c r="B841" s="435"/>
      <c r="C841" s="79"/>
      <c r="D841" s="80"/>
    </row>
    <row r="842" spans="1:6">
      <c r="A842" s="435"/>
      <c r="B842" s="435"/>
      <c r="C842" s="79" t="s">
        <v>982</v>
      </c>
      <c r="D842" s="80">
        <v>500</v>
      </c>
    </row>
    <row r="843" spans="1:6">
      <c r="A843" s="435"/>
      <c r="B843" s="435"/>
      <c r="C843" s="79"/>
      <c r="D843" s="80"/>
    </row>
    <row r="844" spans="1:6">
      <c r="A844" s="435"/>
      <c r="B844" s="435"/>
      <c r="C844" s="79"/>
      <c r="D844" s="80"/>
    </row>
    <row r="845" spans="1:6">
      <c r="A845" s="436"/>
      <c r="B845" s="436"/>
      <c r="C845" s="79"/>
      <c r="D845" s="80"/>
    </row>
    <row r="846" spans="1:6" s="74" customFormat="1" ht="24" customHeight="1">
      <c r="A846" s="438" t="s">
        <v>655</v>
      </c>
      <c r="B846" s="439"/>
      <c r="C846" s="440"/>
      <c r="D846" s="81">
        <f>SUM(D838:D845)</f>
        <v>500</v>
      </c>
      <c r="E846" s="82">
        <f>+'Tổng,SUMMARY'!$Q$66</f>
        <v>500</v>
      </c>
    </row>
    <row r="847" spans="1:6">
      <c r="A847" s="434" t="s">
        <v>151</v>
      </c>
      <c r="B847" s="434" t="s">
        <v>152</v>
      </c>
      <c r="C847" s="79" t="s">
        <v>676</v>
      </c>
      <c r="D847" s="80">
        <v>300</v>
      </c>
    </row>
    <row r="848" spans="1:6">
      <c r="A848" s="435"/>
      <c r="B848" s="435"/>
      <c r="C848" s="79" t="s">
        <v>722</v>
      </c>
      <c r="D848" s="80">
        <v>1150</v>
      </c>
    </row>
    <row r="849" spans="1:5">
      <c r="A849" s="435"/>
      <c r="B849" s="435"/>
      <c r="C849" s="79" t="s">
        <v>723</v>
      </c>
      <c r="D849" s="80">
        <v>200</v>
      </c>
    </row>
    <row r="850" spans="1:5">
      <c r="A850" s="435"/>
      <c r="B850" s="435"/>
      <c r="C850" s="79"/>
      <c r="D850" s="80"/>
    </row>
    <row r="851" spans="1:5">
      <c r="A851" s="435"/>
      <c r="B851" s="435"/>
      <c r="C851" s="79"/>
      <c r="D851" s="80"/>
    </row>
    <row r="852" spans="1:5">
      <c r="A852" s="435"/>
      <c r="B852" s="435"/>
      <c r="C852" s="79"/>
      <c r="D852" s="80"/>
    </row>
    <row r="853" spans="1:5">
      <c r="A853" s="435"/>
      <c r="B853" s="435"/>
      <c r="C853" s="79"/>
      <c r="D853" s="80"/>
    </row>
    <row r="854" spans="1:5">
      <c r="A854" s="435"/>
      <c r="B854" s="435"/>
      <c r="C854" s="79"/>
      <c r="D854" s="80"/>
    </row>
    <row r="855" spans="1:5">
      <c r="A855" s="435"/>
      <c r="B855" s="435"/>
      <c r="C855" s="79"/>
      <c r="D855" s="80"/>
    </row>
    <row r="856" spans="1:5">
      <c r="A856" s="436"/>
      <c r="B856" s="436"/>
      <c r="C856" s="79"/>
      <c r="D856" s="80"/>
    </row>
    <row r="857" spans="1:5" s="74" customFormat="1" ht="24" customHeight="1">
      <c r="A857" s="438" t="s">
        <v>655</v>
      </c>
      <c r="B857" s="439"/>
      <c r="C857" s="440"/>
      <c r="D857" s="81">
        <f>SUM(D847:D856)</f>
        <v>1650</v>
      </c>
      <c r="E857" s="82" t="e">
        <f>+VLOOKUP(A852,'Tổng,SUMMARY'!C:Q,15,0)</f>
        <v>#N/A</v>
      </c>
    </row>
    <row r="858" spans="1:5">
      <c r="A858" s="434" t="s">
        <v>407</v>
      </c>
      <c r="B858" s="434" t="s">
        <v>408</v>
      </c>
      <c r="C858" s="79" t="s">
        <v>708</v>
      </c>
      <c r="D858" s="80">
        <v>500</v>
      </c>
    </row>
    <row r="859" spans="1:5">
      <c r="A859" s="435"/>
      <c r="B859" s="435"/>
      <c r="C859" s="79" t="s">
        <v>724</v>
      </c>
      <c r="D859" s="80">
        <v>150</v>
      </c>
    </row>
    <row r="860" spans="1:5">
      <c r="A860" s="435"/>
      <c r="B860" s="435"/>
      <c r="C860" s="79" t="s">
        <v>725</v>
      </c>
      <c r="D860" s="80">
        <f>1150-550</f>
        <v>600</v>
      </c>
    </row>
    <row r="861" spans="1:5">
      <c r="A861" s="435"/>
      <c r="B861" s="435"/>
      <c r="C861" s="79" t="s">
        <v>726</v>
      </c>
      <c r="D861" s="80">
        <v>550</v>
      </c>
    </row>
    <row r="862" spans="1:5">
      <c r="A862" s="435"/>
      <c r="B862" s="435"/>
      <c r="C862" s="79" t="s">
        <v>727</v>
      </c>
      <c r="D862" s="80">
        <v>600</v>
      </c>
    </row>
    <row r="863" spans="1:5">
      <c r="A863" s="435"/>
      <c r="B863" s="435"/>
      <c r="C863" s="79" t="s">
        <v>1403</v>
      </c>
      <c r="D863" s="80">
        <v>300</v>
      </c>
    </row>
    <row r="864" spans="1:5">
      <c r="A864" s="435"/>
      <c r="B864" s="435"/>
      <c r="C864" s="79"/>
      <c r="D864" s="80"/>
    </row>
    <row r="865" spans="1:5">
      <c r="A865" s="435"/>
      <c r="B865" s="435"/>
      <c r="C865" s="79"/>
      <c r="D865" s="80"/>
    </row>
    <row r="866" spans="1:5">
      <c r="A866" s="436"/>
      <c r="B866" s="436"/>
      <c r="C866" s="79"/>
      <c r="D866" s="80"/>
    </row>
    <row r="867" spans="1:5" s="74" customFormat="1" ht="24" customHeight="1">
      <c r="A867" s="438" t="s">
        <v>655</v>
      </c>
      <c r="B867" s="439"/>
      <c r="C867" s="440"/>
      <c r="D867" s="81">
        <f>SUM(D858:D866)</f>
        <v>2700</v>
      </c>
      <c r="E867" s="82">
        <f>+'Tổng,SUMMARY'!$Q$97</f>
        <v>2700</v>
      </c>
    </row>
    <row r="868" spans="1:5">
      <c r="A868" s="434" t="s">
        <v>71</v>
      </c>
      <c r="B868" s="434" t="s">
        <v>72</v>
      </c>
      <c r="C868" s="79"/>
      <c r="D868" s="80"/>
    </row>
    <row r="869" spans="1:5">
      <c r="A869" s="435"/>
      <c r="B869" s="435"/>
      <c r="C869" s="79"/>
      <c r="D869" s="80"/>
    </row>
    <row r="870" spans="1:5">
      <c r="A870" s="435"/>
      <c r="B870" s="435"/>
      <c r="C870" s="79" t="s">
        <v>728</v>
      </c>
      <c r="D870" s="80">
        <f>1150-650</f>
        <v>500</v>
      </c>
    </row>
    <row r="871" spans="1:5">
      <c r="A871" s="435"/>
      <c r="B871" s="435"/>
      <c r="C871" s="79"/>
      <c r="D871" s="80"/>
    </row>
    <row r="872" spans="1:5">
      <c r="A872" s="435"/>
      <c r="B872" s="435"/>
      <c r="C872" s="79"/>
      <c r="D872" s="80"/>
    </row>
    <row r="873" spans="1:5">
      <c r="A873" s="435"/>
      <c r="B873" s="435"/>
      <c r="C873" s="79"/>
      <c r="D873" s="80"/>
    </row>
    <row r="874" spans="1:5">
      <c r="A874" s="435"/>
      <c r="B874" s="435"/>
      <c r="C874" s="79"/>
      <c r="D874" s="80"/>
    </row>
    <row r="875" spans="1:5">
      <c r="A875" s="435"/>
      <c r="B875" s="435"/>
      <c r="C875" s="79"/>
      <c r="D875" s="80"/>
    </row>
    <row r="876" spans="1:5">
      <c r="A876" s="435"/>
      <c r="B876" s="435"/>
      <c r="C876" s="79"/>
      <c r="D876" s="80"/>
    </row>
    <row r="877" spans="1:5">
      <c r="A877" s="436"/>
      <c r="B877" s="436"/>
      <c r="C877" s="79"/>
      <c r="D877" s="80"/>
    </row>
    <row r="878" spans="1:5" s="74" customFormat="1" ht="24" customHeight="1">
      <c r="A878" s="438" t="s">
        <v>655</v>
      </c>
      <c r="B878" s="439"/>
      <c r="C878" s="440"/>
      <c r="D878" s="81">
        <f>SUM(D868:D877)</f>
        <v>500</v>
      </c>
      <c r="E878" s="82" t="e">
        <f>+VLOOKUP(A873,'Tổng,SUMMARY'!C:Q,15,0)</f>
        <v>#N/A</v>
      </c>
    </row>
    <row r="879" spans="1:5">
      <c r="A879" s="434" t="s">
        <v>241</v>
      </c>
      <c r="B879" s="434" t="s">
        <v>242</v>
      </c>
      <c r="C879" s="79" t="s">
        <v>729</v>
      </c>
      <c r="D879" s="80">
        <v>1200</v>
      </c>
    </row>
    <row r="880" spans="1:5">
      <c r="A880" s="435"/>
      <c r="B880" s="435"/>
      <c r="C880" s="79" t="s">
        <v>730</v>
      </c>
      <c r="D880" s="80">
        <v>1200</v>
      </c>
    </row>
    <row r="881" spans="1:5">
      <c r="A881" s="435"/>
      <c r="B881" s="435"/>
      <c r="C881" s="79" t="s">
        <v>731</v>
      </c>
      <c r="D881" s="80">
        <v>1200</v>
      </c>
    </row>
    <row r="882" spans="1:5">
      <c r="A882" s="435"/>
      <c r="B882" s="435"/>
      <c r="C882" s="79"/>
      <c r="D882" s="80"/>
    </row>
    <row r="883" spans="1:5">
      <c r="A883" s="435"/>
      <c r="B883" s="435"/>
      <c r="C883" s="79"/>
      <c r="D883" s="80"/>
    </row>
    <row r="884" spans="1:5">
      <c r="A884" s="435"/>
      <c r="B884" s="435"/>
      <c r="C884" s="79"/>
      <c r="D884" s="80"/>
    </row>
    <row r="885" spans="1:5">
      <c r="A885" s="435"/>
      <c r="B885" s="435"/>
      <c r="C885" s="79"/>
      <c r="D885" s="80"/>
    </row>
    <row r="886" spans="1:5">
      <c r="A886" s="435"/>
      <c r="B886" s="435"/>
      <c r="C886" s="79"/>
      <c r="D886" s="80"/>
    </row>
    <row r="887" spans="1:5">
      <c r="A887" s="436"/>
      <c r="B887" s="436"/>
      <c r="C887" s="79"/>
      <c r="D887" s="80"/>
    </row>
    <row r="888" spans="1:5" s="74" customFormat="1" ht="24" customHeight="1">
      <c r="A888" s="438" t="s">
        <v>655</v>
      </c>
      <c r="B888" s="439"/>
      <c r="C888" s="440"/>
      <c r="D888" s="81">
        <f>SUM(D879:D887)</f>
        <v>3600</v>
      </c>
      <c r="E888" s="82" t="e">
        <f>+VLOOKUP(A883,'Tổng,SUMMARY'!C:Q,15,0)</f>
        <v>#N/A</v>
      </c>
    </row>
    <row r="889" spans="1:5">
      <c r="A889" s="434" t="s">
        <v>1528</v>
      </c>
      <c r="B889" s="434" t="s">
        <v>295</v>
      </c>
      <c r="C889" s="79"/>
      <c r="D889" s="80"/>
    </row>
    <row r="890" spans="1:5">
      <c r="A890" s="435"/>
      <c r="B890" s="435"/>
      <c r="C890" s="79" t="s">
        <v>732</v>
      </c>
      <c r="D890" s="80">
        <v>100</v>
      </c>
    </row>
    <row r="891" spans="1:5">
      <c r="A891" s="435"/>
      <c r="B891" s="435"/>
      <c r="C891" s="79" t="s">
        <v>733</v>
      </c>
      <c r="D891" s="80">
        <v>400</v>
      </c>
    </row>
    <row r="892" spans="1:5">
      <c r="A892" s="435"/>
      <c r="B892" s="435"/>
      <c r="C892" s="79" t="s">
        <v>734</v>
      </c>
      <c r="D892" s="80">
        <v>300</v>
      </c>
    </row>
    <row r="893" spans="1:5">
      <c r="A893" s="435"/>
      <c r="B893" s="435"/>
      <c r="C893" s="79" t="s">
        <v>791</v>
      </c>
      <c r="D893" s="80">
        <v>1250</v>
      </c>
    </row>
    <row r="894" spans="1:5">
      <c r="A894" s="435"/>
      <c r="B894" s="435"/>
      <c r="C894" s="79" t="s">
        <v>958</v>
      </c>
      <c r="D894" s="80">
        <v>650</v>
      </c>
    </row>
    <row r="895" spans="1:5">
      <c r="A895" s="435"/>
      <c r="B895" s="435"/>
      <c r="C895" s="79"/>
      <c r="D895" s="80"/>
    </row>
    <row r="896" spans="1:5">
      <c r="A896" s="435"/>
      <c r="B896" s="435"/>
      <c r="C896" s="79"/>
      <c r="D896" s="80"/>
    </row>
    <row r="897" spans="1:6">
      <c r="A897" s="436"/>
      <c r="B897" s="436"/>
      <c r="C897" s="79"/>
      <c r="D897" s="80"/>
    </row>
    <row r="898" spans="1:6" s="74" customFormat="1" ht="24" customHeight="1">
      <c r="A898" s="438" t="s">
        <v>655</v>
      </c>
      <c r="B898" s="439"/>
      <c r="C898" s="440"/>
      <c r="D898" s="81">
        <f>SUM(D889:D897)</f>
        <v>2700</v>
      </c>
      <c r="E898" s="82">
        <f>+'Tổng,SUMMARY'!$Q$138</f>
        <v>2700</v>
      </c>
      <c r="F898" s="83">
        <f>+E898-D898</f>
        <v>0</v>
      </c>
    </row>
    <row r="899" spans="1:6">
      <c r="A899" s="434" t="s">
        <v>874</v>
      </c>
      <c r="B899" s="434" t="s">
        <v>876</v>
      </c>
      <c r="C899" s="79" t="s">
        <v>878</v>
      </c>
      <c r="D899" s="80">
        <v>1200</v>
      </c>
    </row>
    <row r="900" spans="1:6">
      <c r="A900" s="435"/>
      <c r="B900" s="435"/>
      <c r="C900" s="79" t="s">
        <v>879</v>
      </c>
      <c r="D900" s="80">
        <v>1200</v>
      </c>
    </row>
    <row r="901" spans="1:6">
      <c r="A901" s="435"/>
      <c r="B901" s="435"/>
      <c r="C901" s="79" t="s">
        <v>887</v>
      </c>
      <c r="D901" s="80">
        <v>1200</v>
      </c>
    </row>
    <row r="902" spans="1:6">
      <c r="A902" s="435"/>
      <c r="B902" s="435"/>
      <c r="C902" s="79" t="s">
        <v>903</v>
      </c>
      <c r="D902" s="80">
        <v>1200</v>
      </c>
    </row>
    <row r="903" spans="1:6">
      <c r="A903" s="435"/>
      <c r="B903" s="435"/>
      <c r="C903" s="79" t="s">
        <v>904</v>
      </c>
      <c r="D903" s="80">
        <v>850</v>
      </c>
    </row>
    <row r="904" spans="1:6">
      <c r="A904" s="435"/>
      <c r="B904" s="435"/>
      <c r="C904" s="79" t="s">
        <v>912</v>
      </c>
      <c r="D904" s="80">
        <v>1200</v>
      </c>
    </row>
    <row r="905" spans="1:6">
      <c r="A905" s="435"/>
      <c r="B905" s="435"/>
      <c r="C905" s="79" t="s">
        <v>922</v>
      </c>
      <c r="D905" s="80">
        <v>1200</v>
      </c>
    </row>
    <row r="906" spans="1:6">
      <c r="A906" s="435"/>
      <c r="B906" s="435"/>
      <c r="C906" s="79" t="s">
        <v>923</v>
      </c>
      <c r="D906" s="80">
        <v>400</v>
      </c>
    </row>
    <row r="907" spans="1:6">
      <c r="A907" s="436"/>
      <c r="B907" s="436"/>
      <c r="C907" s="79"/>
      <c r="D907" s="80"/>
    </row>
    <row r="908" spans="1:6" s="74" customFormat="1" ht="24" customHeight="1">
      <c r="A908" s="438" t="s">
        <v>655</v>
      </c>
      <c r="B908" s="439"/>
      <c r="C908" s="440"/>
      <c r="D908" s="81">
        <f>SUM(D899:D907)</f>
        <v>8450</v>
      </c>
      <c r="E908" s="82">
        <f>+'Tổng,SUMMARY'!$Q$19</f>
        <v>4950</v>
      </c>
    </row>
    <row r="909" spans="1:6">
      <c r="A909" s="434" t="s">
        <v>96</v>
      </c>
      <c r="B909" s="434" t="s">
        <v>97</v>
      </c>
      <c r="C909" s="79"/>
      <c r="D909" s="80"/>
    </row>
    <row r="910" spans="1:6">
      <c r="A910" s="435"/>
      <c r="B910" s="435"/>
      <c r="C910" s="79"/>
      <c r="D910" s="80"/>
    </row>
    <row r="911" spans="1:6">
      <c r="A911" s="435"/>
      <c r="B911" s="435"/>
      <c r="C911" s="79"/>
      <c r="D911" s="80"/>
    </row>
    <row r="912" spans="1:6">
      <c r="A912" s="435"/>
      <c r="B912" s="435"/>
      <c r="C912" s="79"/>
      <c r="D912" s="80"/>
    </row>
    <row r="913" spans="1:6">
      <c r="A913" s="435"/>
      <c r="B913" s="435"/>
      <c r="C913" s="79" t="s">
        <v>883</v>
      </c>
      <c r="D913" s="80">
        <v>500</v>
      </c>
    </row>
    <row r="914" spans="1:6">
      <c r="A914" s="435"/>
      <c r="B914" s="435"/>
      <c r="C914" s="79"/>
      <c r="D914" s="80"/>
    </row>
    <row r="915" spans="1:6">
      <c r="A915" s="435"/>
      <c r="B915" s="435"/>
      <c r="C915" s="79"/>
      <c r="D915" s="80"/>
    </row>
    <row r="916" spans="1:6">
      <c r="A916" s="435"/>
      <c r="B916" s="435"/>
      <c r="C916" s="79"/>
      <c r="D916" s="80"/>
    </row>
    <row r="917" spans="1:6">
      <c r="A917" s="436"/>
      <c r="B917" s="436"/>
      <c r="C917" s="79"/>
      <c r="D917" s="80"/>
    </row>
    <row r="918" spans="1:6" s="74" customFormat="1" ht="24" customHeight="1">
      <c r="A918" s="438" t="s">
        <v>655</v>
      </c>
      <c r="B918" s="439"/>
      <c r="C918" s="440"/>
      <c r="D918" s="81">
        <f>SUM(D909:D917)</f>
        <v>500</v>
      </c>
      <c r="E918" s="82">
        <f>+'Tổng,SUMMARY'!$Q$133</f>
        <v>500</v>
      </c>
      <c r="F918" s="83">
        <f>+E918-D918</f>
        <v>0</v>
      </c>
    </row>
    <row r="919" spans="1:6">
      <c r="A919" s="433" t="s">
        <v>1583</v>
      </c>
      <c r="B919" s="433" t="s">
        <v>280</v>
      </c>
      <c r="C919" s="89"/>
      <c r="D919" s="80"/>
    </row>
    <row r="920" spans="1:6">
      <c r="A920" s="433"/>
      <c r="B920" s="433"/>
      <c r="C920" s="89" t="s">
        <v>735</v>
      </c>
      <c r="D920" s="80">
        <f>1050-200</f>
        <v>850</v>
      </c>
    </row>
    <row r="921" spans="1:6">
      <c r="A921" s="433"/>
      <c r="B921" s="433"/>
      <c r="C921" s="89" t="s">
        <v>736</v>
      </c>
      <c r="D921" s="80">
        <v>300</v>
      </c>
    </row>
    <row r="922" spans="1:6">
      <c r="A922" s="433"/>
      <c r="B922" s="433"/>
      <c r="C922" s="89" t="s">
        <v>737</v>
      </c>
      <c r="D922" s="80">
        <f>1200-350</f>
        <v>850</v>
      </c>
      <c r="F922" s="73"/>
    </row>
    <row r="923" spans="1:6">
      <c r="A923" s="433"/>
      <c r="B923" s="433"/>
      <c r="C923" s="89"/>
      <c r="D923" s="80"/>
    </row>
    <row r="924" spans="1:6">
      <c r="A924" s="433"/>
      <c r="B924" s="433"/>
      <c r="C924" s="79"/>
      <c r="D924" s="80"/>
    </row>
    <row r="925" spans="1:6">
      <c r="A925" s="433"/>
      <c r="B925" s="433"/>
      <c r="C925" s="79"/>
      <c r="D925" s="80"/>
    </row>
    <row r="926" spans="1:6">
      <c r="A926" s="433"/>
      <c r="B926" s="433"/>
      <c r="C926" s="447" t="s">
        <v>1518</v>
      </c>
      <c r="D926" s="448">
        <v>1200</v>
      </c>
    </row>
    <row r="927" spans="1:6">
      <c r="A927" s="433"/>
      <c r="B927" s="433"/>
      <c r="C927" s="447" t="s">
        <v>1519</v>
      </c>
      <c r="D927" s="448">
        <v>1200</v>
      </c>
    </row>
    <row r="928" spans="1:6">
      <c r="A928" s="433"/>
      <c r="B928" s="433"/>
      <c r="C928" s="447" t="s">
        <v>1520</v>
      </c>
      <c r="D928" s="448">
        <v>1200</v>
      </c>
    </row>
    <row r="929" spans="1:5">
      <c r="A929" s="433"/>
      <c r="B929" s="433"/>
      <c r="C929" s="79"/>
      <c r="D929" s="80"/>
    </row>
    <row r="930" spans="1:5">
      <c r="A930" s="433"/>
      <c r="B930" s="433"/>
      <c r="C930" s="79"/>
      <c r="D930" s="80"/>
    </row>
    <row r="931" spans="1:5">
      <c r="A931" s="433"/>
      <c r="B931" s="433"/>
      <c r="C931" s="79"/>
      <c r="D931" s="80"/>
    </row>
    <row r="932" spans="1:5">
      <c r="A932" s="433"/>
      <c r="B932" s="433"/>
      <c r="C932" s="79"/>
      <c r="D932" s="80"/>
    </row>
    <row r="933" spans="1:5">
      <c r="A933" s="433"/>
      <c r="B933" s="433"/>
      <c r="C933" s="79"/>
      <c r="D933" s="80"/>
    </row>
    <row r="934" spans="1:5" s="74" customFormat="1" ht="24" customHeight="1">
      <c r="A934" s="438" t="s">
        <v>655</v>
      </c>
      <c r="B934" s="439"/>
      <c r="C934" s="440"/>
      <c r="D934" s="81">
        <f>SUM(D919:D933)</f>
        <v>5600</v>
      </c>
      <c r="E934" s="82">
        <f>+'Tổng,SUMMARY'!$Q$15</f>
        <v>2000</v>
      </c>
    </row>
    <row r="935" spans="1:5">
      <c r="A935" s="433" t="s">
        <v>46</v>
      </c>
      <c r="B935" s="433" t="s">
        <v>1051</v>
      </c>
      <c r="C935" s="89" t="s">
        <v>1156</v>
      </c>
      <c r="D935" s="80">
        <v>1100</v>
      </c>
    </row>
    <row r="936" spans="1:5">
      <c r="A936" s="433"/>
      <c r="B936" s="433"/>
      <c r="C936" s="79" t="s">
        <v>1339</v>
      </c>
      <c r="D936" s="80">
        <v>1200</v>
      </c>
    </row>
    <row r="937" spans="1:5">
      <c r="A937" s="433"/>
      <c r="B937" s="433"/>
      <c r="C937" s="79" t="s">
        <v>1155</v>
      </c>
      <c r="D937" s="80">
        <v>550</v>
      </c>
    </row>
    <row r="938" spans="1:5">
      <c r="A938" s="433"/>
      <c r="B938" s="433"/>
      <c r="C938" s="79"/>
      <c r="D938" s="80"/>
    </row>
    <row r="939" spans="1:5">
      <c r="A939" s="433"/>
      <c r="B939" s="433"/>
      <c r="C939" s="79"/>
      <c r="D939" s="80"/>
    </row>
    <row r="940" spans="1:5">
      <c r="A940" s="433"/>
      <c r="B940" s="433"/>
      <c r="C940" s="79"/>
      <c r="D940" s="80"/>
    </row>
    <row r="941" spans="1:5">
      <c r="A941" s="433"/>
      <c r="B941" s="433"/>
      <c r="C941" s="79" t="s">
        <v>906</v>
      </c>
      <c r="D941" s="80">
        <v>150</v>
      </c>
    </row>
    <row r="942" spans="1:5">
      <c r="A942" s="433"/>
      <c r="B942" s="433"/>
      <c r="C942" s="79" t="s">
        <v>907</v>
      </c>
      <c r="D942" s="80">
        <v>600</v>
      </c>
    </row>
    <row r="943" spans="1:5">
      <c r="A943" s="433"/>
      <c r="B943" s="433"/>
      <c r="C943" s="79"/>
      <c r="D943" s="80"/>
    </row>
    <row r="944" spans="1:5">
      <c r="A944" s="433"/>
      <c r="B944" s="433"/>
      <c r="C944" s="79"/>
      <c r="D944" s="80"/>
    </row>
    <row r="945" spans="1:6">
      <c r="A945" s="433"/>
      <c r="B945" s="433"/>
      <c r="C945" s="79"/>
      <c r="D945" s="80"/>
    </row>
    <row r="946" spans="1:6">
      <c r="A946" s="433"/>
      <c r="B946" s="433"/>
      <c r="C946" s="79"/>
      <c r="D946" s="80"/>
    </row>
    <row r="947" spans="1:6">
      <c r="A947" s="433"/>
      <c r="B947" s="433"/>
      <c r="C947" s="79"/>
      <c r="D947" s="80"/>
    </row>
    <row r="948" spans="1:6">
      <c r="A948" s="433"/>
      <c r="B948" s="433"/>
      <c r="C948" s="79"/>
      <c r="D948" s="80"/>
    </row>
    <row r="949" spans="1:6">
      <c r="A949" s="433"/>
      <c r="B949" s="433"/>
      <c r="C949" s="79"/>
      <c r="D949" s="80"/>
    </row>
    <row r="950" spans="1:6" s="74" customFormat="1" ht="24" customHeight="1">
      <c r="A950" s="438" t="s">
        <v>655</v>
      </c>
      <c r="B950" s="439"/>
      <c r="C950" s="440"/>
      <c r="D950" s="81">
        <f>SUM(D935:D949)</f>
        <v>3600</v>
      </c>
      <c r="E950" s="82">
        <f>+'Tổng,SUMMARY'!$Q$21</f>
        <v>3600</v>
      </c>
      <c r="F950" s="83">
        <f>+E950-D950</f>
        <v>0</v>
      </c>
    </row>
    <row r="951" spans="1:6">
      <c r="A951" s="433" t="s">
        <v>1050</v>
      </c>
      <c r="B951" s="433" t="s">
        <v>1052</v>
      </c>
      <c r="C951" s="79" t="s">
        <v>1053</v>
      </c>
      <c r="D951" s="80">
        <v>250</v>
      </c>
    </row>
    <row r="952" spans="1:6">
      <c r="A952" s="433"/>
      <c r="B952" s="433"/>
      <c r="C952" s="79" t="s">
        <v>1156</v>
      </c>
      <c r="D952" s="80">
        <v>100</v>
      </c>
    </row>
    <row r="953" spans="1:6">
      <c r="A953" s="433"/>
      <c r="B953" s="433"/>
      <c r="C953" s="89"/>
      <c r="D953" s="80"/>
    </row>
    <row r="954" spans="1:6">
      <c r="A954" s="433"/>
      <c r="B954" s="433"/>
      <c r="C954" s="89"/>
      <c r="D954" s="80"/>
    </row>
    <row r="955" spans="1:6">
      <c r="A955" s="433"/>
      <c r="B955" s="433"/>
      <c r="C955" s="89"/>
      <c r="D955" s="80"/>
    </row>
    <row r="956" spans="1:6">
      <c r="A956" s="433"/>
      <c r="B956" s="433"/>
      <c r="C956" s="89"/>
      <c r="D956" s="80"/>
    </row>
    <row r="957" spans="1:6">
      <c r="A957" s="433"/>
      <c r="B957" s="433"/>
      <c r="C957" s="79"/>
      <c r="D957" s="80"/>
    </row>
    <row r="958" spans="1:6">
      <c r="A958" s="433"/>
      <c r="B958" s="433"/>
      <c r="C958" s="79"/>
      <c r="D958" s="80"/>
    </row>
    <row r="959" spans="1:6" s="74" customFormat="1" ht="24" customHeight="1">
      <c r="A959" s="438" t="s">
        <v>655</v>
      </c>
      <c r="B959" s="439"/>
      <c r="C959" s="440"/>
      <c r="D959" s="81">
        <f>SUM(D951:D958)</f>
        <v>350</v>
      </c>
      <c r="E959" s="82">
        <f>+'Tổng,SUMMARY'!$Q$22</f>
        <v>350</v>
      </c>
      <c r="F959" s="83"/>
    </row>
    <row r="960" spans="1:6">
      <c r="A960" s="433" t="s">
        <v>32</v>
      </c>
      <c r="B960" s="433" t="s">
        <v>33</v>
      </c>
      <c r="C960" s="79" t="s">
        <v>738</v>
      </c>
      <c r="D960" s="80">
        <v>120</v>
      </c>
    </row>
    <row r="961" spans="1:6">
      <c r="A961" s="433"/>
      <c r="B961" s="433"/>
      <c r="C961" s="89"/>
      <c r="D961" s="80"/>
    </row>
    <row r="962" spans="1:6">
      <c r="A962" s="433"/>
      <c r="B962" s="433"/>
      <c r="C962" s="89"/>
      <c r="D962" s="80"/>
    </row>
    <row r="963" spans="1:6">
      <c r="A963" s="433"/>
      <c r="B963" s="433"/>
      <c r="C963" s="89"/>
      <c r="D963" s="80"/>
    </row>
    <row r="964" spans="1:6">
      <c r="A964" s="433"/>
      <c r="B964" s="433"/>
      <c r="C964" s="89"/>
      <c r="D964" s="80"/>
    </row>
    <row r="965" spans="1:6">
      <c r="A965" s="433"/>
      <c r="B965" s="433"/>
      <c r="C965" s="89"/>
      <c r="D965" s="80"/>
    </row>
    <row r="966" spans="1:6">
      <c r="A966" s="433"/>
      <c r="B966" s="433"/>
      <c r="C966" s="89"/>
      <c r="D966" s="80"/>
    </row>
    <row r="967" spans="1:6">
      <c r="A967" s="433"/>
      <c r="B967" s="433"/>
      <c r="C967" s="89"/>
      <c r="D967" s="80"/>
    </row>
    <row r="968" spans="1:6">
      <c r="A968" s="433"/>
      <c r="B968" s="433"/>
      <c r="C968" s="89"/>
      <c r="D968" s="80"/>
    </row>
    <row r="969" spans="1:6">
      <c r="A969" s="433"/>
      <c r="B969" s="433"/>
      <c r="C969" s="79"/>
      <c r="D969" s="80"/>
    </row>
    <row r="970" spans="1:6">
      <c r="A970" s="433"/>
      <c r="B970" s="433"/>
      <c r="C970" s="79"/>
      <c r="D970" s="80"/>
    </row>
    <row r="971" spans="1:6" s="74" customFormat="1" ht="24" customHeight="1">
      <c r="A971" s="438" t="s">
        <v>655</v>
      </c>
      <c r="B971" s="439"/>
      <c r="C971" s="440"/>
      <c r="D971" s="81">
        <f>SUM(D960:D970)</f>
        <v>120</v>
      </c>
      <c r="E971" s="82">
        <f>+'Tổng,SUMMARY'!$Q$261</f>
        <v>0</v>
      </c>
      <c r="F971" s="83"/>
    </row>
    <row r="972" spans="1:6">
      <c r="A972" s="433" t="s">
        <v>143</v>
      </c>
      <c r="B972" s="433" t="s">
        <v>144</v>
      </c>
      <c r="C972" s="89"/>
      <c r="D972" s="80"/>
    </row>
    <row r="973" spans="1:6">
      <c r="A973" s="433"/>
      <c r="B973" s="433"/>
      <c r="C973" s="89" t="s">
        <v>739</v>
      </c>
      <c r="D973" s="80">
        <v>1000</v>
      </c>
    </row>
    <row r="974" spans="1:6">
      <c r="A974" s="433"/>
      <c r="B974" s="433"/>
      <c r="C974" s="89" t="s">
        <v>740</v>
      </c>
      <c r="D974" s="80">
        <v>900</v>
      </c>
    </row>
    <row r="975" spans="1:6">
      <c r="A975" s="433"/>
      <c r="B975" s="433"/>
      <c r="C975" s="89"/>
      <c r="D975" s="80"/>
    </row>
    <row r="976" spans="1:6">
      <c r="A976" s="433"/>
      <c r="B976" s="433"/>
      <c r="C976" s="79"/>
      <c r="D976" s="80"/>
    </row>
    <row r="977" spans="1:6">
      <c r="A977" s="433"/>
      <c r="B977" s="433"/>
      <c r="C977" s="79"/>
      <c r="D977" s="80"/>
    </row>
    <row r="978" spans="1:6">
      <c r="A978" s="433"/>
      <c r="B978" s="433"/>
      <c r="C978" s="79"/>
      <c r="D978" s="80"/>
    </row>
    <row r="979" spans="1:6">
      <c r="A979" s="433"/>
      <c r="B979" s="433"/>
      <c r="C979" s="79"/>
      <c r="D979" s="80"/>
    </row>
    <row r="980" spans="1:6">
      <c r="A980" s="433"/>
      <c r="B980" s="433"/>
      <c r="C980" s="79"/>
      <c r="D980" s="80"/>
    </row>
    <row r="981" spans="1:6" s="74" customFormat="1" ht="24" customHeight="1">
      <c r="A981" s="438" t="s">
        <v>655</v>
      </c>
      <c r="B981" s="439"/>
      <c r="C981" s="440"/>
      <c r="D981" s="81">
        <f>SUM(D972:D980)</f>
        <v>1900</v>
      </c>
      <c r="E981" s="82">
        <f>+'Tổng,SUMMARY'!$Q$179</f>
        <v>1900</v>
      </c>
      <c r="F981" s="83">
        <f>+E981-D981</f>
        <v>0</v>
      </c>
    </row>
    <row r="982" spans="1:6">
      <c r="A982" s="434" t="s">
        <v>867</v>
      </c>
      <c r="B982" s="434" t="s">
        <v>869</v>
      </c>
      <c r="C982" s="89" t="s">
        <v>662</v>
      </c>
      <c r="D982" s="80">
        <v>50</v>
      </c>
    </row>
    <row r="983" spans="1:6">
      <c r="A983" s="435"/>
      <c r="B983" s="435"/>
      <c r="C983" s="79"/>
      <c r="D983" s="80"/>
    </row>
    <row r="984" spans="1:6">
      <c r="A984" s="435"/>
      <c r="B984" s="435"/>
      <c r="C984" s="89"/>
      <c r="D984" s="80"/>
    </row>
    <row r="985" spans="1:6">
      <c r="A985" s="435"/>
      <c r="B985" s="435"/>
      <c r="C985" s="79"/>
      <c r="D985" s="80"/>
    </row>
    <row r="986" spans="1:6">
      <c r="A986" s="435"/>
      <c r="B986" s="435"/>
      <c r="C986" s="79"/>
      <c r="D986" s="80"/>
    </row>
    <row r="987" spans="1:6">
      <c r="A987" s="435"/>
      <c r="B987" s="435"/>
      <c r="C987" s="79"/>
      <c r="D987" s="80"/>
    </row>
    <row r="988" spans="1:6">
      <c r="A988" s="435"/>
      <c r="B988" s="435"/>
      <c r="C988" s="79"/>
      <c r="D988" s="80"/>
    </row>
    <row r="989" spans="1:6">
      <c r="A989" s="435"/>
      <c r="B989" s="435"/>
      <c r="C989" s="79"/>
      <c r="D989" s="80"/>
    </row>
    <row r="990" spans="1:6">
      <c r="A990" s="435"/>
      <c r="B990" s="435"/>
      <c r="C990" s="79"/>
      <c r="D990" s="80"/>
    </row>
    <row r="991" spans="1:6">
      <c r="A991" s="436"/>
      <c r="B991" s="436"/>
      <c r="C991" s="79"/>
      <c r="D991" s="80"/>
      <c r="F991" s="87"/>
    </row>
    <row r="992" spans="1:6" ht="15.75">
      <c r="A992" s="438" t="s">
        <v>655</v>
      </c>
      <c r="B992" s="439"/>
      <c r="C992" s="440"/>
      <c r="D992" s="81">
        <f>SUM(D982:D991)</f>
        <v>50</v>
      </c>
      <c r="E992" s="82">
        <f>+'Tổng,SUMMARY'!$Q$99</f>
        <v>50</v>
      </c>
      <c r="F992" s="87">
        <f>+E992-D992</f>
        <v>0</v>
      </c>
    </row>
    <row r="993" spans="1:6">
      <c r="A993" s="434" t="s">
        <v>259</v>
      </c>
      <c r="B993" s="434" t="s">
        <v>260</v>
      </c>
      <c r="C993" s="89"/>
      <c r="D993" s="80"/>
    </row>
    <row r="994" spans="1:6">
      <c r="A994" s="435"/>
      <c r="B994" s="435"/>
      <c r="C994" s="79" t="s">
        <v>741</v>
      </c>
      <c r="D994" s="80">
        <v>350</v>
      </c>
    </row>
    <row r="995" spans="1:6">
      <c r="A995" s="435"/>
      <c r="B995" s="435"/>
      <c r="C995" s="79"/>
      <c r="D995" s="80"/>
    </row>
    <row r="996" spans="1:6">
      <c r="A996" s="435"/>
      <c r="B996" s="435"/>
      <c r="C996" s="79" t="s">
        <v>934</v>
      </c>
      <c r="D996" s="80">
        <v>250</v>
      </c>
    </row>
    <row r="997" spans="1:6">
      <c r="A997" s="435"/>
      <c r="B997" s="435"/>
      <c r="C997" s="79"/>
      <c r="D997" s="80"/>
    </row>
    <row r="998" spans="1:6">
      <c r="A998" s="436"/>
      <c r="B998" s="436"/>
      <c r="C998" s="79"/>
      <c r="D998" s="80"/>
      <c r="F998" s="87"/>
    </row>
    <row r="999" spans="1:6" ht="15.75">
      <c r="A999" s="438" t="s">
        <v>655</v>
      </c>
      <c r="B999" s="439"/>
      <c r="C999" s="440"/>
      <c r="D999" s="81">
        <f>SUM(D993:D998)</f>
        <v>600</v>
      </c>
      <c r="E999" s="82">
        <f>+'Tổng,SUMMARY'!$Q$25</f>
        <v>600</v>
      </c>
      <c r="F999" s="87">
        <f>+E999-D999</f>
        <v>0</v>
      </c>
    </row>
    <row r="1000" spans="1:6">
      <c r="A1000" s="434" t="s">
        <v>1243</v>
      </c>
      <c r="B1000" s="434" t="s">
        <v>250</v>
      </c>
      <c r="C1000" s="89" t="s">
        <v>1083</v>
      </c>
      <c r="D1000" s="80">
        <v>100</v>
      </c>
    </row>
    <row r="1001" spans="1:6">
      <c r="A1001" s="435"/>
      <c r="B1001" s="435"/>
      <c r="C1001" s="89" t="s">
        <v>1098</v>
      </c>
      <c r="D1001" s="80">
        <v>50</v>
      </c>
    </row>
    <row r="1002" spans="1:6">
      <c r="A1002" s="435"/>
      <c r="B1002" s="435"/>
      <c r="C1002" s="89"/>
      <c r="D1002" s="80"/>
    </row>
    <row r="1003" spans="1:6">
      <c r="A1003" s="435"/>
      <c r="B1003" s="435"/>
      <c r="C1003" s="79"/>
      <c r="D1003" s="80"/>
    </row>
    <row r="1004" spans="1:6">
      <c r="A1004" s="435"/>
      <c r="B1004" s="435"/>
      <c r="C1004" s="79" t="s">
        <v>1377</v>
      </c>
      <c r="D1004" s="80">
        <v>1150</v>
      </c>
    </row>
    <row r="1005" spans="1:6">
      <c r="A1005" s="435"/>
      <c r="B1005" s="435"/>
      <c r="C1005" s="79" t="s">
        <v>1338</v>
      </c>
      <c r="D1005" s="80">
        <v>150</v>
      </c>
    </row>
    <row r="1006" spans="1:6">
      <c r="A1006" s="435"/>
      <c r="B1006" s="435"/>
      <c r="C1006" s="79" t="s">
        <v>1378</v>
      </c>
      <c r="D1006" s="80">
        <v>50</v>
      </c>
    </row>
    <row r="1007" spans="1:6">
      <c r="A1007" s="435"/>
      <c r="B1007" s="435"/>
      <c r="C1007" s="79" t="s">
        <v>1379</v>
      </c>
      <c r="D1007" s="80">
        <v>650</v>
      </c>
    </row>
    <row r="1008" spans="1:6">
      <c r="A1008" s="435"/>
      <c r="B1008" s="435"/>
      <c r="C1008" s="79" t="s">
        <v>1386</v>
      </c>
      <c r="D1008" s="80">
        <v>200</v>
      </c>
    </row>
    <row r="1009" spans="1:6">
      <c r="A1009" s="435"/>
      <c r="B1009" s="435"/>
      <c r="C1009" s="79" t="s">
        <v>1387</v>
      </c>
      <c r="D1009" s="80">
        <v>800</v>
      </c>
    </row>
    <row r="1010" spans="1:6">
      <c r="A1010" s="435"/>
      <c r="B1010" s="435"/>
      <c r="C1010" s="79" t="s">
        <v>1422</v>
      </c>
      <c r="D1010" s="80">
        <v>1200</v>
      </c>
    </row>
    <row r="1011" spans="1:6">
      <c r="A1011" s="435"/>
      <c r="B1011" s="435"/>
      <c r="C1011" s="79" t="s">
        <v>1423</v>
      </c>
      <c r="D1011" s="80">
        <v>800</v>
      </c>
    </row>
    <row r="1012" spans="1:6">
      <c r="A1012" s="435"/>
      <c r="B1012" s="435"/>
      <c r="C1012" s="79" t="s">
        <v>1431</v>
      </c>
      <c r="D1012" s="80">
        <v>800</v>
      </c>
    </row>
    <row r="1013" spans="1:6">
      <c r="A1013" s="435"/>
      <c r="B1013" s="435"/>
      <c r="C1013" s="79" t="s">
        <v>1432</v>
      </c>
      <c r="D1013" s="80">
        <v>1200</v>
      </c>
    </row>
    <row r="1014" spans="1:6">
      <c r="A1014" s="435"/>
      <c r="B1014" s="435"/>
      <c r="C1014" s="79" t="s">
        <v>1431</v>
      </c>
      <c r="D1014" s="80">
        <v>400</v>
      </c>
    </row>
    <row r="1015" spans="1:6">
      <c r="A1015" s="435"/>
      <c r="B1015" s="435"/>
      <c r="C1015" s="79" t="s">
        <v>1423</v>
      </c>
      <c r="D1015" s="80">
        <v>400</v>
      </c>
    </row>
    <row r="1016" spans="1:6">
      <c r="A1016" s="435"/>
      <c r="B1016" s="435"/>
      <c r="C1016" s="79" t="s">
        <v>1516</v>
      </c>
      <c r="D1016" s="80">
        <v>1200</v>
      </c>
    </row>
    <row r="1017" spans="1:6">
      <c r="A1017" s="435"/>
      <c r="B1017" s="435"/>
      <c r="C1017" s="79" t="s">
        <v>1379</v>
      </c>
      <c r="D1017" s="80">
        <v>400</v>
      </c>
    </row>
    <row r="1018" spans="1:6">
      <c r="A1018" s="435"/>
      <c r="B1018" s="435"/>
      <c r="C1018" s="79" t="s">
        <v>1523</v>
      </c>
      <c r="D1018" s="80">
        <v>400</v>
      </c>
    </row>
    <row r="1019" spans="1:6">
      <c r="A1019" s="435"/>
      <c r="B1019" s="435"/>
      <c r="C1019" s="79" t="s">
        <v>1524</v>
      </c>
      <c r="D1019" s="80">
        <v>1200</v>
      </c>
    </row>
    <row r="1020" spans="1:6">
      <c r="A1020" s="435"/>
      <c r="B1020" s="435"/>
      <c r="C1020" s="79"/>
      <c r="D1020" s="80"/>
    </row>
    <row r="1021" spans="1:6">
      <c r="A1021" s="435"/>
      <c r="B1021" s="435"/>
      <c r="C1021" s="79"/>
      <c r="D1021" s="80"/>
    </row>
    <row r="1022" spans="1:6">
      <c r="A1022" s="435"/>
      <c r="B1022" s="435"/>
      <c r="C1022" s="79"/>
      <c r="D1022" s="80"/>
    </row>
    <row r="1023" spans="1:6">
      <c r="A1023" s="436"/>
      <c r="B1023" s="436"/>
      <c r="C1023" s="79"/>
      <c r="D1023" s="80"/>
      <c r="F1023" s="87"/>
    </row>
    <row r="1024" spans="1:6" ht="15.75">
      <c r="A1024" s="438" t="s">
        <v>655</v>
      </c>
      <c r="B1024" s="439"/>
      <c r="C1024" s="440"/>
      <c r="D1024" s="81">
        <f>SUM(D1000:D1023)</f>
        <v>11150</v>
      </c>
      <c r="E1024" s="82">
        <f>+'Tổng,SUMMARY'!$Q$220</f>
        <v>11150</v>
      </c>
      <c r="F1024" s="87">
        <f>+E1024-D1024</f>
        <v>0</v>
      </c>
    </row>
    <row r="1025" spans="1:6">
      <c r="A1025" s="434" t="s">
        <v>272</v>
      </c>
      <c r="B1025" s="434" t="s">
        <v>273</v>
      </c>
      <c r="C1025" s="89"/>
      <c r="D1025" s="80"/>
    </row>
    <row r="1026" spans="1:6">
      <c r="A1026" s="435"/>
      <c r="B1026" s="435"/>
      <c r="C1026" s="89" t="s">
        <v>797</v>
      </c>
      <c r="D1026" s="80">
        <v>400</v>
      </c>
    </row>
    <row r="1027" spans="1:6">
      <c r="A1027" s="435"/>
      <c r="B1027" s="435"/>
      <c r="C1027" s="89"/>
      <c r="D1027" s="80"/>
    </row>
    <row r="1028" spans="1:6">
      <c r="A1028" s="435"/>
      <c r="B1028" s="435"/>
      <c r="C1028" s="79"/>
      <c r="D1028" s="80"/>
    </row>
    <row r="1029" spans="1:6">
      <c r="A1029" s="435"/>
      <c r="B1029" s="435"/>
      <c r="C1029" s="79"/>
      <c r="D1029" s="80"/>
    </row>
    <row r="1030" spans="1:6">
      <c r="A1030" s="435"/>
      <c r="B1030" s="435"/>
      <c r="C1030" s="79"/>
      <c r="D1030" s="80"/>
    </row>
    <row r="1031" spans="1:6">
      <c r="A1031" s="435"/>
      <c r="B1031" s="435"/>
      <c r="C1031" s="79"/>
      <c r="D1031" s="80"/>
    </row>
    <row r="1032" spans="1:6">
      <c r="A1032" s="436"/>
      <c r="B1032" s="436"/>
      <c r="C1032" s="79"/>
      <c r="D1032" s="80"/>
      <c r="F1032" s="87"/>
    </row>
    <row r="1033" spans="1:6" ht="15.75">
      <c r="A1033" s="438" t="s">
        <v>655</v>
      </c>
      <c r="B1033" s="439"/>
      <c r="C1033" s="440"/>
      <c r="D1033" s="81">
        <f>SUM(D1025:D1032)</f>
        <v>400</v>
      </c>
      <c r="E1033" s="82">
        <f>+'Tổng,SUMMARY'!$Q$134</f>
        <v>400</v>
      </c>
      <c r="F1033" s="87">
        <f>+E1033-D1033</f>
        <v>0</v>
      </c>
    </row>
    <row r="1034" spans="1:6">
      <c r="A1034" s="434" t="s">
        <v>431</v>
      </c>
      <c r="B1034" s="434" t="s">
        <v>432</v>
      </c>
      <c r="C1034" s="79" t="s">
        <v>676</v>
      </c>
      <c r="D1034" s="80">
        <v>300</v>
      </c>
    </row>
    <row r="1035" spans="1:6">
      <c r="A1035" s="435"/>
      <c r="B1035" s="435"/>
      <c r="C1035" s="79" t="s">
        <v>1094</v>
      </c>
      <c r="D1035" s="80">
        <v>1200</v>
      </c>
    </row>
    <row r="1036" spans="1:6">
      <c r="A1036" s="435"/>
      <c r="B1036" s="435"/>
      <c r="C1036" s="79" t="s">
        <v>1095</v>
      </c>
      <c r="D1036" s="80">
        <v>1200</v>
      </c>
    </row>
    <row r="1037" spans="1:6">
      <c r="A1037" s="435"/>
      <c r="B1037" s="435"/>
      <c r="C1037" s="79" t="s">
        <v>1096</v>
      </c>
      <c r="D1037" s="80">
        <v>200</v>
      </c>
    </row>
    <row r="1038" spans="1:6">
      <c r="A1038" s="435"/>
      <c r="B1038" s="435"/>
      <c r="C1038" s="79"/>
      <c r="D1038" s="80"/>
      <c r="E1038" s="76" t="s">
        <v>1097</v>
      </c>
    </row>
    <row r="1039" spans="1:6">
      <c r="A1039" s="435"/>
      <c r="B1039" s="435"/>
      <c r="C1039" s="79" t="s">
        <v>1067</v>
      </c>
      <c r="D1039" s="80">
        <v>1200</v>
      </c>
      <c r="E1039" s="76" t="s">
        <v>1097</v>
      </c>
    </row>
    <row r="1040" spans="1:6">
      <c r="A1040" s="435"/>
      <c r="B1040" s="435"/>
      <c r="C1040" s="79"/>
      <c r="D1040" s="80"/>
    </row>
    <row r="1041" spans="1:6">
      <c r="A1041" s="435"/>
      <c r="B1041" s="435"/>
      <c r="C1041" s="79"/>
      <c r="D1041" s="80"/>
    </row>
    <row r="1042" spans="1:6">
      <c r="A1042" s="435"/>
      <c r="B1042" s="435"/>
      <c r="C1042" s="79" t="s">
        <v>1066</v>
      </c>
      <c r="D1042" s="80">
        <v>1200</v>
      </c>
    </row>
    <row r="1043" spans="1:6">
      <c r="A1043" s="435"/>
      <c r="B1043" s="435"/>
      <c r="C1043" s="79" t="s">
        <v>1067</v>
      </c>
      <c r="D1043" s="80">
        <v>1000</v>
      </c>
    </row>
    <row r="1044" spans="1:6">
      <c r="A1044" s="435"/>
      <c r="B1044" s="435"/>
      <c r="C1044" s="79" t="s">
        <v>1101</v>
      </c>
      <c r="D1044" s="80">
        <v>700</v>
      </c>
    </row>
    <row r="1045" spans="1:6">
      <c r="A1045" s="435"/>
      <c r="B1045" s="435"/>
      <c r="C1045" s="79"/>
      <c r="D1045" s="80"/>
    </row>
    <row r="1046" spans="1:6">
      <c r="A1046" s="435"/>
      <c r="B1046" s="435"/>
      <c r="C1046" s="79"/>
      <c r="D1046" s="80"/>
    </row>
    <row r="1047" spans="1:6">
      <c r="A1047" s="436"/>
      <c r="B1047" s="436"/>
      <c r="C1047" s="79"/>
      <c r="D1047" s="80"/>
      <c r="F1047" s="87"/>
    </row>
    <row r="1048" spans="1:6" ht="15.75">
      <c r="A1048" s="438" t="s">
        <v>655</v>
      </c>
      <c r="B1048" s="439"/>
      <c r="C1048" s="440"/>
      <c r="D1048" s="81">
        <f>SUM(D1034:D1047)</f>
        <v>7000</v>
      </c>
      <c r="E1048" s="82">
        <f>+'Tổng,SUMMARY'!$Q$199</f>
        <v>7000</v>
      </c>
      <c r="F1048" s="87">
        <f>+E1048-D1048</f>
        <v>0</v>
      </c>
    </row>
    <row r="1049" spans="1:6">
      <c r="A1049" s="434" t="s">
        <v>324</v>
      </c>
      <c r="B1049" s="434" t="s">
        <v>325</v>
      </c>
      <c r="C1049" s="79" t="s">
        <v>742</v>
      </c>
      <c r="D1049" s="80">
        <v>1200</v>
      </c>
    </row>
    <row r="1050" spans="1:6">
      <c r="A1050" s="435"/>
      <c r="B1050" s="435"/>
      <c r="C1050" s="79" t="s">
        <v>743</v>
      </c>
      <c r="D1050" s="80">
        <v>400</v>
      </c>
    </row>
    <row r="1051" spans="1:6">
      <c r="A1051" s="435"/>
      <c r="B1051" s="435"/>
      <c r="C1051" s="79" t="s">
        <v>1023</v>
      </c>
      <c r="D1051" s="80">
        <v>350</v>
      </c>
    </row>
    <row r="1052" spans="1:6">
      <c r="A1052" s="435"/>
      <c r="B1052" s="435"/>
      <c r="C1052" s="79" t="s">
        <v>1024</v>
      </c>
      <c r="D1052" s="80">
        <v>400</v>
      </c>
    </row>
    <row r="1053" spans="1:6">
      <c r="A1053" s="435"/>
      <c r="B1053" s="435"/>
      <c r="C1053" s="79" t="s">
        <v>1029</v>
      </c>
      <c r="D1053" s="80">
        <v>1200</v>
      </c>
    </row>
    <row r="1054" spans="1:6">
      <c r="A1054" s="435"/>
      <c r="B1054" s="435"/>
      <c r="C1054" s="79" t="s">
        <v>1030</v>
      </c>
      <c r="D1054" s="80">
        <v>1200</v>
      </c>
    </row>
    <row r="1055" spans="1:6">
      <c r="A1055" s="435"/>
      <c r="B1055" s="435"/>
      <c r="C1055" s="79"/>
      <c r="D1055" s="80"/>
    </row>
    <row r="1056" spans="1:6">
      <c r="A1056" s="435"/>
      <c r="B1056" s="435"/>
      <c r="C1056" s="79"/>
      <c r="D1056" s="80"/>
    </row>
    <row r="1057" spans="1:6">
      <c r="A1057" s="435"/>
      <c r="B1057" s="435"/>
      <c r="C1057" s="79"/>
      <c r="D1057" s="80"/>
    </row>
    <row r="1058" spans="1:6">
      <c r="A1058" s="436"/>
      <c r="B1058" s="436"/>
      <c r="C1058" s="79"/>
      <c r="D1058" s="80"/>
      <c r="F1058" s="87"/>
    </row>
    <row r="1059" spans="1:6" ht="15.75">
      <c r="A1059" s="438" t="s">
        <v>655</v>
      </c>
      <c r="B1059" s="439"/>
      <c r="C1059" s="440"/>
      <c r="D1059" s="81">
        <f>SUM(D1049:D1058)</f>
        <v>4750</v>
      </c>
      <c r="E1059" s="82">
        <f>+'Tổng,SUMMARY'!Q158</f>
        <v>4750</v>
      </c>
      <c r="F1059" s="87">
        <f>+E1059-D1059</f>
        <v>0</v>
      </c>
    </row>
    <row r="1060" spans="1:6">
      <c r="A1060" s="434" t="s">
        <v>977</v>
      </c>
      <c r="B1060" s="434" t="s">
        <v>149</v>
      </c>
      <c r="C1060" s="79"/>
      <c r="D1060" s="80"/>
    </row>
    <row r="1061" spans="1:6">
      <c r="A1061" s="435"/>
      <c r="B1061" s="435"/>
      <c r="C1061" s="79" t="s">
        <v>782</v>
      </c>
      <c r="D1061" s="80">
        <v>1200</v>
      </c>
    </row>
    <row r="1062" spans="1:6">
      <c r="A1062" s="435"/>
      <c r="B1062" s="435"/>
      <c r="C1062" s="79" t="s">
        <v>783</v>
      </c>
      <c r="D1062" s="80">
        <v>1200</v>
      </c>
    </row>
    <row r="1063" spans="1:6">
      <c r="A1063" s="435"/>
      <c r="B1063" s="435"/>
      <c r="C1063" s="79" t="s">
        <v>784</v>
      </c>
      <c r="D1063" s="80">
        <v>1200</v>
      </c>
    </row>
    <row r="1064" spans="1:6">
      <c r="A1064" s="435"/>
      <c r="B1064" s="435"/>
      <c r="C1064" s="79" t="s">
        <v>785</v>
      </c>
      <c r="D1064" s="80">
        <v>400</v>
      </c>
    </row>
    <row r="1065" spans="1:6">
      <c r="A1065" s="435"/>
      <c r="B1065" s="435"/>
      <c r="C1065" s="79" t="s">
        <v>805</v>
      </c>
      <c r="D1065" s="80">
        <v>1200</v>
      </c>
    </row>
    <row r="1066" spans="1:6">
      <c r="A1066" s="435"/>
      <c r="B1066" s="435"/>
      <c r="C1066" s="79" t="s">
        <v>806</v>
      </c>
      <c r="D1066" s="80">
        <v>600</v>
      </c>
    </row>
    <row r="1067" spans="1:6">
      <c r="A1067" s="435"/>
      <c r="B1067" s="435"/>
      <c r="C1067" s="79" t="s">
        <v>817</v>
      </c>
      <c r="D1067" s="80">
        <v>1100</v>
      </c>
    </row>
    <row r="1068" spans="1:6">
      <c r="A1068" s="435"/>
      <c r="B1068" s="435"/>
      <c r="C1068" s="79" t="s">
        <v>978</v>
      </c>
      <c r="D1068" s="80">
        <v>1100</v>
      </c>
    </row>
    <row r="1069" spans="1:6">
      <c r="A1069" s="435"/>
      <c r="B1069" s="435"/>
      <c r="C1069" s="79" t="s">
        <v>979</v>
      </c>
      <c r="D1069" s="80">
        <v>100</v>
      </c>
    </row>
    <row r="1070" spans="1:6">
      <c r="A1070" s="435"/>
      <c r="B1070" s="435"/>
      <c r="C1070" s="79" t="s">
        <v>980</v>
      </c>
      <c r="D1070" s="80">
        <v>1200</v>
      </c>
    </row>
    <row r="1071" spans="1:6">
      <c r="A1071" s="435"/>
      <c r="B1071" s="435"/>
      <c r="C1071" s="79"/>
      <c r="D1071" s="80"/>
    </row>
    <row r="1072" spans="1:6">
      <c r="A1072" s="435"/>
      <c r="B1072" s="435"/>
      <c r="C1072" s="79"/>
      <c r="D1072" s="80"/>
    </row>
    <row r="1073" spans="1:6">
      <c r="A1073" s="436"/>
      <c r="B1073" s="436"/>
      <c r="C1073" s="79"/>
      <c r="D1073" s="80"/>
      <c r="F1073" s="87"/>
    </row>
    <row r="1074" spans="1:6" ht="15.75">
      <c r="A1074" s="438" t="s">
        <v>655</v>
      </c>
      <c r="B1074" s="439"/>
      <c r="C1074" s="440"/>
      <c r="D1074" s="81">
        <f>SUM(D1060:D1073)</f>
        <v>9300</v>
      </c>
      <c r="E1074" s="82">
        <f>+'Tổng,SUMMARY'!$Q$186</f>
        <v>9300</v>
      </c>
      <c r="F1074" s="87">
        <f>+E1074-D1074</f>
        <v>0</v>
      </c>
    </row>
    <row r="1075" spans="1:6">
      <c r="A1075" s="433" t="s">
        <v>458</v>
      </c>
      <c r="B1075" s="433" t="s">
        <v>459</v>
      </c>
      <c r="C1075" s="79"/>
      <c r="D1075" s="80"/>
    </row>
    <row r="1076" spans="1:6">
      <c r="A1076" s="433"/>
      <c r="B1076" s="433"/>
      <c r="C1076" s="79" t="s">
        <v>1215</v>
      </c>
      <c r="D1076" s="80">
        <v>1200</v>
      </c>
    </row>
    <row r="1077" spans="1:6">
      <c r="A1077" s="433"/>
      <c r="B1077" s="433"/>
      <c r="C1077" s="79" t="s">
        <v>1216</v>
      </c>
      <c r="D1077" s="80">
        <v>1200</v>
      </c>
    </row>
    <row r="1078" spans="1:6">
      <c r="A1078" s="433"/>
      <c r="B1078" s="433"/>
      <c r="C1078" s="84" t="s">
        <v>1217</v>
      </c>
      <c r="D1078" s="85">
        <v>1200</v>
      </c>
    </row>
    <row r="1079" spans="1:6">
      <c r="A1079" s="433"/>
      <c r="B1079" s="433"/>
      <c r="C1079" s="84" t="s">
        <v>1380</v>
      </c>
      <c r="D1079" s="85">
        <v>1200</v>
      </c>
    </row>
    <row r="1080" spans="1:6">
      <c r="A1080" s="433"/>
      <c r="B1080" s="433"/>
      <c r="C1080" s="84" t="s">
        <v>1381</v>
      </c>
      <c r="D1080" s="85">
        <v>1200</v>
      </c>
    </row>
    <row r="1081" spans="1:6">
      <c r="A1081" s="433"/>
      <c r="B1081" s="433"/>
      <c r="C1081" s="84" t="s">
        <v>1382</v>
      </c>
      <c r="D1081" s="85">
        <v>1200</v>
      </c>
    </row>
    <row r="1082" spans="1:6">
      <c r="A1082" s="433"/>
      <c r="B1082" s="433"/>
      <c r="C1082" s="84" t="s">
        <v>1428</v>
      </c>
      <c r="D1082" s="85">
        <v>1200</v>
      </c>
    </row>
    <row r="1083" spans="1:6">
      <c r="A1083" s="433"/>
      <c r="B1083" s="433"/>
      <c r="C1083" s="84" t="s">
        <v>1429</v>
      </c>
      <c r="D1083" s="85">
        <v>150</v>
      </c>
    </row>
    <row r="1084" spans="1:6">
      <c r="A1084" s="433"/>
      <c r="B1084" s="433"/>
      <c r="C1084" s="84"/>
      <c r="D1084" s="85"/>
    </row>
    <row r="1085" spans="1:6">
      <c r="A1085" s="433"/>
      <c r="B1085" s="433"/>
      <c r="C1085" s="89"/>
      <c r="D1085" s="80"/>
    </row>
    <row r="1086" spans="1:6">
      <c r="A1086" s="433"/>
      <c r="B1086" s="433"/>
      <c r="C1086" s="79"/>
      <c r="D1086" s="80"/>
    </row>
    <row r="1087" spans="1:6">
      <c r="A1087" s="433"/>
      <c r="B1087" s="433"/>
      <c r="C1087" s="79"/>
      <c r="D1087" s="80"/>
    </row>
    <row r="1088" spans="1:6" s="74" customFormat="1" ht="24" customHeight="1">
      <c r="A1088" s="438" t="s">
        <v>655</v>
      </c>
      <c r="B1088" s="439"/>
      <c r="C1088" s="440"/>
      <c r="D1088" s="81">
        <f>SUM(D1075:D1087)</f>
        <v>8550</v>
      </c>
      <c r="E1088" s="82">
        <f>+'Tổng,SUMMARY'!$Q$160</f>
        <v>8550</v>
      </c>
      <c r="F1088" s="83">
        <f>+E1088-D1088</f>
        <v>0</v>
      </c>
    </row>
    <row r="1089" spans="1:6">
      <c r="A1089" s="434" t="s">
        <v>787</v>
      </c>
      <c r="B1089" s="434" t="s">
        <v>212</v>
      </c>
      <c r="C1089" s="79" t="s">
        <v>676</v>
      </c>
      <c r="D1089" s="80">
        <v>950</v>
      </c>
    </row>
    <row r="1090" spans="1:6">
      <c r="A1090" s="435"/>
      <c r="B1090" s="435"/>
      <c r="C1090" s="79" t="s">
        <v>744</v>
      </c>
      <c r="D1090" s="80">
        <v>500</v>
      </c>
    </row>
    <row r="1091" spans="1:6">
      <c r="A1091" s="435"/>
      <c r="B1091" s="435"/>
      <c r="C1091" s="79" t="s">
        <v>745</v>
      </c>
      <c r="D1091" s="80">
        <v>750</v>
      </c>
    </row>
    <row r="1092" spans="1:6">
      <c r="A1092" s="435"/>
      <c r="B1092" s="435"/>
      <c r="C1092" s="79" t="s">
        <v>746</v>
      </c>
      <c r="D1092" s="80">
        <v>150</v>
      </c>
    </row>
    <row r="1093" spans="1:6">
      <c r="A1093" s="435"/>
      <c r="B1093" s="435"/>
      <c r="C1093" s="79" t="s">
        <v>1406</v>
      </c>
      <c r="D1093" s="80">
        <v>600</v>
      </c>
    </row>
    <row r="1094" spans="1:6">
      <c r="A1094" s="435"/>
      <c r="B1094" s="435"/>
      <c r="C1094" s="79" t="s">
        <v>1490</v>
      </c>
      <c r="D1094" s="80">
        <v>1200</v>
      </c>
    </row>
    <row r="1095" spans="1:6">
      <c r="A1095" s="435"/>
      <c r="B1095" s="435"/>
      <c r="C1095" s="79" t="s">
        <v>1502</v>
      </c>
      <c r="D1095" s="80">
        <v>350</v>
      </c>
    </row>
    <row r="1096" spans="1:6">
      <c r="A1096" s="435"/>
      <c r="B1096" s="435"/>
      <c r="C1096" s="79"/>
      <c r="D1096" s="80"/>
    </row>
    <row r="1097" spans="1:6">
      <c r="A1097" s="435"/>
      <c r="B1097" s="435"/>
      <c r="C1097" s="79"/>
      <c r="D1097" s="80"/>
    </row>
    <row r="1098" spans="1:6">
      <c r="A1098" s="435"/>
      <c r="B1098" s="435"/>
      <c r="C1098" s="79"/>
      <c r="D1098" s="80"/>
    </row>
    <row r="1099" spans="1:6">
      <c r="A1099" s="435"/>
      <c r="B1099" s="435"/>
      <c r="C1099" s="79"/>
      <c r="D1099" s="80"/>
    </row>
    <row r="1100" spans="1:6">
      <c r="A1100" s="435"/>
      <c r="B1100" s="435"/>
      <c r="C1100" s="79"/>
      <c r="D1100" s="80"/>
    </row>
    <row r="1101" spans="1:6">
      <c r="A1101" s="435"/>
      <c r="B1101" s="435"/>
      <c r="C1101" s="79"/>
      <c r="D1101" s="80"/>
    </row>
    <row r="1102" spans="1:6">
      <c r="A1102" s="436"/>
      <c r="B1102" s="436"/>
      <c r="C1102" s="79"/>
      <c r="D1102" s="80"/>
      <c r="F1102" s="87"/>
    </row>
    <row r="1103" spans="1:6" ht="15.75">
      <c r="A1103" s="438" t="s">
        <v>655</v>
      </c>
      <c r="B1103" s="439"/>
      <c r="C1103" s="440"/>
      <c r="D1103" s="81">
        <f>SUM(D1089:D1102)</f>
        <v>4500</v>
      </c>
      <c r="E1103" s="82">
        <f>+'Tổng,SUMMARY'!$Q$117</f>
        <v>4500</v>
      </c>
      <c r="F1103" s="87">
        <f>+E1103-D1103</f>
        <v>0</v>
      </c>
    </row>
    <row r="1104" spans="1:6">
      <c r="A1104" s="434" t="s">
        <v>436</v>
      </c>
      <c r="B1104" s="434" t="s">
        <v>437</v>
      </c>
      <c r="C1104" s="79"/>
      <c r="D1104" s="80"/>
    </row>
    <row r="1105" spans="1:6">
      <c r="A1105" s="435"/>
      <c r="B1105" s="435"/>
      <c r="C1105" s="79" t="s">
        <v>1038</v>
      </c>
      <c r="D1105" s="80">
        <v>750</v>
      </c>
    </row>
    <row r="1106" spans="1:6">
      <c r="A1106" s="435"/>
      <c r="B1106" s="435"/>
      <c r="C1106" s="79" t="s">
        <v>1039</v>
      </c>
      <c r="D1106" s="80">
        <v>540</v>
      </c>
    </row>
    <row r="1107" spans="1:6">
      <c r="A1107" s="435"/>
      <c r="B1107" s="435"/>
      <c r="C1107" s="79" t="s">
        <v>1038</v>
      </c>
      <c r="D1107" s="80">
        <v>780</v>
      </c>
      <c r="E1107" s="76" t="s">
        <v>1040</v>
      </c>
    </row>
    <row r="1108" spans="1:6">
      <c r="A1108" s="435"/>
      <c r="B1108" s="435"/>
      <c r="C1108" s="79" t="s">
        <v>1041</v>
      </c>
      <c r="D1108" s="80">
        <v>780</v>
      </c>
    </row>
    <row r="1109" spans="1:6">
      <c r="A1109" s="435"/>
      <c r="B1109" s="435"/>
      <c r="C1109" s="79" t="s">
        <v>1042</v>
      </c>
      <c r="D1109" s="80">
        <v>300</v>
      </c>
    </row>
    <row r="1110" spans="1:6">
      <c r="A1110" s="435"/>
      <c r="B1110" s="435"/>
      <c r="C1110" s="79"/>
      <c r="D1110" s="80"/>
    </row>
    <row r="1111" spans="1:6">
      <c r="A1111" s="435"/>
      <c r="B1111" s="435"/>
      <c r="C1111" s="79"/>
      <c r="D1111" s="80"/>
    </row>
    <row r="1112" spans="1:6">
      <c r="A1112" s="435"/>
      <c r="B1112" s="435"/>
      <c r="C1112" s="79"/>
      <c r="D1112" s="80"/>
    </row>
    <row r="1113" spans="1:6">
      <c r="A1113" s="435"/>
      <c r="B1113" s="435"/>
      <c r="C1113" s="79" t="s">
        <v>932</v>
      </c>
      <c r="D1113" s="80">
        <v>780</v>
      </c>
    </row>
    <row r="1114" spans="1:6">
      <c r="A1114" s="435"/>
      <c r="B1114" s="435"/>
      <c r="C1114" s="79"/>
      <c r="D1114" s="80"/>
    </row>
    <row r="1115" spans="1:6">
      <c r="A1115" s="435"/>
      <c r="B1115" s="435"/>
      <c r="C1115" s="79"/>
      <c r="D1115" s="80"/>
    </row>
    <row r="1116" spans="1:6">
      <c r="A1116" s="435"/>
      <c r="B1116" s="435"/>
      <c r="C1116" s="79"/>
      <c r="D1116" s="80"/>
    </row>
    <row r="1117" spans="1:6">
      <c r="A1117" s="436"/>
      <c r="B1117" s="436"/>
      <c r="C1117" s="79"/>
      <c r="D1117" s="80"/>
      <c r="F1117" s="87"/>
    </row>
    <row r="1118" spans="1:6" ht="15.75">
      <c r="A1118" s="438" t="s">
        <v>655</v>
      </c>
      <c r="B1118" s="439"/>
      <c r="C1118" s="440"/>
      <c r="D1118" s="81">
        <f>SUM(D1104:D1117)</f>
        <v>3930</v>
      </c>
      <c r="E1118" s="82">
        <f>+'Tổng,SUMMARY'!$Q$262</f>
        <v>3930</v>
      </c>
      <c r="F1118" s="87">
        <f>+E1118-D1118</f>
        <v>0</v>
      </c>
    </row>
    <row r="1119" spans="1:6">
      <c r="A1119" s="434" t="s">
        <v>360</v>
      </c>
      <c r="B1119" s="434" t="s">
        <v>361</v>
      </c>
      <c r="C1119" s="79" t="s">
        <v>676</v>
      </c>
      <c r="D1119" s="80">
        <v>100</v>
      </c>
    </row>
    <row r="1120" spans="1:6">
      <c r="A1120" s="435"/>
      <c r="B1120" s="435"/>
      <c r="C1120" s="79" t="s">
        <v>747</v>
      </c>
      <c r="D1120" s="80">
        <v>250</v>
      </c>
    </row>
    <row r="1121" spans="1:6">
      <c r="A1121" s="435"/>
      <c r="B1121" s="435"/>
      <c r="C1121" s="79"/>
      <c r="D1121" s="80"/>
    </row>
    <row r="1122" spans="1:6">
      <c r="A1122" s="435"/>
      <c r="B1122" s="435"/>
      <c r="C1122" s="79"/>
      <c r="D1122" s="80"/>
    </row>
    <row r="1123" spans="1:6">
      <c r="A1123" s="435"/>
      <c r="B1123" s="435"/>
      <c r="C1123" s="79"/>
      <c r="D1123" s="80"/>
    </row>
    <row r="1124" spans="1:6">
      <c r="A1124" s="436"/>
      <c r="B1124" s="436"/>
      <c r="C1124" s="79"/>
      <c r="D1124" s="80"/>
      <c r="F1124" s="87"/>
    </row>
    <row r="1125" spans="1:6" ht="15.75">
      <c r="A1125" s="438" t="s">
        <v>655</v>
      </c>
      <c r="B1125" s="439"/>
      <c r="C1125" s="440"/>
      <c r="D1125" s="81">
        <f>SUM(D1119:D1124)</f>
        <v>350</v>
      </c>
      <c r="E1125" s="82">
        <f>+'Tổng,SUMMARY'!$Q$92</f>
        <v>350</v>
      </c>
      <c r="F1125" s="87"/>
    </row>
    <row r="1126" spans="1:6">
      <c r="A1126" s="434" t="s">
        <v>479</v>
      </c>
      <c r="B1126" s="434" t="s">
        <v>480</v>
      </c>
      <c r="C1126" s="79" t="s">
        <v>748</v>
      </c>
      <c r="D1126" s="80">
        <v>600</v>
      </c>
    </row>
    <row r="1127" spans="1:6">
      <c r="A1127" s="435"/>
      <c r="B1127" s="435"/>
      <c r="C1127" s="79"/>
      <c r="D1127" s="80"/>
    </row>
    <row r="1128" spans="1:6">
      <c r="A1128" s="435"/>
      <c r="B1128" s="435"/>
      <c r="C1128" s="79"/>
      <c r="D1128" s="80"/>
    </row>
    <row r="1129" spans="1:6">
      <c r="A1129" s="435"/>
      <c r="B1129" s="435"/>
      <c r="C1129" s="79"/>
      <c r="D1129" s="80"/>
    </row>
    <row r="1130" spans="1:6">
      <c r="A1130" s="435"/>
      <c r="B1130" s="435"/>
      <c r="C1130" s="79"/>
      <c r="D1130" s="80"/>
    </row>
    <row r="1131" spans="1:6">
      <c r="A1131" s="436"/>
      <c r="B1131" s="436"/>
      <c r="C1131" s="79"/>
      <c r="D1131" s="80"/>
    </row>
    <row r="1132" spans="1:6" s="74" customFormat="1" ht="24" customHeight="1">
      <c r="A1132" s="437" t="s">
        <v>655</v>
      </c>
      <c r="B1132" s="437"/>
      <c r="C1132" s="437"/>
      <c r="D1132" s="81">
        <f>SUM(D1126:D1131)</f>
        <v>600</v>
      </c>
      <c r="E1132" s="82">
        <f>+'Tổng,SUMMARY'!$Q$246</f>
        <v>600</v>
      </c>
    </row>
    <row r="1133" spans="1:6">
      <c r="A1133" s="434" t="s">
        <v>190</v>
      </c>
      <c r="B1133" s="434" t="s">
        <v>191</v>
      </c>
      <c r="C1133" s="79" t="s">
        <v>676</v>
      </c>
      <c r="D1133" s="80">
        <v>250</v>
      </c>
    </row>
    <row r="1134" spans="1:6">
      <c r="A1134" s="435"/>
      <c r="B1134" s="435"/>
      <c r="C1134" s="79" t="s">
        <v>1086</v>
      </c>
      <c r="D1134" s="80">
        <v>50</v>
      </c>
    </row>
    <row r="1135" spans="1:6">
      <c r="A1135" s="435"/>
      <c r="B1135" s="435"/>
      <c r="C1135" s="79" t="s">
        <v>1263</v>
      </c>
      <c r="D1135" s="80">
        <v>1100</v>
      </c>
    </row>
    <row r="1136" spans="1:6">
      <c r="A1136" s="435"/>
      <c r="B1136" s="435"/>
      <c r="C1136" s="79"/>
      <c r="D1136" s="80"/>
    </row>
    <row r="1137" spans="1:5">
      <c r="A1137" s="435"/>
      <c r="B1137" s="435"/>
      <c r="C1137" s="79"/>
      <c r="D1137" s="80"/>
    </row>
    <row r="1138" spans="1:5">
      <c r="A1138" s="435"/>
      <c r="B1138" s="435"/>
      <c r="C1138" s="79"/>
      <c r="D1138" s="80"/>
    </row>
    <row r="1139" spans="1:5">
      <c r="A1139" s="435"/>
      <c r="B1139" s="435"/>
      <c r="C1139" s="79"/>
      <c r="D1139" s="80"/>
    </row>
    <row r="1140" spans="1:5">
      <c r="A1140" s="435"/>
      <c r="B1140" s="435"/>
      <c r="C1140" s="79"/>
      <c r="D1140" s="80"/>
    </row>
    <row r="1141" spans="1:5">
      <c r="A1141" s="435"/>
      <c r="B1141" s="435"/>
      <c r="C1141" s="79"/>
      <c r="D1141" s="80"/>
    </row>
    <row r="1142" spans="1:5">
      <c r="A1142" s="435"/>
      <c r="B1142" s="435"/>
      <c r="C1142" s="79"/>
      <c r="D1142" s="80"/>
    </row>
    <row r="1143" spans="1:5">
      <c r="A1143" s="436"/>
      <c r="B1143" s="436"/>
      <c r="C1143" s="79"/>
      <c r="D1143" s="80"/>
    </row>
    <row r="1144" spans="1:5" s="74" customFormat="1" ht="24" customHeight="1">
      <c r="A1144" s="437" t="s">
        <v>655</v>
      </c>
      <c r="B1144" s="437"/>
      <c r="C1144" s="437"/>
      <c r="D1144" s="81">
        <f>SUM(D1133:D1143)</f>
        <v>1400</v>
      </c>
      <c r="E1144" s="82">
        <f>+'Tổng,SUMMARY'!$Q$95</f>
        <v>1400</v>
      </c>
    </row>
    <row r="1145" spans="1:5">
      <c r="A1145" s="434" t="s">
        <v>418</v>
      </c>
      <c r="B1145" s="434" t="s">
        <v>419</v>
      </c>
      <c r="C1145" s="79"/>
      <c r="D1145" s="80"/>
    </row>
    <row r="1146" spans="1:5">
      <c r="A1146" s="435"/>
      <c r="B1146" s="435"/>
      <c r="C1146" s="79" t="s">
        <v>749</v>
      </c>
      <c r="D1146" s="80">
        <v>100</v>
      </c>
    </row>
    <row r="1147" spans="1:5">
      <c r="A1147" s="435"/>
      <c r="B1147" s="435"/>
      <c r="C1147" s="79" t="s">
        <v>750</v>
      </c>
      <c r="D1147" s="80">
        <v>100</v>
      </c>
    </row>
    <row r="1148" spans="1:5">
      <c r="A1148" s="435"/>
      <c r="B1148" s="435"/>
      <c r="C1148" s="79" t="s">
        <v>751</v>
      </c>
      <c r="D1148" s="80">
        <v>1200</v>
      </c>
    </row>
    <row r="1149" spans="1:5">
      <c r="A1149" s="435"/>
      <c r="B1149" s="435"/>
      <c r="C1149" s="79"/>
      <c r="D1149" s="80"/>
    </row>
    <row r="1150" spans="1:5">
      <c r="A1150" s="435"/>
      <c r="B1150" s="435"/>
      <c r="C1150" s="79"/>
      <c r="D1150" s="80"/>
    </row>
    <row r="1151" spans="1:5">
      <c r="A1151" s="435"/>
      <c r="B1151" s="435"/>
      <c r="C1151" s="79"/>
      <c r="D1151" s="80"/>
    </row>
    <row r="1152" spans="1:5">
      <c r="A1152" s="435"/>
      <c r="B1152" s="435"/>
      <c r="C1152" s="79"/>
      <c r="D1152" s="80"/>
    </row>
    <row r="1153" spans="1:6">
      <c r="A1153" s="436"/>
      <c r="B1153" s="436"/>
      <c r="C1153" s="79"/>
      <c r="D1153" s="80"/>
    </row>
    <row r="1154" spans="1:6" s="74" customFormat="1" ht="24" customHeight="1">
      <c r="A1154" s="437" t="s">
        <v>655</v>
      </c>
      <c r="B1154" s="437"/>
      <c r="C1154" s="437"/>
      <c r="D1154" s="81">
        <f>SUM(D1145:D1153)</f>
        <v>1400</v>
      </c>
      <c r="E1154" s="82">
        <f>+'Tổng,SUMMARY'!$Q$27</f>
        <v>1400</v>
      </c>
      <c r="F1154" s="83">
        <f>+E1154-D1154</f>
        <v>0</v>
      </c>
    </row>
    <row r="1155" spans="1:6">
      <c r="A1155" s="434" t="s">
        <v>1177</v>
      </c>
      <c r="B1155" s="434" t="s">
        <v>854</v>
      </c>
      <c r="C1155" s="79"/>
      <c r="D1155" s="80"/>
    </row>
    <row r="1156" spans="1:6">
      <c r="A1156" s="435"/>
      <c r="B1156" s="435"/>
      <c r="C1156" s="79" t="s">
        <v>1140</v>
      </c>
      <c r="D1156" s="80">
        <v>100</v>
      </c>
    </row>
    <row r="1157" spans="1:6">
      <c r="A1157" s="435"/>
      <c r="B1157" s="435"/>
      <c r="C1157" s="79" t="s">
        <v>1141</v>
      </c>
      <c r="D1157" s="80">
        <v>800</v>
      </c>
    </row>
    <row r="1158" spans="1:6">
      <c r="A1158" s="435"/>
      <c r="B1158" s="435"/>
      <c r="C1158" s="79" t="s">
        <v>1166</v>
      </c>
      <c r="D1158" s="80">
        <v>1000</v>
      </c>
    </row>
    <row r="1159" spans="1:6">
      <c r="A1159" s="435"/>
      <c r="B1159" s="435"/>
      <c r="C1159" s="79" t="s">
        <v>1167</v>
      </c>
      <c r="D1159" s="80">
        <v>250</v>
      </c>
    </row>
    <row r="1160" spans="1:6">
      <c r="A1160" s="435"/>
      <c r="B1160" s="435"/>
      <c r="C1160" s="79"/>
      <c r="D1160" s="80"/>
    </row>
    <row r="1161" spans="1:6">
      <c r="A1161" s="435"/>
      <c r="B1161" s="435"/>
      <c r="C1161" s="79"/>
      <c r="D1161" s="80"/>
    </row>
    <row r="1162" spans="1:6">
      <c r="A1162" s="436"/>
      <c r="B1162" s="436"/>
      <c r="C1162" s="79"/>
      <c r="D1162" s="80"/>
    </row>
    <row r="1163" spans="1:6" s="74" customFormat="1" ht="24" customHeight="1">
      <c r="A1163" s="437" t="s">
        <v>655</v>
      </c>
      <c r="B1163" s="437"/>
      <c r="C1163" s="437"/>
      <c r="D1163" s="81">
        <f>SUM(D1155:D1162)</f>
        <v>2150</v>
      </c>
      <c r="E1163" s="82">
        <f>+'Tổng,SUMMARY'!$Q$91</f>
        <v>2150</v>
      </c>
      <c r="F1163" s="83">
        <f>+E1163-D1163</f>
        <v>0</v>
      </c>
    </row>
    <row r="1164" spans="1:6">
      <c r="A1164" s="434" t="s">
        <v>855</v>
      </c>
      <c r="B1164" s="434" t="s">
        <v>178</v>
      </c>
      <c r="C1164" s="79"/>
      <c r="D1164" s="80"/>
    </row>
    <row r="1165" spans="1:6">
      <c r="A1165" s="435"/>
      <c r="B1165" s="435"/>
      <c r="C1165" s="79"/>
      <c r="D1165" s="80"/>
    </row>
    <row r="1166" spans="1:6">
      <c r="A1166" s="435"/>
      <c r="B1166" s="435"/>
      <c r="C1166" s="79"/>
      <c r="D1166" s="80"/>
    </row>
    <row r="1167" spans="1:6">
      <c r="A1167" s="435"/>
      <c r="B1167" s="435"/>
      <c r="C1167" s="79"/>
      <c r="D1167" s="80"/>
    </row>
    <row r="1168" spans="1:6">
      <c r="A1168" s="435"/>
      <c r="B1168" s="435"/>
      <c r="C1168" s="79" t="s">
        <v>1009</v>
      </c>
      <c r="D1168" s="80">
        <v>700</v>
      </c>
    </row>
    <row r="1169" spans="1:7">
      <c r="A1169" s="435"/>
      <c r="B1169" s="435"/>
      <c r="C1169" s="79"/>
      <c r="D1169" s="80"/>
    </row>
    <row r="1170" spans="1:7">
      <c r="A1170" s="435"/>
      <c r="B1170" s="435"/>
      <c r="C1170" s="79"/>
      <c r="D1170" s="80"/>
    </row>
    <row r="1171" spans="1:7">
      <c r="A1171" s="436"/>
      <c r="B1171" s="436"/>
      <c r="C1171" s="79"/>
      <c r="D1171" s="80"/>
    </row>
    <row r="1172" spans="1:7" s="74" customFormat="1" ht="24" customHeight="1">
      <c r="A1172" s="437" t="s">
        <v>655</v>
      </c>
      <c r="B1172" s="437"/>
      <c r="C1172" s="437"/>
      <c r="D1172" s="81">
        <f>SUM(D1164:D1171)</f>
        <v>700</v>
      </c>
      <c r="E1172" s="82">
        <f>+'Tổng,SUMMARY'!$Q$13</f>
        <v>700</v>
      </c>
      <c r="F1172" s="83">
        <f>+E1172-D1172</f>
        <v>0</v>
      </c>
    </row>
    <row r="1173" spans="1:7">
      <c r="A1173" s="434" t="s">
        <v>1260</v>
      </c>
      <c r="B1173" s="434" t="s">
        <v>228</v>
      </c>
      <c r="C1173" s="79"/>
      <c r="D1173" s="80">
        <v>50</v>
      </c>
    </row>
    <row r="1174" spans="1:7">
      <c r="A1174" s="435"/>
      <c r="B1174" s="435"/>
      <c r="C1174" s="79" t="s">
        <v>1261</v>
      </c>
      <c r="D1174" s="80">
        <v>100</v>
      </c>
    </row>
    <row r="1175" spans="1:7">
      <c r="A1175" s="435"/>
      <c r="B1175" s="435"/>
      <c r="C1175" s="79" t="s">
        <v>1458</v>
      </c>
      <c r="D1175" s="80">
        <v>1050</v>
      </c>
    </row>
    <row r="1176" spans="1:7">
      <c r="A1176" s="435"/>
      <c r="B1176" s="435"/>
      <c r="C1176" s="79" t="s">
        <v>1481</v>
      </c>
      <c r="D1176" s="80">
        <v>150</v>
      </c>
    </row>
    <row r="1177" spans="1:7">
      <c r="A1177" s="435"/>
      <c r="B1177" s="435"/>
      <c r="C1177" s="79"/>
      <c r="D1177" s="80"/>
    </row>
    <row r="1178" spans="1:7">
      <c r="A1178" s="435"/>
      <c r="B1178" s="435"/>
      <c r="C1178" s="79"/>
      <c r="D1178" s="80"/>
    </row>
    <row r="1179" spans="1:7">
      <c r="A1179" s="435"/>
      <c r="B1179" s="435"/>
      <c r="C1179" s="79"/>
      <c r="D1179" s="80"/>
    </row>
    <row r="1180" spans="1:7">
      <c r="A1180" s="435"/>
      <c r="B1180" s="435"/>
      <c r="C1180" s="79"/>
      <c r="D1180" s="80"/>
    </row>
    <row r="1181" spans="1:7">
      <c r="A1181" s="436"/>
      <c r="B1181" s="436"/>
      <c r="C1181" s="79"/>
      <c r="D1181" s="80"/>
    </row>
    <row r="1182" spans="1:7" s="74" customFormat="1" ht="24" customHeight="1">
      <c r="A1182" s="437" t="s">
        <v>655</v>
      </c>
      <c r="B1182" s="437"/>
      <c r="C1182" s="437"/>
      <c r="D1182" s="81">
        <f>SUM(D1173:D1181)</f>
        <v>1350</v>
      </c>
      <c r="E1182" s="82">
        <f>+'Tổng,SUMMARY'!$Q$34</f>
        <v>2400</v>
      </c>
      <c r="F1182" s="83">
        <f>+E1182-D1182</f>
        <v>1050</v>
      </c>
      <c r="G1182" s="370" t="s">
        <v>1552</v>
      </c>
    </row>
    <row r="1183" spans="1:7">
      <c r="A1183" s="434" t="s">
        <v>227</v>
      </c>
      <c r="B1183" s="434" t="s">
        <v>228</v>
      </c>
      <c r="C1183" s="79" t="s">
        <v>1459</v>
      </c>
      <c r="D1183" s="80">
        <v>1050</v>
      </c>
    </row>
    <row r="1184" spans="1:7">
      <c r="A1184" s="435"/>
      <c r="B1184" s="435"/>
      <c r="C1184" s="79"/>
      <c r="D1184" s="80"/>
    </row>
    <row r="1185" spans="1:6">
      <c r="A1185" s="435"/>
      <c r="B1185" s="435"/>
      <c r="C1185" s="79" t="s">
        <v>1192</v>
      </c>
      <c r="D1185" s="80">
        <v>50</v>
      </c>
    </row>
    <row r="1186" spans="1:6">
      <c r="A1186" s="435"/>
      <c r="B1186" s="435"/>
      <c r="C1186" s="79"/>
      <c r="D1186" s="80"/>
    </row>
    <row r="1187" spans="1:6">
      <c r="A1187" s="435"/>
      <c r="B1187" s="435"/>
      <c r="C1187" s="79" t="s">
        <v>1272</v>
      </c>
      <c r="D1187" s="80">
        <v>1150</v>
      </c>
    </row>
    <row r="1188" spans="1:6">
      <c r="A1188" s="435"/>
      <c r="B1188" s="435"/>
      <c r="C1188" s="79" t="s">
        <v>1274</v>
      </c>
      <c r="D1188" s="80">
        <v>500</v>
      </c>
      <c r="E1188" s="76" t="s">
        <v>1273</v>
      </c>
    </row>
    <row r="1189" spans="1:6">
      <c r="A1189" s="435"/>
      <c r="B1189" s="435"/>
      <c r="C1189" s="79"/>
      <c r="D1189" s="80"/>
    </row>
    <row r="1190" spans="1:6">
      <c r="A1190" s="435"/>
      <c r="B1190" s="435"/>
      <c r="C1190" s="79"/>
      <c r="D1190" s="80"/>
    </row>
    <row r="1191" spans="1:6">
      <c r="A1191" s="435"/>
      <c r="B1191" s="435"/>
      <c r="C1191" s="79"/>
      <c r="D1191" s="80"/>
    </row>
    <row r="1192" spans="1:6">
      <c r="A1192" s="436"/>
      <c r="B1192" s="436"/>
      <c r="C1192" s="79"/>
      <c r="D1192" s="80"/>
    </row>
    <row r="1193" spans="1:6" s="74" customFormat="1" ht="24" customHeight="1">
      <c r="A1193" s="437" t="s">
        <v>655</v>
      </c>
      <c r="B1193" s="437"/>
      <c r="C1193" s="437"/>
      <c r="D1193" s="81">
        <f>SUM(D1183:D1192)</f>
        <v>2750</v>
      </c>
      <c r="E1193" s="82">
        <f>+'Tổng,SUMMARY'!$Q$33</f>
        <v>1700</v>
      </c>
      <c r="F1193" s="83">
        <f>+E1193-D1193</f>
        <v>-1050</v>
      </c>
    </row>
    <row r="1194" spans="1:6">
      <c r="A1194" s="434" t="s">
        <v>771</v>
      </c>
      <c r="B1194" s="434" t="s">
        <v>773</v>
      </c>
      <c r="C1194" s="79"/>
      <c r="D1194" s="80"/>
    </row>
    <row r="1195" spans="1:6">
      <c r="A1195" s="435"/>
      <c r="B1195" s="435"/>
      <c r="C1195" s="79" t="s">
        <v>918</v>
      </c>
      <c r="D1195" s="80">
        <v>200</v>
      </c>
    </row>
    <row r="1196" spans="1:6">
      <c r="A1196" s="435"/>
      <c r="B1196" s="435"/>
      <c r="C1196" s="79" t="s">
        <v>919</v>
      </c>
      <c r="D1196" s="80">
        <v>150</v>
      </c>
    </row>
    <row r="1197" spans="1:6">
      <c r="A1197" s="435"/>
      <c r="B1197" s="435"/>
      <c r="C1197" s="79" t="s">
        <v>1218</v>
      </c>
      <c r="D1197" s="80">
        <v>1200</v>
      </c>
    </row>
    <row r="1198" spans="1:6">
      <c r="A1198" s="435"/>
      <c r="B1198" s="435"/>
      <c r="C1198" s="79" t="s">
        <v>1219</v>
      </c>
      <c r="D1198" s="80">
        <v>850</v>
      </c>
    </row>
    <row r="1199" spans="1:6">
      <c r="A1199" s="435"/>
      <c r="B1199" s="435"/>
      <c r="C1199" s="79"/>
      <c r="D1199" s="80"/>
    </row>
    <row r="1200" spans="1:6">
      <c r="A1200" s="435"/>
      <c r="B1200" s="435"/>
      <c r="C1200" s="79"/>
      <c r="D1200" s="80"/>
    </row>
    <row r="1201" spans="1:6">
      <c r="A1201" s="435"/>
      <c r="B1201" s="435"/>
      <c r="C1201" s="79"/>
      <c r="D1201" s="80"/>
    </row>
    <row r="1202" spans="1:6">
      <c r="A1202" s="436"/>
      <c r="B1202" s="436"/>
      <c r="C1202" s="79"/>
      <c r="D1202" s="80"/>
    </row>
    <row r="1203" spans="1:6" ht="15.75">
      <c r="A1203" s="438" t="s">
        <v>655</v>
      </c>
      <c r="B1203" s="439"/>
      <c r="C1203" s="440"/>
      <c r="D1203" s="81">
        <f>SUM(D1194:D1202)</f>
        <v>2400</v>
      </c>
      <c r="E1203" s="82">
        <f>+'Tổng,SUMMARY'!$Q$58</f>
        <v>2400</v>
      </c>
      <c r="F1203" s="87">
        <f>+E1203-D1203</f>
        <v>0</v>
      </c>
    </row>
    <row r="1204" spans="1:6">
      <c r="A1204" s="434" t="s">
        <v>777</v>
      </c>
      <c r="B1204" s="434" t="s">
        <v>775</v>
      </c>
      <c r="C1204" s="79"/>
      <c r="D1204" s="80"/>
    </row>
    <row r="1205" spans="1:6">
      <c r="A1205" s="435"/>
      <c r="B1205" s="435"/>
      <c r="C1205" s="79" t="s">
        <v>778</v>
      </c>
      <c r="D1205" s="80">
        <v>400</v>
      </c>
    </row>
    <row r="1206" spans="1:6">
      <c r="A1206" s="435"/>
      <c r="B1206" s="435"/>
      <c r="C1206" s="79"/>
      <c r="D1206" s="80"/>
    </row>
    <row r="1207" spans="1:6">
      <c r="A1207" s="435"/>
      <c r="B1207" s="435"/>
      <c r="C1207" s="79"/>
      <c r="D1207" s="80"/>
    </row>
    <row r="1208" spans="1:6">
      <c r="A1208" s="435"/>
      <c r="B1208" s="435"/>
      <c r="C1208" s="79"/>
      <c r="D1208" s="80"/>
    </row>
    <row r="1209" spans="1:6">
      <c r="A1209" s="436"/>
      <c r="B1209" s="436"/>
      <c r="C1209" s="79"/>
      <c r="D1209" s="80"/>
    </row>
    <row r="1210" spans="1:6" s="74" customFormat="1" ht="24" customHeight="1">
      <c r="A1210" s="437"/>
      <c r="B1210" s="437"/>
      <c r="C1210" s="437"/>
      <c r="D1210" s="81">
        <f>SUM(D1204:D1209)</f>
        <v>400</v>
      </c>
      <c r="E1210" s="82">
        <f>+'Tổng,SUMMARY'!$Q$103</f>
        <v>400</v>
      </c>
    </row>
    <row r="1211" spans="1:6">
      <c r="A1211" s="434" t="s">
        <v>792</v>
      </c>
      <c r="B1211" s="434" t="s">
        <v>794</v>
      </c>
      <c r="C1211" s="79"/>
      <c r="D1211" s="80"/>
    </row>
    <row r="1212" spans="1:6">
      <c r="A1212" s="435"/>
      <c r="B1212" s="435"/>
      <c r="C1212" s="79"/>
      <c r="D1212" s="80"/>
    </row>
    <row r="1213" spans="1:6">
      <c r="A1213" s="435"/>
      <c r="B1213" s="435"/>
      <c r="C1213" s="79" t="s">
        <v>824</v>
      </c>
      <c r="D1213" s="80">
        <v>1200</v>
      </c>
    </row>
    <row r="1214" spans="1:6">
      <c r="A1214" s="435"/>
      <c r="B1214" s="435"/>
      <c r="C1214" s="79" t="s">
        <v>825</v>
      </c>
      <c r="D1214" s="80">
        <v>1200</v>
      </c>
    </row>
    <row r="1215" spans="1:6">
      <c r="A1215" s="435"/>
      <c r="B1215" s="435"/>
      <c r="C1215" s="79" t="s">
        <v>826</v>
      </c>
      <c r="D1215" s="80">
        <v>1200</v>
      </c>
    </row>
    <row r="1216" spans="1:6">
      <c r="A1216" s="435"/>
      <c r="B1216" s="435"/>
      <c r="C1216" s="79" t="s">
        <v>827</v>
      </c>
      <c r="D1216" s="80">
        <v>150</v>
      </c>
    </row>
    <row r="1217" spans="1:6">
      <c r="A1217" s="435"/>
      <c r="B1217" s="435"/>
      <c r="C1217" s="79"/>
      <c r="D1217" s="80"/>
    </row>
    <row r="1218" spans="1:6">
      <c r="A1218" s="435"/>
      <c r="B1218" s="435"/>
      <c r="C1218" s="79"/>
      <c r="D1218" s="80"/>
    </row>
    <row r="1219" spans="1:6">
      <c r="A1219" s="435"/>
      <c r="B1219" s="435"/>
      <c r="C1219" s="79"/>
      <c r="D1219" s="80"/>
    </row>
    <row r="1220" spans="1:6">
      <c r="A1220" s="435"/>
      <c r="B1220" s="435"/>
      <c r="C1220" s="79"/>
      <c r="D1220" s="80"/>
    </row>
    <row r="1221" spans="1:6">
      <c r="A1221" s="435"/>
      <c r="B1221" s="435"/>
      <c r="C1221" s="79"/>
      <c r="D1221" s="80"/>
    </row>
    <row r="1222" spans="1:6">
      <c r="A1222" s="436"/>
      <c r="B1222" s="436"/>
      <c r="C1222" s="79"/>
      <c r="D1222" s="80"/>
    </row>
    <row r="1223" spans="1:6" s="74" customFormat="1" ht="24" customHeight="1">
      <c r="A1223" s="437" t="s">
        <v>655</v>
      </c>
      <c r="B1223" s="437"/>
      <c r="C1223" s="437"/>
      <c r="D1223" s="81">
        <f>SUM(D1211:D1222)</f>
        <v>3750</v>
      </c>
      <c r="E1223" s="82">
        <f>+'Tổng,SUMMARY'!$Q$43</f>
        <v>3750</v>
      </c>
      <c r="F1223" s="83">
        <f>+E1223-D1223</f>
        <v>0</v>
      </c>
    </row>
    <row r="1224" spans="1:6">
      <c r="A1224" s="434" t="s">
        <v>800</v>
      </c>
      <c r="B1224" s="434" t="s">
        <v>801</v>
      </c>
      <c r="C1224" s="79"/>
      <c r="D1224" s="80"/>
    </row>
    <row r="1225" spans="1:6">
      <c r="A1225" s="435"/>
      <c r="B1225" s="435"/>
      <c r="C1225" s="84"/>
      <c r="D1225" s="80"/>
    </row>
    <row r="1226" spans="1:6">
      <c r="A1226" s="435"/>
      <c r="B1226" s="435"/>
      <c r="C1226" s="84" t="s">
        <v>1064</v>
      </c>
      <c r="D1226" s="80">
        <v>100</v>
      </c>
    </row>
    <row r="1227" spans="1:6">
      <c r="A1227" s="435"/>
      <c r="B1227" s="435"/>
      <c r="C1227" s="84" t="s">
        <v>1258</v>
      </c>
      <c r="D1227" s="80">
        <v>100</v>
      </c>
    </row>
    <row r="1228" spans="1:6">
      <c r="A1228" s="435"/>
      <c r="B1228" s="435"/>
      <c r="C1228" s="84" t="s">
        <v>1322</v>
      </c>
      <c r="D1228" s="80">
        <v>1200</v>
      </c>
    </row>
    <row r="1229" spans="1:6">
      <c r="A1229" s="435"/>
      <c r="B1229" s="435"/>
      <c r="C1229" s="84" t="s">
        <v>1344</v>
      </c>
      <c r="D1229" s="80">
        <v>1200</v>
      </c>
    </row>
    <row r="1230" spans="1:6">
      <c r="A1230" s="435"/>
      <c r="B1230" s="435"/>
      <c r="C1230" s="84" t="s">
        <v>1357</v>
      </c>
      <c r="D1230" s="80">
        <v>750</v>
      </c>
    </row>
    <row r="1231" spans="1:6">
      <c r="A1231" s="435"/>
      <c r="B1231" s="435"/>
      <c r="C1231" s="84" t="s">
        <v>1358</v>
      </c>
      <c r="D1231" s="80">
        <v>1200</v>
      </c>
    </row>
    <row r="1232" spans="1:6">
      <c r="A1232" s="435"/>
      <c r="B1232" s="435"/>
      <c r="C1232" s="84" t="s">
        <v>1388</v>
      </c>
      <c r="D1232" s="80">
        <v>1200</v>
      </c>
    </row>
    <row r="1233" spans="1:7">
      <c r="A1233" s="435"/>
      <c r="B1233" s="435"/>
      <c r="C1233" s="84" t="s">
        <v>1407</v>
      </c>
      <c r="D1233" s="80">
        <v>550</v>
      </c>
    </row>
    <row r="1234" spans="1:7">
      <c r="A1234" s="435"/>
      <c r="B1234" s="435"/>
      <c r="C1234" s="84" t="s">
        <v>1498</v>
      </c>
      <c r="D1234" s="80">
        <v>1200</v>
      </c>
    </row>
    <row r="1235" spans="1:7">
      <c r="A1235" s="435"/>
      <c r="B1235" s="435"/>
      <c r="C1235" s="84" t="s">
        <v>1499</v>
      </c>
      <c r="D1235" s="80">
        <v>750</v>
      </c>
    </row>
    <row r="1236" spans="1:7">
      <c r="A1236" s="435"/>
      <c r="B1236" s="435"/>
      <c r="C1236" s="84"/>
      <c r="D1236" s="80"/>
    </row>
    <row r="1237" spans="1:7">
      <c r="A1237" s="435"/>
      <c r="B1237" s="435"/>
      <c r="C1237" s="84"/>
      <c r="D1237" s="80"/>
    </row>
    <row r="1238" spans="1:7">
      <c r="A1238" s="435"/>
      <c r="B1238" s="435"/>
      <c r="C1238" s="84"/>
      <c r="D1238" s="80"/>
    </row>
    <row r="1239" spans="1:7">
      <c r="A1239" s="435"/>
      <c r="B1239" s="435"/>
      <c r="C1239" s="84"/>
      <c r="D1239" s="80"/>
    </row>
    <row r="1240" spans="1:7">
      <c r="A1240" s="435"/>
      <c r="B1240" s="435"/>
      <c r="C1240" s="84"/>
      <c r="D1240" s="80"/>
    </row>
    <row r="1241" spans="1:7">
      <c r="A1241" s="436"/>
      <c r="B1241" s="436"/>
      <c r="C1241" s="79"/>
      <c r="D1241" s="80"/>
    </row>
    <row r="1242" spans="1:7" s="74" customFormat="1" ht="24" customHeight="1">
      <c r="A1242" s="437" t="s">
        <v>655</v>
      </c>
      <c r="B1242" s="437"/>
      <c r="C1242" s="437"/>
      <c r="D1242" s="81">
        <f>SUM(D1224:D1241)</f>
        <v>8250</v>
      </c>
      <c r="E1242" s="82">
        <f>+'Tổng,SUMMARY'!$Q$193</f>
        <v>8250</v>
      </c>
      <c r="F1242" s="83">
        <f>+E1242-D1242</f>
        <v>0</v>
      </c>
      <c r="G1242" s="367"/>
    </row>
    <row r="1243" spans="1:7">
      <c r="A1243" s="434" t="s">
        <v>808</v>
      </c>
      <c r="B1243" s="434" t="s">
        <v>809</v>
      </c>
      <c r="C1243" s="79"/>
      <c r="D1243" s="80"/>
    </row>
    <row r="1244" spans="1:7">
      <c r="A1244" s="435"/>
      <c r="B1244" s="435"/>
      <c r="C1244" s="79" t="s">
        <v>810</v>
      </c>
      <c r="D1244" s="80"/>
    </row>
    <row r="1245" spans="1:7">
      <c r="A1245" s="435"/>
      <c r="B1245" s="435"/>
      <c r="C1245" s="79" t="s">
        <v>811</v>
      </c>
      <c r="D1245" s="80"/>
    </row>
    <row r="1246" spans="1:7">
      <c r="A1246" s="435"/>
      <c r="B1246" s="435"/>
      <c r="C1246" s="79" t="s">
        <v>812</v>
      </c>
      <c r="D1246" s="80"/>
    </row>
    <row r="1247" spans="1:7">
      <c r="A1247" s="435"/>
      <c r="B1247" s="435"/>
      <c r="C1247" s="79"/>
      <c r="D1247" s="80"/>
    </row>
    <row r="1248" spans="1:7">
      <c r="A1248" s="435"/>
      <c r="B1248" s="435"/>
      <c r="C1248" s="79"/>
      <c r="D1248" s="80"/>
    </row>
    <row r="1249" spans="1:6">
      <c r="A1249" s="435"/>
      <c r="B1249" s="435"/>
      <c r="C1249" s="79"/>
      <c r="D1249" s="80"/>
    </row>
    <row r="1250" spans="1:6">
      <c r="A1250" s="435"/>
      <c r="B1250" s="435"/>
      <c r="C1250" s="79"/>
      <c r="D1250" s="80"/>
    </row>
    <row r="1251" spans="1:6">
      <c r="A1251" s="435"/>
      <c r="B1251" s="435"/>
      <c r="C1251" s="79"/>
      <c r="D1251" s="80"/>
    </row>
    <row r="1252" spans="1:6">
      <c r="A1252" s="436"/>
      <c r="B1252" s="436"/>
      <c r="C1252" s="79"/>
      <c r="D1252" s="80"/>
      <c r="F1252" s="87"/>
    </row>
    <row r="1253" spans="1:6" ht="15.75">
      <c r="A1253" s="438" t="s">
        <v>655</v>
      </c>
      <c r="B1253" s="439"/>
      <c r="C1253" s="440"/>
      <c r="D1253" s="81">
        <f>SUM(D1243:D1252)</f>
        <v>0</v>
      </c>
      <c r="E1253" s="82">
        <f>+'Tổng,SUMMARY'!$Q$162</f>
        <v>0</v>
      </c>
      <c r="F1253" s="87">
        <f>+E1253-D1253</f>
        <v>0</v>
      </c>
    </row>
    <row r="1254" spans="1:6">
      <c r="A1254" s="434" t="s">
        <v>819</v>
      </c>
      <c r="B1254" s="434" t="s">
        <v>899</v>
      </c>
      <c r="C1254" s="79" t="s">
        <v>676</v>
      </c>
      <c r="D1254" s="80">
        <v>150</v>
      </c>
    </row>
    <row r="1255" spans="1:6">
      <c r="A1255" s="435"/>
      <c r="B1255" s="435"/>
      <c r="C1255" s="79" t="s">
        <v>823</v>
      </c>
      <c r="D1255" s="80">
        <v>1100</v>
      </c>
    </row>
    <row r="1256" spans="1:6">
      <c r="A1256" s="435"/>
      <c r="B1256" s="435"/>
      <c r="C1256" s="79"/>
      <c r="D1256" s="80"/>
    </row>
    <row r="1257" spans="1:6">
      <c r="A1257" s="435"/>
      <c r="B1257" s="435"/>
      <c r="C1257" s="79"/>
      <c r="D1257" s="80"/>
    </row>
    <row r="1258" spans="1:6">
      <c r="A1258" s="435"/>
      <c r="B1258" s="435"/>
      <c r="C1258" s="79"/>
      <c r="D1258" s="80"/>
    </row>
    <row r="1259" spans="1:6">
      <c r="A1259" s="435"/>
      <c r="B1259" s="435"/>
      <c r="C1259" s="79"/>
      <c r="D1259" s="80"/>
    </row>
    <row r="1260" spans="1:6">
      <c r="A1260" s="435"/>
      <c r="B1260" s="435"/>
      <c r="C1260" s="79"/>
      <c r="D1260" s="80"/>
    </row>
    <row r="1261" spans="1:6">
      <c r="A1261" s="435"/>
      <c r="B1261" s="435"/>
      <c r="C1261" s="79"/>
      <c r="D1261" s="80"/>
    </row>
    <row r="1262" spans="1:6">
      <c r="A1262" s="435"/>
      <c r="B1262" s="435"/>
      <c r="C1262" s="79"/>
      <c r="D1262" s="80"/>
    </row>
    <row r="1263" spans="1:6">
      <c r="A1263" s="436"/>
      <c r="B1263" s="436"/>
      <c r="C1263" s="79"/>
      <c r="D1263" s="80"/>
      <c r="F1263" s="87"/>
    </row>
    <row r="1264" spans="1:6" ht="15.75">
      <c r="A1264" s="438" t="s">
        <v>655</v>
      </c>
      <c r="B1264" s="439"/>
      <c r="C1264" s="440"/>
      <c r="D1264" s="81">
        <f>SUM(D1254:D1263)</f>
        <v>1250</v>
      </c>
      <c r="E1264" s="82">
        <f>+'Tổng,SUMMARY'!Q239</f>
        <v>1250</v>
      </c>
      <c r="F1264" s="87">
        <f>+E1264-D1264</f>
        <v>0</v>
      </c>
    </row>
    <row r="1265" spans="1:6">
      <c r="A1265" s="434" t="s">
        <v>898</v>
      </c>
      <c r="B1265" s="434" t="s">
        <v>897</v>
      </c>
      <c r="C1265" s="79"/>
      <c r="D1265" s="80"/>
    </row>
    <row r="1266" spans="1:6">
      <c r="A1266" s="435"/>
      <c r="B1266" s="435"/>
      <c r="C1266" s="79" t="s">
        <v>910</v>
      </c>
      <c r="D1266" s="80">
        <v>1050</v>
      </c>
    </row>
    <row r="1267" spans="1:6">
      <c r="A1267" s="435"/>
      <c r="B1267" s="435"/>
      <c r="C1267" s="79" t="s">
        <v>911</v>
      </c>
      <c r="D1267" s="80">
        <v>450</v>
      </c>
    </row>
    <row r="1268" spans="1:6">
      <c r="A1268" s="435"/>
      <c r="B1268" s="435"/>
      <c r="C1268" s="79"/>
      <c r="D1268" s="80"/>
    </row>
    <row r="1269" spans="1:6">
      <c r="A1269" s="435"/>
      <c r="B1269" s="435"/>
      <c r="C1269" s="79"/>
      <c r="D1269" s="80"/>
    </row>
    <row r="1270" spans="1:6">
      <c r="A1270" s="435"/>
      <c r="B1270" s="435"/>
      <c r="C1270" s="79"/>
      <c r="D1270" s="80"/>
    </row>
    <row r="1271" spans="1:6">
      <c r="A1271" s="436"/>
      <c r="B1271" s="436"/>
      <c r="C1271" s="79"/>
      <c r="D1271" s="80"/>
      <c r="F1271" s="87"/>
    </row>
    <row r="1272" spans="1:6" ht="15.75">
      <c r="A1272" s="438" t="s">
        <v>655</v>
      </c>
      <c r="B1272" s="439"/>
      <c r="C1272" s="440"/>
      <c r="D1272" s="81">
        <f>SUM(D1265:D1271)</f>
        <v>1500</v>
      </c>
      <c r="E1272" s="82">
        <f>+'Tổng,SUMMARY'!$Q$18</f>
        <v>1500</v>
      </c>
      <c r="F1272" s="87">
        <f>+E1272-D1272</f>
        <v>0</v>
      </c>
    </row>
    <row r="1273" spans="1:6">
      <c r="A1273" s="434" t="s">
        <v>902</v>
      </c>
      <c r="B1273" s="434" t="s">
        <v>901</v>
      </c>
      <c r="C1273" s="79"/>
      <c r="D1273" s="80">
        <v>1100</v>
      </c>
    </row>
    <row r="1274" spans="1:6">
      <c r="A1274" s="435"/>
      <c r="B1274" s="435"/>
      <c r="C1274" s="79" t="s">
        <v>1132</v>
      </c>
      <c r="D1274" s="80">
        <v>1200</v>
      </c>
    </row>
    <row r="1275" spans="1:6">
      <c r="A1275" s="435"/>
      <c r="B1275" s="435"/>
      <c r="C1275" s="79" t="s">
        <v>1133</v>
      </c>
      <c r="D1275" s="80">
        <v>1200</v>
      </c>
    </row>
    <row r="1276" spans="1:6">
      <c r="A1276" s="435"/>
      <c r="B1276" s="435"/>
      <c r="C1276" s="79" t="s">
        <v>1134</v>
      </c>
      <c r="D1276" s="80">
        <v>1200</v>
      </c>
    </row>
    <row r="1277" spans="1:6">
      <c r="A1277" s="435"/>
      <c r="B1277" s="435"/>
      <c r="C1277" s="79" t="s">
        <v>1495</v>
      </c>
      <c r="D1277" s="80">
        <v>1200</v>
      </c>
    </row>
    <row r="1278" spans="1:6">
      <c r="A1278" s="435"/>
      <c r="B1278" s="435"/>
      <c r="C1278" s="79" t="s">
        <v>1496</v>
      </c>
      <c r="D1278" s="80">
        <v>1200</v>
      </c>
    </row>
    <row r="1279" spans="1:6">
      <c r="A1279" s="435"/>
      <c r="B1279" s="435"/>
      <c r="C1279" s="79"/>
      <c r="D1279" s="80"/>
    </row>
    <row r="1280" spans="1:6">
      <c r="A1280" s="435"/>
      <c r="B1280" s="435"/>
      <c r="C1280" s="79"/>
      <c r="D1280" s="80"/>
    </row>
    <row r="1281" spans="1:6">
      <c r="A1281" s="435"/>
      <c r="B1281" s="435"/>
      <c r="C1281" s="79"/>
      <c r="D1281" s="80"/>
    </row>
    <row r="1282" spans="1:6">
      <c r="A1282" s="435"/>
      <c r="B1282" s="435"/>
      <c r="C1282" s="79"/>
      <c r="D1282" s="80"/>
    </row>
    <row r="1283" spans="1:6">
      <c r="A1283" s="435"/>
      <c r="B1283" s="435"/>
      <c r="C1283" s="79"/>
      <c r="D1283" s="80"/>
    </row>
    <row r="1284" spans="1:6">
      <c r="A1284" s="435"/>
      <c r="B1284" s="435"/>
      <c r="C1284" s="79"/>
      <c r="D1284" s="80"/>
    </row>
    <row r="1285" spans="1:6">
      <c r="A1285" s="435"/>
      <c r="B1285" s="435"/>
      <c r="C1285" s="79"/>
      <c r="D1285" s="80"/>
    </row>
    <row r="1286" spans="1:6">
      <c r="A1286" s="435"/>
      <c r="B1286" s="435"/>
      <c r="C1286" s="79"/>
      <c r="D1286" s="80"/>
    </row>
    <row r="1287" spans="1:6">
      <c r="A1287" s="435"/>
      <c r="B1287" s="435"/>
      <c r="C1287" s="79"/>
      <c r="D1287" s="80"/>
      <c r="F1287" s="8" t="s">
        <v>1197</v>
      </c>
    </row>
    <row r="1288" spans="1:6">
      <c r="A1288" s="435"/>
      <c r="B1288" s="435"/>
      <c r="C1288" s="79"/>
      <c r="D1288" s="80"/>
    </row>
    <row r="1289" spans="1:6">
      <c r="A1289" s="435"/>
      <c r="B1289" s="435"/>
      <c r="C1289" s="79"/>
      <c r="D1289" s="80"/>
    </row>
    <row r="1290" spans="1:6">
      <c r="A1290" s="435"/>
      <c r="B1290" s="435"/>
      <c r="C1290" s="79"/>
      <c r="D1290" s="80"/>
    </row>
    <row r="1291" spans="1:6">
      <c r="A1291" s="435"/>
      <c r="B1291" s="435"/>
      <c r="C1291" s="79"/>
      <c r="D1291" s="80"/>
    </row>
    <row r="1292" spans="1:6">
      <c r="A1292" s="436"/>
      <c r="B1292" s="436"/>
      <c r="C1292" s="79"/>
      <c r="D1292" s="80"/>
      <c r="F1292" s="87"/>
    </row>
    <row r="1293" spans="1:6" ht="15.75">
      <c r="A1293" s="438" t="s">
        <v>655</v>
      </c>
      <c r="B1293" s="439"/>
      <c r="C1293" s="440"/>
      <c r="D1293" s="81">
        <f>SUM(D1273:D1292)</f>
        <v>7100</v>
      </c>
      <c r="E1293" s="82">
        <f>+'Tổng,SUMMARY'!Q175</f>
        <v>7100</v>
      </c>
      <c r="F1293" s="87">
        <f>+E1293-D1293</f>
        <v>0</v>
      </c>
    </row>
    <row r="1294" spans="1:6">
      <c r="A1294" s="434" t="s">
        <v>913</v>
      </c>
      <c r="B1294" s="434" t="s">
        <v>916</v>
      </c>
      <c r="C1294" s="79" t="s">
        <v>917</v>
      </c>
      <c r="D1294" s="80">
        <v>100</v>
      </c>
    </row>
    <row r="1295" spans="1:6">
      <c r="A1295" s="435"/>
      <c r="B1295" s="435"/>
      <c r="C1295" s="79"/>
      <c r="D1295" s="80"/>
    </row>
    <row r="1296" spans="1:6">
      <c r="A1296" s="435"/>
      <c r="B1296" s="435"/>
      <c r="C1296" s="79"/>
      <c r="D1296" s="80"/>
    </row>
    <row r="1297" spans="1:5">
      <c r="A1297" s="435"/>
      <c r="B1297" s="435"/>
      <c r="C1297" s="79"/>
      <c r="D1297" s="80"/>
    </row>
    <row r="1298" spans="1:5">
      <c r="A1298" s="435"/>
      <c r="B1298" s="435"/>
      <c r="C1298" s="79"/>
      <c r="D1298" s="80"/>
    </row>
    <row r="1299" spans="1:5">
      <c r="A1299" s="435"/>
      <c r="B1299" s="435"/>
      <c r="C1299" s="79"/>
      <c r="D1299" s="80"/>
    </row>
    <row r="1300" spans="1:5">
      <c r="A1300" s="435"/>
      <c r="B1300" s="435"/>
      <c r="C1300" s="79"/>
      <c r="D1300" s="80"/>
    </row>
    <row r="1301" spans="1:5">
      <c r="A1301" s="435"/>
      <c r="B1301" s="435"/>
      <c r="C1301" s="79"/>
      <c r="D1301" s="80"/>
    </row>
    <row r="1302" spans="1:5">
      <c r="A1302" s="436"/>
      <c r="B1302" s="436"/>
      <c r="C1302" s="79"/>
      <c r="D1302" s="80"/>
    </row>
    <row r="1303" spans="1:5" ht="15.75">
      <c r="A1303" s="438" t="s">
        <v>655</v>
      </c>
      <c r="B1303" s="439"/>
      <c r="C1303" s="440"/>
      <c r="D1303" s="81">
        <f>SUM(D1294:D1302)</f>
        <v>100</v>
      </c>
      <c r="E1303" s="82">
        <f>+'Tổng,SUMMARY'!$Q$240</f>
        <v>100</v>
      </c>
    </row>
    <row r="1304" spans="1:5">
      <c r="A1304" s="434" t="s">
        <v>925</v>
      </c>
      <c r="B1304" s="434" t="s">
        <v>927</v>
      </c>
      <c r="C1304" s="79" t="s">
        <v>928</v>
      </c>
      <c r="D1304" s="80">
        <v>2900</v>
      </c>
    </row>
    <row r="1305" spans="1:5">
      <c r="A1305" s="435"/>
      <c r="B1305" s="435"/>
      <c r="C1305" s="79" t="s">
        <v>929</v>
      </c>
      <c r="D1305" s="80">
        <v>1200</v>
      </c>
    </row>
    <row r="1306" spans="1:5">
      <c r="A1306" s="435"/>
      <c r="B1306" s="435"/>
      <c r="C1306" s="79" t="s">
        <v>930</v>
      </c>
      <c r="D1306" s="80">
        <v>1200</v>
      </c>
    </row>
    <row r="1307" spans="1:5">
      <c r="A1307" s="435"/>
      <c r="B1307" s="435"/>
      <c r="C1307" s="79" t="s">
        <v>931</v>
      </c>
      <c r="D1307" s="80">
        <v>1200</v>
      </c>
    </row>
    <row r="1308" spans="1:5">
      <c r="A1308" s="435"/>
      <c r="B1308" s="435"/>
      <c r="C1308" s="79" t="s">
        <v>954</v>
      </c>
      <c r="D1308" s="80">
        <v>900</v>
      </c>
    </row>
    <row r="1309" spans="1:5">
      <c r="A1309" s="435"/>
      <c r="B1309" s="435"/>
      <c r="C1309" s="79" t="s">
        <v>959</v>
      </c>
      <c r="D1309" s="80">
        <v>1200</v>
      </c>
    </row>
    <row r="1310" spans="1:5">
      <c r="A1310" s="435"/>
      <c r="B1310" s="435"/>
      <c r="C1310" s="79" t="s">
        <v>963</v>
      </c>
      <c r="D1310" s="80">
        <v>1200</v>
      </c>
    </row>
    <row r="1311" spans="1:5">
      <c r="A1311" s="435"/>
      <c r="B1311" s="435"/>
      <c r="C1311" s="79" t="s">
        <v>973</v>
      </c>
      <c r="D1311" s="80">
        <v>1200</v>
      </c>
    </row>
    <row r="1312" spans="1:5">
      <c r="A1312" s="435"/>
      <c r="B1312" s="435"/>
      <c r="C1312" s="79" t="s">
        <v>983</v>
      </c>
      <c r="D1312" s="80">
        <v>1150</v>
      </c>
    </row>
    <row r="1313" spans="1:5">
      <c r="A1313" s="435"/>
      <c r="B1313" s="435"/>
      <c r="C1313" s="79" t="s">
        <v>986</v>
      </c>
      <c r="D1313" s="80">
        <v>400</v>
      </c>
    </row>
    <row r="1314" spans="1:5">
      <c r="A1314" s="435"/>
      <c r="B1314" s="435"/>
      <c r="C1314" s="79"/>
      <c r="D1314" s="80"/>
    </row>
    <row r="1315" spans="1:5">
      <c r="A1315" s="435"/>
      <c r="B1315" s="435"/>
      <c r="C1315" s="79"/>
      <c r="D1315" s="80"/>
    </row>
    <row r="1316" spans="1:5">
      <c r="A1316" s="435"/>
      <c r="B1316" s="435"/>
      <c r="C1316" s="79"/>
      <c r="D1316" s="80"/>
    </row>
    <row r="1317" spans="1:5">
      <c r="A1317" s="436"/>
      <c r="B1317" s="436"/>
      <c r="C1317" s="79"/>
      <c r="D1317" s="80"/>
    </row>
    <row r="1318" spans="1:5" s="74" customFormat="1" ht="24" customHeight="1">
      <c r="A1318" s="438" t="s">
        <v>655</v>
      </c>
      <c r="B1318" s="439"/>
      <c r="C1318" s="440"/>
      <c r="D1318" s="81">
        <f>SUM(D1304:D1317)</f>
        <v>12550</v>
      </c>
      <c r="E1318" s="82">
        <f>+'Tổng,SUMMARY'!$Q$41</f>
        <v>4550</v>
      </c>
    </row>
    <row r="1319" spans="1:5">
      <c r="A1319" s="434" t="s">
        <v>946</v>
      </c>
      <c r="B1319" s="434" t="s">
        <v>945</v>
      </c>
      <c r="C1319" s="79" t="s">
        <v>947</v>
      </c>
      <c r="D1319" s="80">
        <v>1200</v>
      </c>
    </row>
    <row r="1320" spans="1:5">
      <c r="A1320" s="435"/>
      <c r="B1320" s="435"/>
      <c r="C1320" s="79" t="s">
        <v>948</v>
      </c>
      <c r="D1320" s="80">
        <v>1200</v>
      </c>
    </row>
    <row r="1321" spans="1:5">
      <c r="A1321" s="435"/>
      <c r="B1321" s="435"/>
      <c r="C1321" s="79" t="s">
        <v>949</v>
      </c>
      <c r="D1321" s="80">
        <v>1200</v>
      </c>
    </row>
    <row r="1322" spans="1:5">
      <c r="A1322" s="435"/>
      <c r="B1322" s="435"/>
      <c r="C1322" s="79" t="s">
        <v>970</v>
      </c>
      <c r="D1322" s="80">
        <v>1200</v>
      </c>
    </row>
    <row r="1323" spans="1:5">
      <c r="A1323" s="435"/>
      <c r="B1323" s="435"/>
      <c r="C1323" s="79" t="s">
        <v>971</v>
      </c>
      <c r="D1323" s="80">
        <v>1200</v>
      </c>
    </row>
    <row r="1324" spans="1:5">
      <c r="A1324" s="435"/>
      <c r="B1324" s="435"/>
      <c r="C1324" s="79" t="s">
        <v>972</v>
      </c>
      <c r="D1324" s="80">
        <v>1200</v>
      </c>
    </row>
    <row r="1325" spans="1:5">
      <c r="A1325" s="435"/>
      <c r="B1325" s="435"/>
      <c r="C1325" s="79" t="s">
        <v>984</v>
      </c>
      <c r="D1325" s="80">
        <v>1200</v>
      </c>
    </row>
    <row r="1326" spans="1:5">
      <c r="A1326" s="435"/>
      <c r="B1326" s="435"/>
      <c r="C1326" s="79" t="s">
        <v>985</v>
      </c>
      <c r="D1326" s="80">
        <v>1200</v>
      </c>
    </row>
    <row r="1327" spans="1:5">
      <c r="A1327" s="435"/>
      <c r="B1327" s="435"/>
      <c r="C1327" s="79" t="s">
        <v>985</v>
      </c>
      <c r="D1327" s="80">
        <v>450</v>
      </c>
    </row>
    <row r="1328" spans="1:5">
      <c r="A1328" s="435"/>
      <c r="B1328" s="435"/>
      <c r="C1328" s="79"/>
      <c r="D1328" s="80"/>
    </row>
    <row r="1329" spans="1:5">
      <c r="A1329" s="435"/>
      <c r="B1329" s="435"/>
      <c r="C1329" s="79"/>
      <c r="D1329" s="80"/>
    </row>
    <row r="1330" spans="1:5">
      <c r="A1330" s="436"/>
      <c r="B1330" s="436"/>
      <c r="C1330" s="79"/>
      <c r="D1330" s="80"/>
    </row>
    <row r="1331" spans="1:5" s="74" customFormat="1" ht="24" customHeight="1">
      <c r="A1331" s="438" t="s">
        <v>655</v>
      </c>
      <c r="B1331" s="439"/>
      <c r="C1331" s="440"/>
      <c r="D1331" s="81">
        <f>SUM(D1319:D1330)</f>
        <v>10050</v>
      </c>
      <c r="E1331" s="82">
        <f>+'Tổng,SUMMARY'!$Q$166</f>
        <v>50</v>
      </c>
    </row>
    <row r="1332" spans="1:5">
      <c r="A1332" s="434" t="s">
        <v>951</v>
      </c>
      <c r="B1332" s="434" t="s">
        <v>950</v>
      </c>
      <c r="C1332" s="79" t="s">
        <v>813</v>
      </c>
      <c r="D1332" s="80">
        <v>750</v>
      </c>
    </row>
    <row r="1333" spans="1:5">
      <c r="A1333" s="435"/>
      <c r="B1333" s="435"/>
      <c r="C1333" s="79"/>
      <c r="D1333" s="80"/>
    </row>
    <row r="1334" spans="1:5">
      <c r="A1334" s="435"/>
      <c r="B1334" s="435"/>
      <c r="C1334" s="79"/>
      <c r="D1334" s="80"/>
    </row>
    <row r="1335" spans="1:5">
      <c r="A1335" s="435"/>
      <c r="B1335" s="435"/>
      <c r="C1335" s="79" t="s">
        <v>1383</v>
      </c>
      <c r="D1335" s="80">
        <v>1200</v>
      </c>
    </row>
    <row r="1336" spans="1:5">
      <c r="A1336" s="435"/>
      <c r="B1336" s="435"/>
      <c r="C1336" s="79" t="s">
        <v>1384</v>
      </c>
      <c r="D1336" s="80">
        <v>1200</v>
      </c>
    </row>
    <row r="1337" spans="1:5">
      <c r="A1337" s="435"/>
      <c r="B1337" s="435"/>
      <c r="C1337" s="79" t="s">
        <v>1385</v>
      </c>
      <c r="D1337" s="80">
        <v>1200</v>
      </c>
    </row>
    <row r="1338" spans="1:5">
      <c r="A1338" s="435"/>
      <c r="B1338" s="435"/>
      <c r="C1338" s="79" t="s">
        <v>1384</v>
      </c>
      <c r="D1338" s="80">
        <v>1200</v>
      </c>
    </row>
    <row r="1339" spans="1:5">
      <c r="A1339" s="435"/>
      <c r="B1339" s="435"/>
      <c r="C1339" s="79" t="s">
        <v>1383</v>
      </c>
      <c r="D1339" s="80">
        <v>1200</v>
      </c>
    </row>
    <row r="1340" spans="1:5">
      <c r="A1340" s="435"/>
      <c r="B1340" s="435"/>
      <c r="C1340" s="79" t="s">
        <v>1513</v>
      </c>
      <c r="D1340" s="80">
        <v>1200</v>
      </c>
    </row>
    <row r="1341" spans="1:5">
      <c r="A1341" s="435"/>
      <c r="B1341" s="435"/>
      <c r="C1341" s="79"/>
      <c r="D1341" s="80"/>
    </row>
    <row r="1342" spans="1:5">
      <c r="A1342" s="435"/>
      <c r="B1342" s="435"/>
      <c r="C1342" s="79"/>
      <c r="D1342" s="80"/>
    </row>
    <row r="1343" spans="1:5">
      <c r="A1343" s="435"/>
      <c r="B1343" s="435"/>
      <c r="C1343" s="79"/>
      <c r="D1343" s="80"/>
    </row>
    <row r="1344" spans="1:5">
      <c r="A1344" s="435"/>
      <c r="B1344" s="435"/>
      <c r="C1344" s="79"/>
      <c r="D1344" s="80"/>
    </row>
    <row r="1345" spans="1:6">
      <c r="A1345" s="435"/>
      <c r="B1345" s="435"/>
      <c r="C1345" s="79"/>
      <c r="D1345" s="80"/>
    </row>
    <row r="1346" spans="1:6">
      <c r="A1346" s="435"/>
      <c r="B1346" s="435"/>
      <c r="C1346" s="79"/>
      <c r="D1346" s="80"/>
    </row>
    <row r="1347" spans="1:6">
      <c r="A1347" s="436"/>
      <c r="B1347" s="436"/>
      <c r="C1347" s="79"/>
      <c r="D1347" s="80"/>
    </row>
    <row r="1348" spans="1:6" s="74" customFormat="1" ht="24" customHeight="1">
      <c r="A1348" s="438" t="s">
        <v>655</v>
      </c>
      <c r="B1348" s="439"/>
      <c r="C1348" s="440"/>
      <c r="D1348" s="81">
        <f>SUM(D1332:D1347)</f>
        <v>7950</v>
      </c>
      <c r="E1348" s="82">
        <f>+'Tổng,SUMMARY'!$Q$241</f>
        <v>7950</v>
      </c>
      <c r="F1348" s="83"/>
    </row>
    <row r="1349" spans="1:6">
      <c r="A1349" s="434" t="s">
        <v>957</v>
      </c>
      <c r="B1349" s="434" t="s">
        <v>956</v>
      </c>
      <c r="C1349" s="79"/>
      <c r="D1349" s="80">
        <v>150</v>
      </c>
    </row>
    <row r="1350" spans="1:6">
      <c r="A1350" s="435"/>
      <c r="B1350" s="435"/>
      <c r="C1350" s="79"/>
      <c r="D1350" s="80"/>
    </row>
    <row r="1351" spans="1:6">
      <c r="A1351" s="435"/>
      <c r="B1351" s="435"/>
      <c r="C1351" s="79"/>
      <c r="D1351" s="80"/>
    </row>
    <row r="1352" spans="1:6">
      <c r="A1352" s="435"/>
      <c r="B1352" s="435"/>
      <c r="C1352" s="79"/>
      <c r="D1352" s="80"/>
    </row>
    <row r="1353" spans="1:6">
      <c r="A1353" s="435"/>
      <c r="B1353" s="435"/>
      <c r="C1353" s="79"/>
      <c r="D1353" s="80"/>
    </row>
    <row r="1354" spans="1:6">
      <c r="A1354" s="435"/>
      <c r="B1354" s="435"/>
      <c r="C1354" s="79"/>
      <c r="D1354" s="80"/>
    </row>
    <row r="1355" spans="1:6">
      <c r="A1355" s="435"/>
      <c r="B1355" s="435"/>
      <c r="C1355" s="79"/>
      <c r="D1355" s="80"/>
    </row>
    <row r="1356" spans="1:6">
      <c r="A1356" s="435"/>
      <c r="B1356" s="435"/>
      <c r="C1356" s="79"/>
      <c r="D1356" s="80"/>
    </row>
    <row r="1357" spans="1:6">
      <c r="A1357" s="435"/>
      <c r="B1357" s="435"/>
      <c r="C1357" s="79"/>
      <c r="D1357" s="80"/>
    </row>
    <row r="1358" spans="1:6">
      <c r="A1358" s="435"/>
      <c r="B1358" s="435"/>
      <c r="C1358" s="79"/>
      <c r="D1358" s="80"/>
    </row>
    <row r="1359" spans="1:6">
      <c r="A1359" s="435"/>
      <c r="B1359" s="435"/>
      <c r="C1359" s="79"/>
      <c r="D1359" s="80"/>
    </row>
    <row r="1360" spans="1:6">
      <c r="A1360" s="435"/>
      <c r="B1360" s="435"/>
      <c r="C1360" s="79"/>
      <c r="D1360" s="80"/>
    </row>
    <row r="1361" spans="1:5">
      <c r="A1361" s="435"/>
      <c r="B1361" s="435"/>
      <c r="C1361" s="79"/>
      <c r="D1361" s="80"/>
    </row>
    <row r="1362" spans="1:5">
      <c r="A1362" s="435"/>
      <c r="B1362" s="435"/>
      <c r="C1362" s="79"/>
      <c r="D1362" s="80"/>
    </row>
    <row r="1363" spans="1:5">
      <c r="A1363" s="435"/>
      <c r="B1363" s="435"/>
      <c r="C1363" s="79"/>
      <c r="D1363" s="80"/>
    </row>
    <row r="1364" spans="1:5">
      <c r="A1364" s="436"/>
      <c r="B1364" s="436"/>
      <c r="C1364" s="79"/>
      <c r="D1364" s="80"/>
    </row>
    <row r="1365" spans="1:5" s="74" customFormat="1" ht="24" customHeight="1">
      <c r="A1365" s="438" t="s">
        <v>655</v>
      </c>
      <c r="B1365" s="439"/>
      <c r="C1365" s="440"/>
      <c r="D1365" s="81">
        <f>SUM(D1349:D1364)</f>
        <v>150</v>
      </c>
      <c r="E1365" s="82">
        <f>+'Tổng,SUMMARY'!$Q$157</f>
        <v>150</v>
      </c>
    </row>
    <row r="1366" spans="1:5">
      <c r="A1366" s="434" t="s">
        <v>961</v>
      </c>
      <c r="B1366" s="434" t="s">
        <v>960</v>
      </c>
      <c r="C1366" s="79" t="s">
        <v>656</v>
      </c>
      <c r="D1366" s="80">
        <v>1200</v>
      </c>
    </row>
    <row r="1367" spans="1:5">
      <c r="A1367" s="435"/>
      <c r="B1367" s="435"/>
      <c r="C1367" s="79" t="s">
        <v>962</v>
      </c>
      <c r="D1367" s="80">
        <v>400</v>
      </c>
    </row>
    <row r="1368" spans="1:5">
      <c r="A1368" s="435"/>
      <c r="B1368" s="435"/>
      <c r="C1368" s="79" t="s">
        <v>1007</v>
      </c>
      <c r="D1368" s="80">
        <v>1200</v>
      </c>
    </row>
    <row r="1369" spans="1:5">
      <c r="A1369" s="435"/>
      <c r="B1369" s="435"/>
      <c r="C1369" s="79" t="s">
        <v>1008</v>
      </c>
      <c r="D1369" s="80">
        <v>600</v>
      </c>
    </row>
    <row r="1370" spans="1:5">
      <c r="A1370" s="435"/>
      <c r="B1370" s="435"/>
      <c r="C1370" s="79"/>
      <c r="D1370" s="80"/>
    </row>
    <row r="1371" spans="1:5">
      <c r="A1371" s="435"/>
      <c r="B1371" s="435"/>
      <c r="C1371" s="79"/>
      <c r="D1371" s="80"/>
    </row>
    <row r="1372" spans="1:5">
      <c r="A1372" s="436"/>
      <c r="B1372" s="436"/>
      <c r="C1372" s="79"/>
      <c r="D1372" s="80"/>
    </row>
    <row r="1373" spans="1:5" s="74" customFormat="1" ht="24" customHeight="1">
      <c r="A1373" s="441" t="s">
        <v>655</v>
      </c>
      <c r="B1373" s="441"/>
      <c r="C1373" s="441"/>
      <c r="D1373" s="81">
        <f>SUM(D1366:D1372)</f>
        <v>3400</v>
      </c>
      <c r="E1373" s="82">
        <f>+'Tổng,SUMMARY'!$Q$123</f>
        <v>3400</v>
      </c>
    </row>
    <row r="1374" spans="1:5">
      <c r="A1374" s="434" t="s">
        <v>996</v>
      </c>
      <c r="B1374" s="434" t="s">
        <v>997</v>
      </c>
      <c r="C1374" s="79" t="s">
        <v>656</v>
      </c>
      <c r="D1374" s="80">
        <v>200</v>
      </c>
    </row>
    <row r="1375" spans="1:5">
      <c r="A1375" s="435"/>
      <c r="B1375" s="435"/>
      <c r="C1375" s="79" t="s">
        <v>1001</v>
      </c>
      <c r="D1375" s="80">
        <v>700</v>
      </c>
    </row>
    <row r="1376" spans="1:5">
      <c r="A1376" s="435"/>
      <c r="B1376" s="435"/>
      <c r="C1376" s="79"/>
      <c r="D1376" s="80"/>
    </row>
    <row r="1377" spans="1:5">
      <c r="A1377" s="435"/>
      <c r="B1377" s="435"/>
      <c r="C1377" s="79"/>
      <c r="D1377" s="80"/>
    </row>
    <row r="1378" spans="1:5">
      <c r="A1378" s="435"/>
      <c r="B1378" s="435"/>
      <c r="C1378" s="79"/>
      <c r="D1378" s="80"/>
    </row>
    <row r="1379" spans="1:5">
      <c r="A1379" s="435"/>
      <c r="B1379" s="435"/>
      <c r="C1379" s="79"/>
      <c r="D1379" s="80"/>
    </row>
    <row r="1380" spans="1:5">
      <c r="A1380" s="436"/>
      <c r="B1380" s="436"/>
      <c r="C1380" s="79"/>
      <c r="D1380" s="80"/>
    </row>
    <row r="1381" spans="1:5" s="74" customFormat="1" ht="24" customHeight="1">
      <c r="A1381" s="441" t="s">
        <v>655</v>
      </c>
      <c r="B1381" s="441"/>
      <c r="C1381" s="441"/>
      <c r="D1381" s="81">
        <f>SUM(D1374:D1380)</f>
        <v>900</v>
      </c>
      <c r="E1381" s="82">
        <f>+'Tổng,SUMMARY'!$Q$213</f>
        <v>50</v>
      </c>
    </row>
    <row r="1382" spans="1:5">
      <c r="A1382" s="434" t="s">
        <v>1234</v>
      </c>
      <c r="B1382" s="434" t="s">
        <v>1124</v>
      </c>
      <c r="C1382" s="79"/>
      <c r="D1382" s="80"/>
    </row>
    <row r="1383" spans="1:5">
      <c r="A1383" s="435"/>
      <c r="B1383" s="435"/>
      <c r="C1383" s="79" t="s">
        <v>1125</v>
      </c>
      <c r="D1383" s="80">
        <f>780-720</f>
        <v>60</v>
      </c>
    </row>
    <row r="1384" spans="1:5">
      <c r="A1384" s="435"/>
      <c r="B1384" s="435"/>
      <c r="C1384" s="79"/>
      <c r="D1384" s="80"/>
    </row>
    <row r="1385" spans="1:5">
      <c r="A1385" s="435"/>
      <c r="B1385" s="435"/>
      <c r="C1385" s="79" t="s">
        <v>1126</v>
      </c>
      <c r="D1385" s="80">
        <v>750</v>
      </c>
    </row>
    <row r="1386" spans="1:5">
      <c r="A1386" s="435"/>
      <c r="B1386" s="435"/>
      <c r="C1386" s="79" t="s">
        <v>1162</v>
      </c>
      <c r="D1386" s="80">
        <v>780</v>
      </c>
    </row>
    <row r="1387" spans="1:5">
      <c r="A1387" s="435"/>
      <c r="B1387" s="435"/>
      <c r="C1387" s="79"/>
      <c r="D1387" s="80"/>
    </row>
    <row r="1388" spans="1:5">
      <c r="A1388" s="435"/>
      <c r="B1388" s="435"/>
      <c r="C1388" s="79" t="s">
        <v>1190</v>
      </c>
      <c r="D1388" s="80">
        <v>180</v>
      </c>
    </row>
    <row r="1389" spans="1:5">
      <c r="A1389" s="435"/>
      <c r="B1389" s="435"/>
      <c r="C1389" s="79" t="s">
        <v>1163</v>
      </c>
      <c r="D1389" s="80">
        <v>570</v>
      </c>
    </row>
    <row r="1390" spans="1:5">
      <c r="A1390" s="435"/>
      <c r="B1390" s="435"/>
      <c r="C1390" s="79" t="s">
        <v>1321</v>
      </c>
      <c r="D1390" s="80">
        <v>120</v>
      </c>
    </row>
    <row r="1391" spans="1:5">
      <c r="A1391" s="435"/>
      <c r="B1391" s="435"/>
      <c r="C1391" s="79"/>
      <c r="D1391" s="80"/>
    </row>
    <row r="1392" spans="1:5">
      <c r="A1392" s="435"/>
      <c r="B1392" s="435"/>
      <c r="C1392" s="79"/>
      <c r="D1392" s="80"/>
    </row>
    <row r="1393" spans="1:6">
      <c r="A1393" s="435"/>
      <c r="B1393" s="435"/>
      <c r="C1393" s="79"/>
      <c r="D1393" s="80"/>
    </row>
    <row r="1394" spans="1:6">
      <c r="A1394" s="436"/>
      <c r="B1394" s="436"/>
      <c r="C1394" s="79"/>
      <c r="D1394" s="80"/>
    </row>
    <row r="1395" spans="1:6" s="74" customFormat="1" ht="24" customHeight="1">
      <c r="A1395" s="441" t="s">
        <v>655</v>
      </c>
      <c r="B1395" s="441"/>
      <c r="C1395" s="441"/>
      <c r="D1395" s="81">
        <f>SUM(D1382:D1394)</f>
        <v>2460</v>
      </c>
      <c r="E1395" s="82">
        <f>+'Tổng,SUMMARY'!$Q$258</f>
        <v>2460</v>
      </c>
      <c r="F1395" s="83">
        <f>+E1395-D1395</f>
        <v>0</v>
      </c>
    </row>
    <row r="1396" spans="1:6">
      <c r="A1396" s="434" t="s">
        <v>1180</v>
      </c>
      <c r="B1396" s="434" t="s">
        <v>1183</v>
      </c>
      <c r="C1396" s="79"/>
      <c r="D1396" s="80"/>
    </row>
    <row r="1397" spans="1:6">
      <c r="A1397" s="435"/>
      <c r="B1397" s="435"/>
      <c r="C1397" s="79" t="s">
        <v>1185</v>
      </c>
      <c r="D1397" s="80">
        <v>200</v>
      </c>
    </row>
    <row r="1398" spans="1:6">
      <c r="A1398" s="435"/>
      <c r="B1398" s="435"/>
      <c r="C1398" s="79" t="s">
        <v>1204</v>
      </c>
      <c r="D1398" s="80">
        <v>100</v>
      </c>
    </row>
    <row r="1399" spans="1:6">
      <c r="A1399" s="435"/>
      <c r="B1399" s="435"/>
      <c r="C1399" s="79" t="s">
        <v>1487</v>
      </c>
      <c r="D1399" s="80">
        <v>750</v>
      </c>
    </row>
    <row r="1400" spans="1:6">
      <c r="A1400" s="435"/>
      <c r="B1400" s="435"/>
      <c r="C1400" s="79" t="s">
        <v>1347</v>
      </c>
      <c r="D1400" s="80">
        <v>1200</v>
      </c>
    </row>
    <row r="1401" spans="1:6">
      <c r="A1401" s="435"/>
      <c r="B1401" s="435"/>
      <c r="C1401" s="79" t="s">
        <v>1348</v>
      </c>
      <c r="D1401" s="80">
        <v>200</v>
      </c>
    </row>
    <row r="1402" spans="1:6">
      <c r="A1402" s="435"/>
      <c r="B1402" s="435"/>
      <c r="C1402" s="79" t="s">
        <v>1349</v>
      </c>
      <c r="D1402" s="80">
        <v>800</v>
      </c>
    </row>
    <row r="1403" spans="1:6">
      <c r="A1403" s="435"/>
      <c r="B1403" s="435"/>
      <c r="C1403" s="79"/>
      <c r="D1403" s="80"/>
    </row>
    <row r="1404" spans="1:6">
      <c r="A1404" s="435"/>
      <c r="B1404" s="435"/>
      <c r="C1404" s="79"/>
      <c r="D1404" s="80"/>
    </row>
    <row r="1405" spans="1:6">
      <c r="A1405" s="435"/>
      <c r="B1405" s="435"/>
      <c r="C1405" s="79"/>
      <c r="D1405" s="80"/>
    </row>
    <row r="1406" spans="1:6">
      <c r="A1406" s="435"/>
      <c r="B1406" s="435"/>
      <c r="C1406" s="79"/>
      <c r="D1406" s="80"/>
    </row>
    <row r="1407" spans="1:6">
      <c r="A1407" s="435"/>
      <c r="B1407" s="435"/>
      <c r="C1407" s="79"/>
      <c r="D1407" s="80"/>
    </row>
    <row r="1408" spans="1:6">
      <c r="A1408" s="436"/>
      <c r="B1408" s="436"/>
      <c r="C1408" s="79"/>
      <c r="D1408" s="80"/>
    </row>
    <row r="1409" spans="1:5" s="74" customFormat="1" ht="24" customHeight="1">
      <c r="A1409" s="441" t="s">
        <v>655</v>
      </c>
      <c r="B1409" s="441"/>
      <c r="C1409" s="441"/>
      <c r="D1409" s="81">
        <f>SUM(D1396:D1408)</f>
        <v>3250</v>
      </c>
      <c r="E1409" s="82">
        <f>+'Tổng,SUMMARY'!$Q$93</f>
        <v>3250</v>
      </c>
    </row>
    <row r="1410" spans="1:5">
      <c r="A1410" s="434" t="s">
        <v>996</v>
      </c>
      <c r="B1410" s="434" t="s">
        <v>997</v>
      </c>
      <c r="C1410" s="79" t="s">
        <v>656</v>
      </c>
      <c r="D1410" s="80">
        <v>100</v>
      </c>
    </row>
    <row r="1411" spans="1:5">
      <c r="A1411" s="435"/>
      <c r="B1411" s="435"/>
      <c r="C1411" s="79" t="s">
        <v>1195</v>
      </c>
      <c r="D1411" s="80">
        <v>1200</v>
      </c>
    </row>
    <row r="1412" spans="1:5">
      <c r="A1412" s="435"/>
      <c r="B1412" s="435"/>
      <c r="C1412" s="79" t="s">
        <v>1196</v>
      </c>
      <c r="D1412" s="80">
        <v>800</v>
      </c>
    </row>
    <row r="1413" spans="1:5">
      <c r="A1413" s="435"/>
      <c r="B1413" s="435"/>
      <c r="C1413" s="79"/>
      <c r="D1413" s="80"/>
    </row>
    <row r="1414" spans="1:5">
      <c r="A1414" s="435"/>
      <c r="B1414" s="435"/>
      <c r="C1414" s="79"/>
      <c r="D1414" s="80"/>
    </row>
    <row r="1415" spans="1:5">
      <c r="A1415" s="435"/>
      <c r="B1415" s="435"/>
      <c r="C1415" s="79"/>
      <c r="D1415" s="80"/>
    </row>
    <row r="1416" spans="1:5">
      <c r="A1416" s="436"/>
      <c r="B1416" s="436"/>
      <c r="C1416" s="79"/>
      <c r="D1416" s="80"/>
    </row>
    <row r="1417" spans="1:5" s="74" customFormat="1" ht="24" customHeight="1">
      <c r="A1417" s="441" t="s">
        <v>655</v>
      </c>
      <c r="B1417" s="441"/>
      <c r="C1417" s="441"/>
      <c r="D1417" s="81">
        <f>SUM(D1410:D1416)</f>
        <v>2100</v>
      </c>
      <c r="E1417" s="82">
        <f>+'Tổng,SUMMARY'!$Q$152</f>
        <v>1600</v>
      </c>
    </row>
    <row r="1418" spans="1:5">
      <c r="A1418" s="434" t="s">
        <v>1229</v>
      </c>
      <c r="B1418" s="434" t="s">
        <v>1228</v>
      </c>
      <c r="C1418" s="79" t="s">
        <v>656</v>
      </c>
      <c r="D1418" s="80">
        <v>24</v>
      </c>
    </row>
    <row r="1419" spans="1:5">
      <c r="A1419" s="435"/>
      <c r="B1419" s="435"/>
      <c r="C1419" s="79" t="s">
        <v>1230</v>
      </c>
      <c r="D1419" s="80">
        <v>768</v>
      </c>
    </row>
    <row r="1420" spans="1:5">
      <c r="A1420" s="435"/>
      <c r="B1420" s="435"/>
      <c r="C1420" s="79" t="s">
        <v>1265</v>
      </c>
      <c r="D1420" s="80">
        <v>144</v>
      </c>
    </row>
    <row r="1421" spans="1:5">
      <c r="A1421" s="435"/>
      <c r="B1421" s="435"/>
      <c r="C1421" s="79"/>
      <c r="D1421" s="80"/>
    </row>
    <row r="1422" spans="1:5">
      <c r="A1422" s="435"/>
      <c r="B1422" s="435"/>
      <c r="C1422" s="79"/>
      <c r="D1422" s="80"/>
    </row>
    <row r="1423" spans="1:5">
      <c r="A1423" s="436"/>
      <c r="B1423" s="436"/>
      <c r="C1423" s="79"/>
      <c r="D1423" s="80"/>
    </row>
    <row r="1424" spans="1:5" s="74" customFormat="1" ht="24" customHeight="1">
      <c r="A1424" s="437" t="s">
        <v>655</v>
      </c>
      <c r="B1424" s="437"/>
      <c r="C1424" s="437"/>
      <c r="D1424" s="81">
        <f>SUM(D1418:D1423)</f>
        <v>936</v>
      </c>
      <c r="E1424" s="82">
        <f>+'Tổng,SUMMARY'!$Q$254</f>
        <v>936</v>
      </c>
    </row>
    <row r="1425" spans="1:6">
      <c r="A1425" s="434" t="s">
        <v>891</v>
      </c>
      <c r="B1425" s="434" t="s">
        <v>1232</v>
      </c>
      <c r="C1425" s="79"/>
      <c r="D1425" s="80"/>
    </row>
    <row r="1426" spans="1:6">
      <c r="A1426" s="435"/>
      <c r="B1426" s="435"/>
      <c r="C1426" s="79" t="s">
        <v>1233</v>
      </c>
      <c r="D1426" s="80">
        <v>780</v>
      </c>
    </row>
    <row r="1427" spans="1:6">
      <c r="A1427" s="435"/>
      <c r="B1427" s="435"/>
      <c r="C1427" s="79" t="s">
        <v>1319</v>
      </c>
      <c r="D1427" s="80">
        <v>60</v>
      </c>
    </row>
    <row r="1428" spans="1:6">
      <c r="A1428" s="435"/>
      <c r="B1428" s="435"/>
      <c r="C1428" s="79"/>
      <c r="D1428" s="80"/>
    </row>
    <row r="1429" spans="1:6">
      <c r="A1429" s="435"/>
      <c r="B1429" s="435"/>
      <c r="C1429" s="79"/>
      <c r="D1429" s="80"/>
    </row>
    <row r="1430" spans="1:6">
      <c r="A1430" s="436"/>
      <c r="B1430" s="436"/>
      <c r="C1430" s="79"/>
      <c r="D1430" s="80"/>
    </row>
    <row r="1431" spans="1:6" s="74" customFormat="1" ht="24" customHeight="1">
      <c r="A1431" s="437" t="s">
        <v>655</v>
      </c>
      <c r="B1431" s="437"/>
      <c r="C1431" s="437"/>
      <c r="D1431" s="81">
        <f>SUM(D1425:D1430)</f>
        <v>840</v>
      </c>
      <c r="E1431" s="82">
        <f>+'Tổng,SUMMARY'!$Q$270</f>
        <v>840</v>
      </c>
    </row>
    <row r="1432" spans="1:6">
      <c r="A1432" s="434" t="s">
        <v>1278</v>
      </c>
      <c r="B1432" s="434" t="s">
        <v>1277</v>
      </c>
      <c r="C1432" s="79"/>
      <c r="D1432" s="80">
        <v>100</v>
      </c>
    </row>
    <row r="1433" spans="1:6">
      <c r="A1433" s="435"/>
      <c r="B1433" s="435"/>
      <c r="C1433" s="79" t="s">
        <v>1279</v>
      </c>
      <c r="D1433" s="80">
        <v>300</v>
      </c>
    </row>
    <row r="1434" spans="1:6">
      <c r="A1434" s="435"/>
      <c r="B1434" s="435"/>
      <c r="C1434" s="79" t="s">
        <v>1280</v>
      </c>
      <c r="D1434" s="80">
        <v>1200</v>
      </c>
    </row>
    <row r="1435" spans="1:6">
      <c r="A1435" s="435"/>
      <c r="B1435" s="435"/>
      <c r="C1435" s="79"/>
      <c r="D1435" s="80"/>
    </row>
    <row r="1436" spans="1:6">
      <c r="A1436" s="435"/>
      <c r="B1436" s="435"/>
      <c r="C1436" s="79"/>
      <c r="D1436" s="80"/>
    </row>
    <row r="1437" spans="1:6">
      <c r="A1437" s="435"/>
      <c r="B1437" s="435"/>
      <c r="C1437" s="79"/>
      <c r="D1437" s="80"/>
    </row>
    <row r="1438" spans="1:6">
      <c r="A1438" s="435"/>
      <c r="B1438" s="435"/>
      <c r="C1438" s="79"/>
      <c r="D1438" s="80"/>
    </row>
    <row r="1439" spans="1:6">
      <c r="A1439" s="436"/>
      <c r="B1439" s="436"/>
      <c r="C1439" s="79"/>
      <c r="D1439" s="80"/>
    </row>
    <row r="1440" spans="1:6" s="74" customFormat="1" ht="24" customHeight="1">
      <c r="A1440" s="438" t="s">
        <v>655</v>
      </c>
      <c r="B1440" s="439"/>
      <c r="C1440" s="440"/>
      <c r="D1440" s="81">
        <f>SUM(D1432:D1439)</f>
        <v>1600</v>
      </c>
      <c r="E1440" s="82">
        <f>+'Tổng,SUMMARY'!Q152</f>
        <v>1600</v>
      </c>
      <c r="F1440" s="83">
        <f>+E1440-D1440</f>
        <v>0</v>
      </c>
    </row>
    <row r="1441" spans="1:6">
      <c r="A1441" s="434" t="s">
        <v>873</v>
      </c>
      <c r="B1441" s="434" t="s">
        <v>1484</v>
      </c>
      <c r="C1441" s="89"/>
      <c r="D1441" s="80">
        <v>800</v>
      </c>
    </row>
    <row r="1442" spans="1:6">
      <c r="A1442" s="435"/>
      <c r="B1442" s="435"/>
      <c r="C1442" s="89" t="s">
        <v>1485</v>
      </c>
      <c r="D1442" s="80">
        <v>1200</v>
      </c>
    </row>
    <row r="1443" spans="1:6">
      <c r="A1443" s="435"/>
      <c r="B1443" s="435"/>
      <c r="C1443" s="89" t="s">
        <v>1506</v>
      </c>
      <c r="D1443" s="80">
        <v>1200</v>
      </c>
    </row>
    <row r="1444" spans="1:6">
      <c r="A1444" s="435"/>
      <c r="B1444" s="435"/>
      <c r="C1444" s="79"/>
      <c r="D1444" s="80"/>
    </row>
    <row r="1445" spans="1:6">
      <c r="A1445" s="435"/>
      <c r="B1445" s="435"/>
      <c r="C1445" s="79"/>
      <c r="D1445" s="80"/>
    </row>
    <row r="1446" spans="1:6">
      <c r="A1446" s="435"/>
      <c r="B1446" s="435"/>
      <c r="C1446" s="79"/>
      <c r="D1446" s="80"/>
    </row>
    <row r="1447" spans="1:6">
      <c r="A1447" s="435"/>
      <c r="B1447" s="435"/>
      <c r="C1447" s="79"/>
      <c r="D1447" s="80"/>
    </row>
    <row r="1448" spans="1:6">
      <c r="A1448" s="435"/>
      <c r="B1448" s="435"/>
      <c r="C1448" s="79"/>
      <c r="D1448" s="80"/>
    </row>
    <row r="1449" spans="1:6">
      <c r="A1449" s="435"/>
      <c r="B1449" s="435"/>
      <c r="C1449" s="79"/>
      <c r="D1449" s="80"/>
    </row>
    <row r="1450" spans="1:6" ht="15.75">
      <c r="A1450" s="435"/>
      <c r="B1450" s="435"/>
      <c r="C1450" s="79"/>
      <c r="D1450" s="80"/>
      <c r="E1450" s="82">
        <f>+'Tổng,SUMMARY'!R188</f>
        <v>0</v>
      </c>
    </row>
    <row r="1451" spans="1:6">
      <c r="A1451" s="436"/>
      <c r="B1451" s="436"/>
      <c r="C1451" s="79"/>
      <c r="D1451" s="80"/>
    </row>
    <row r="1452" spans="1:6" s="74" customFormat="1" ht="24" customHeight="1">
      <c r="A1452" s="437" t="s">
        <v>655</v>
      </c>
      <c r="B1452" s="437"/>
      <c r="C1452" s="437"/>
      <c r="D1452" s="81">
        <f>SUM(D1441:D1451)</f>
        <v>3200</v>
      </c>
      <c r="E1452" s="82">
        <f>+'Tổng,SUMMARY'!Q200</f>
        <v>3200</v>
      </c>
      <c r="F1452" s="83"/>
    </row>
    <row r="1453" spans="1:6">
      <c r="A1453" s="434" t="s">
        <v>1507</v>
      </c>
      <c r="B1453" s="434" t="s">
        <v>1508</v>
      </c>
      <c r="C1453" s="89"/>
      <c r="D1453" s="80">
        <v>500</v>
      </c>
    </row>
    <row r="1454" spans="1:6">
      <c r="A1454" s="435"/>
      <c r="B1454" s="435"/>
      <c r="C1454" s="89" t="s">
        <v>1509</v>
      </c>
      <c r="D1454" s="80">
        <v>1200</v>
      </c>
    </row>
    <row r="1455" spans="1:6">
      <c r="A1455" s="435"/>
      <c r="B1455" s="435"/>
      <c r="C1455" s="89"/>
      <c r="D1455" s="80"/>
    </row>
    <row r="1456" spans="1:6">
      <c r="A1456" s="435"/>
      <c r="B1456" s="435"/>
      <c r="C1456" s="79"/>
      <c r="D1456" s="80"/>
    </row>
    <row r="1457" spans="1:6">
      <c r="A1457" s="435"/>
      <c r="B1457" s="435"/>
      <c r="C1457" s="79"/>
      <c r="D1457" s="80"/>
    </row>
    <row r="1458" spans="1:6">
      <c r="A1458" s="435"/>
      <c r="B1458" s="435"/>
      <c r="C1458" s="79"/>
      <c r="D1458" s="80"/>
    </row>
    <row r="1459" spans="1:6">
      <c r="A1459" s="435"/>
      <c r="B1459" s="435"/>
      <c r="C1459" s="79"/>
      <c r="D1459" s="80"/>
    </row>
    <row r="1460" spans="1:6">
      <c r="A1460" s="435"/>
      <c r="B1460" s="435"/>
      <c r="C1460" s="79"/>
      <c r="D1460" s="80"/>
    </row>
    <row r="1461" spans="1:6">
      <c r="A1461" s="435"/>
      <c r="B1461" s="435"/>
      <c r="C1461" s="79"/>
      <c r="D1461" s="80"/>
    </row>
    <row r="1462" spans="1:6" ht="15.75">
      <c r="A1462" s="435"/>
      <c r="B1462" s="435"/>
      <c r="C1462" s="79"/>
      <c r="D1462" s="80"/>
      <c r="E1462" s="82"/>
    </row>
    <row r="1463" spans="1:6">
      <c r="A1463" s="436"/>
      <c r="B1463" s="436"/>
      <c r="C1463" s="79"/>
      <c r="D1463" s="80"/>
    </row>
    <row r="1464" spans="1:6" s="74" customFormat="1" ht="24" customHeight="1">
      <c r="A1464" s="437" t="s">
        <v>655</v>
      </c>
      <c r="B1464" s="437"/>
      <c r="C1464" s="437"/>
      <c r="D1464" s="81">
        <f>SUM(D1453:D1463)</f>
        <v>1700</v>
      </c>
      <c r="E1464" s="82">
        <f>+'Tổng,SUMMARY'!$Q$83</f>
        <v>1700</v>
      </c>
      <c r="F1464" s="83"/>
    </row>
    <row r="1465" spans="1:6">
      <c r="A1465" s="434" t="s">
        <v>1565</v>
      </c>
      <c r="B1465" s="434" t="s">
        <v>1564</v>
      </c>
      <c r="C1465" s="89"/>
      <c r="D1465" s="80"/>
    </row>
    <row r="1466" spans="1:6">
      <c r="A1466" s="435"/>
      <c r="B1466" s="435"/>
      <c r="C1466" s="89" t="s">
        <v>1566</v>
      </c>
      <c r="D1466" s="80">
        <v>1000</v>
      </c>
    </row>
    <row r="1467" spans="1:6">
      <c r="A1467" s="435"/>
      <c r="B1467" s="435"/>
      <c r="C1467" s="89"/>
      <c r="D1467" s="80"/>
    </row>
    <row r="1468" spans="1:6">
      <c r="A1468" s="435"/>
      <c r="B1468" s="435"/>
      <c r="C1468" s="79"/>
      <c r="D1468" s="80"/>
    </row>
    <row r="1469" spans="1:6">
      <c r="A1469" s="435"/>
      <c r="B1469" s="435"/>
      <c r="C1469" s="79"/>
      <c r="D1469" s="80"/>
    </row>
    <row r="1470" spans="1:6">
      <c r="A1470" s="435"/>
      <c r="B1470" s="435"/>
      <c r="C1470" s="79"/>
      <c r="D1470" s="80"/>
    </row>
    <row r="1471" spans="1:6">
      <c r="A1471" s="435"/>
      <c r="B1471" s="435"/>
      <c r="C1471" s="79"/>
      <c r="D1471" s="80"/>
    </row>
    <row r="1472" spans="1:6">
      <c r="A1472" s="435"/>
      <c r="B1472" s="435"/>
      <c r="C1472" s="79"/>
      <c r="D1472" s="80"/>
    </row>
    <row r="1473" spans="1:6">
      <c r="A1473" s="435"/>
      <c r="B1473" s="435"/>
      <c r="C1473" s="79"/>
      <c r="D1473" s="80"/>
    </row>
    <row r="1474" spans="1:6" ht="15.75">
      <c r="A1474" s="435"/>
      <c r="B1474" s="435"/>
      <c r="C1474" s="79"/>
      <c r="D1474" s="80"/>
      <c r="E1474" s="82"/>
    </row>
    <row r="1475" spans="1:6">
      <c r="A1475" s="436"/>
      <c r="B1475" s="436"/>
      <c r="C1475" s="79"/>
      <c r="D1475" s="80"/>
    </row>
    <row r="1476" spans="1:6" s="74" customFormat="1" ht="24" customHeight="1">
      <c r="A1476" s="437" t="s">
        <v>655</v>
      </c>
      <c r="B1476" s="437"/>
      <c r="C1476" s="437"/>
      <c r="D1476" s="81">
        <f>SUM(D1465:D1475)</f>
        <v>1000</v>
      </c>
      <c r="E1476" s="82">
        <f>+'Tổng,SUMMARY'!$Q$37</f>
        <v>1000</v>
      </c>
      <c r="F1476" s="83"/>
    </row>
  </sheetData>
  <autoFilter ref="A1:H1441"/>
  <mergeCells count="324">
    <mergeCell ref="A1465:A1475"/>
    <mergeCell ref="B1465:B1475"/>
    <mergeCell ref="A1476:C1476"/>
    <mergeCell ref="A1452:C1452"/>
    <mergeCell ref="A706:A717"/>
    <mergeCell ref="B706:B717"/>
    <mergeCell ref="A718:C718"/>
    <mergeCell ref="A1440:C1440"/>
    <mergeCell ref="B1432:B1439"/>
    <mergeCell ref="A1432:A1439"/>
    <mergeCell ref="A1418:A1423"/>
    <mergeCell ref="B1418:B1423"/>
    <mergeCell ref="A1424:C1424"/>
    <mergeCell ref="A1396:A1408"/>
    <mergeCell ref="B1396:B1408"/>
    <mergeCell ref="A1409:C1409"/>
    <mergeCell ref="A1410:A1416"/>
    <mergeCell ref="B1410:B1416"/>
    <mergeCell ref="A1417:C1417"/>
    <mergeCell ref="A1374:A1380"/>
    <mergeCell ref="B1374:B1380"/>
    <mergeCell ref="A1381:C1381"/>
    <mergeCell ref="A1382:A1394"/>
    <mergeCell ref="B1382:B1394"/>
    <mergeCell ref="A1395:C1395"/>
    <mergeCell ref="A1294:A1302"/>
    <mergeCell ref="B1294:B1302"/>
    <mergeCell ref="A1303:C1303"/>
    <mergeCell ref="A1273:A1292"/>
    <mergeCell ref="B1273:B1292"/>
    <mergeCell ref="A1293:C1293"/>
    <mergeCell ref="A1366:A1372"/>
    <mergeCell ref="B1366:B1372"/>
    <mergeCell ref="A1373:C1373"/>
    <mergeCell ref="A1319:A1330"/>
    <mergeCell ref="B1319:B1330"/>
    <mergeCell ref="A1331:C1331"/>
    <mergeCell ref="A1332:A1347"/>
    <mergeCell ref="B1332:B1347"/>
    <mergeCell ref="A1348:C1348"/>
    <mergeCell ref="A1349:A1364"/>
    <mergeCell ref="B1349:B1364"/>
    <mergeCell ref="A1365:C1365"/>
    <mergeCell ref="A1304:A1317"/>
    <mergeCell ref="B1304:B1317"/>
    <mergeCell ref="A1318:C1318"/>
    <mergeCell ref="A1253:C1253"/>
    <mergeCell ref="A1172:C1172"/>
    <mergeCell ref="A1193:C1193"/>
    <mergeCell ref="A1211:A1222"/>
    <mergeCell ref="B1211:B1222"/>
    <mergeCell ref="A1223:C1223"/>
    <mergeCell ref="A1224:A1241"/>
    <mergeCell ref="B1224:B1241"/>
    <mergeCell ref="A1242:C1242"/>
    <mergeCell ref="A1243:A1252"/>
    <mergeCell ref="B1243:B1252"/>
    <mergeCell ref="A1210:C1210"/>
    <mergeCell ref="A1173:A1181"/>
    <mergeCell ref="B1173:B1181"/>
    <mergeCell ref="A1182:C1182"/>
    <mergeCell ref="A1254:A1263"/>
    <mergeCell ref="B1254:B1263"/>
    <mergeCell ref="A1264:C1264"/>
    <mergeCell ref="A1265:A1271"/>
    <mergeCell ref="B1265:B1271"/>
    <mergeCell ref="A1272:C1272"/>
    <mergeCell ref="B1126:B1131"/>
    <mergeCell ref="B1133:B1143"/>
    <mergeCell ref="B1155:B1162"/>
    <mergeCell ref="B1164:B1171"/>
    <mergeCell ref="B1183:B1192"/>
    <mergeCell ref="A1194:A1202"/>
    <mergeCell ref="B1194:B1202"/>
    <mergeCell ref="A1203:C1203"/>
    <mergeCell ref="A1204:A1209"/>
    <mergeCell ref="B1204:B1209"/>
    <mergeCell ref="A1126:A1131"/>
    <mergeCell ref="A1133:A1143"/>
    <mergeCell ref="A1155:A1162"/>
    <mergeCell ref="A1164:A1171"/>
    <mergeCell ref="A1183:A1192"/>
    <mergeCell ref="A1132:C1132"/>
    <mergeCell ref="A1144:C1144"/>
    <mergeCell ref="A1163:C1163"/>
    <mergeCell ref="A1154:C1154"/>
    <mergeCell ref="A96:A110"/>
    <mergeCell ref="A112:A116"/>
    <mergeCell ref="A118:A131"/>
    <mergeCell ref="B133:B159"/>
    <mergeCell ref="B440:B449"/>
    <mergeCell ref="B451:B467"/>
    <mergeCell ref="B469:B475"/>
    <mergeCell ref="B477:B486"/>
    <mergeCell ref="B488:B500"/>
    <mergeCell ref="A468:C468"/>
    <mergeCell ref="A476:C476"/>
    <mergeCell ref="A487:C487"/>
    <mergeCell ref="A387:C387"/>
    <mergeCell ref="A398:C398"/>
    <mergeCell ref="A412:C412"/>
    <mergeCell ref="A421:C421"/>
    <mergeCell ref="A439:C439"/>
    <mergeCell ref="A450:C450"/>
    <mergeCell ref="A329:A338"/>
    <mergeCell ref="A340:A368"/>
    <mergeCell ref="A370:A386"/>
    <mergeCell ref="A117:C117"/>
    <mergeCell ref="B118:B131"/>
    <mergeCell ref="A2:A15"/>
    <mergeCell ref="A17:A23"/>
    <mergeCell ref="A25:A40"/>
    <mergeCell ref="A42:A65"/>
    <mergeCell ref="A68:A82"/>
    <mergeCell ref="A84:A94"/>
    <mergeCell ref="A1145:A1153"/>
    <mergeCell ref="B1145:B1153"/>
    <mergeCell ref="A769:A777"/>
    <mergeCell ref="B769:B777"/>
    <mergeCell ref="A778:C778"/>
    <mergeCell ref="B972:B980"/>
    <mergeCell ref="B960:B970"/>
    <mergeCell ref="B792:B800"/>
    <mergeCell ref="B802:B810"/>
    <mergeCell ref="B951:B958"/>
    <mergeCell ref="B2:B15"/>
    <mergeCell ref="B17:B23"/>
    <mergeCell ref="B25:B40"/>
    <mergeCell ref="B42:B65"/>
    <mergeCell ref="B68:B82"/>
    <mergeCell ref="B84:B94"/>
    <mergeCell ref="B96:B110"/>
    <mergeCell ref="B112:B116"/>
    <mergeCell ref="A16:C16"/>
    <mergeCell ref="A24:C24"/>
    <mergeCell ref="A41:C41"/>
    <mergeCell ref="A66:C66"/>
    <mergeCell ref="A83:C83"/>
    <mergeCell ref="A95:C95"/>
    <mergeCell ref="A111:C111"/>
    <mergeCell ref="B572:B587"/>
    <mergeCell ref="B589:B596"/>
    <mergeCell ref="A501:C501"/>
    <mergeCell ref="A512:C512"/>
    <mergeCell ref="B329:B338"/>
    <mergeCell ref="B340:B368"/>
    <mergeCell ref="A422:A438"/>
    <mergeCell ref="A440:A449"/>
    <mergeCell ref="A310:A327"/>
    <mergeCell ref="B310:B327"/>
    <mergeCell ref="B370:B386"/>
    <mergeCell ref="B388:B397"/>
    <mergeCell ref="B399:B411"/>
    <mergeCell ref="B413:B420"/>
    <mergeCell ref="B422:B438"/>
    <mergeCell ref="A328:C328"/>
    <mergeCell ref="A339:C339"/>
    <mergeCell ref="B598:B611"/>
    <mergeCell ref="B613:B625"/>
    <mergeCell ref="B627:B641"/>
    <mergeCell ref="B719:B730"/>
    <mergeCell ref="A993:A998"/>
    <mergeCell ref="B889:B897"/>
    <mergeCell ref="A768:C768"/>
    <mergeCell ref="A589:A596"/>
    <mergeCell ref="A598:A611"/>
    <mergeCell ref="A613:A625"/>
    <mergeCell ref="A627:A641"/>
    <mergeCell ref="B812:B836"/>
    <mergeCell ref="B838:B845"/>
    <mergeCell ref="B847:B856"/>
    <mergeCell ref="A750:A767"/>
    <mergeCell ref="A693:A704"/>
    <mergeCell ref="B693:B704"/>
    <mergeCell ref="A705:C705"/>
    <mergeCell ref="A731:C731"/>
    <mergeCell ref="A749:C749"/>
    <mergeCell ref="B858:B866"/>
    <mergeCell ref="B868:B877"/>
    <mergeCell ref="A889:A897"/>
    <mergeCell ref="A888:C888"/>
    <mergeCell ref="A1089:A1102"/>
    <mergeCell ref="A899:A907"/>
    <mergeCell ref="A909:A917"/>
    <mergeCell ref="A919:A933"/>
    <mergeCell ref="A935:A949"/>
    <mergeCell ref="A960:A970"/>
    <mergeCell ref="A972:A980"/>
    <mergeCell ref="A1060:A1073"/>
    <mergeCell ref="A1075:A1087"/>
    <mergeCell ref="A951:A958"/>
    <mergeCell ref="A959:C959"/>
    <mergeCell ref="B982:B991"/>
    <mergeCell ref="A1074:C1074"/>
    <mergeCell ref="B1025:B1032"/>
    <mergeCell ref="B1034:B1047"/>
    <mergeCell ref="B1049:B1058"/>
    <mergeCell ref="B1060:B1073"/>
    <mergeCell ref="B1075:B1087"/>
    <mergeCell ref="B1089:B1102"/>
    <mergeCell ref="A1118:C1118"/>
    <mergeCell ref="A982:A991"/>
    <mergeCell ref="A1104:A1117"/>
    <mergeCell ref="A779:A790"/>
    <mergeCell ref="A792:A800"/>
    <mergeCell ref="A802:A810"/>
    <mergeCell ref="A812:A836"/>
    <mergeCell ref="A838:A845"/>
    <mergeCell ref="A847:A856"/>
    <mergeCell ref="A858:A866"/>
    <mergeCell ref="A868:A877"/>
    <mergeCell ref="A879:A887"/>
    <mergeCell ref="A1024:C1024"/>
    <mergeCell ref="A1033:C1033"/>
    <mergeCell ref="A1088:C1088"/>
    <mergeCell ref="A1103:C1103"/>
    <mergeCell ref="B879:B887"/>
    <mergeCell ref="B919:B933"/>
    <mergeCell ref="B935:B949"/>
    <mergeCell ref="A1049:A1058"/>
    <mergeCell ref="A1000:A1023"/>
    <mergeCell ref="A1025:A1032"/>
    <mergeCell ref="B993:B998"/>
    <mergeCell ref="B1000:B1023"/>
    <mergeCell ref="B1104:B1117"/>
    <mergeCell ref="A572:A587"/>
    <mergeCell ref="A588:C588"/>
    <mergeCell ref="A597:C597"/>
    <mergeCell ref="A612:C612"/>
    <mergeCell ref="A626:C626"/>
    <mergeCell ref="A642:C642"/>
    <mergeCell ref="A692:C692"/>
    <mergeCell ref="B899:B907"/>
    <mergeCell ref="B909:B917"/>
    <mergeCell ref="B732:B748"/>
    <mergeCell ref="A719:A730"/>
    <mergeCell ref="A732:A748"/>
    <mergeCell ref="A791:C791"/>
    <mergeCell ref="A801:C801"/>
    <mergeCell ref="A811:C811"/>
    <mergeCell ref="A837:C837"/>
    <mergeCell ref="A846:C846"/>
    <mergeCell ref="A857:C857"/>
    <mergeCell ref="A867:C867"/>
    <mergeCell ref="A898:C898"/>
    <mergeCell ref="A908:C908"/>
    <mergeCell ref="B779:B790"/>
    <mergeCell ref="A878:C878"/>
    <mergeCell ref="A369:C369"/>
    <mergeCell ref="A388:A397"/>
    <mergeCell ref="A399:A411"/>
    <mergeCell ref="A413:A420"/>
    <mergeCell ref="A309:C309"/>
    <mergeCell ref="B259:B273"/>
    <mergeCell ref="B275:B284"/>
    <mergeCell ref="A199:A216"/>
    <mergeCell ref="B199:B216"/>
    <mergeCell ref="A217:C217"/>
    <mergeCell ref="A571:C571"/>
    <mergeCell ref="B564:B570"/>
    <mergeCell ref="A564:A570"/>
    <mergeCell ref="A522:C522"/>
    <mergeCell ref="A558:C558"/>
    <mergeCell ref="A563:C563"/>
    <mergeCell ref="A451:A467"/>
    <mergeCell ref="A469:A475"/>
    <mergeCell ref="A477:A486"/>
    <mergeCell ref="A488:A500"/>
    <mergeCell ref="A502:A511"/>
    <mergeCell ref="A513:A521"/>
    <mergeCell ref="A523:A557"/>
    <mergeCell ref="A559:A562"/>
    <mergeCell ref="B523:B557"/>
    <mergeCell ref="B559:B562"/>
    <mergeCell ref="B502:B511"/>
    <mergeCell ref="B513:B521"/>
    <mergeCell ref="A132:C132"/>
    <mergeCell ref="A133:A159"/>
    <mergeCell ref="A189:A197"/>
    <mergeCell ref="A218:A228"/>
    <mergeCell ref="A230:A243"/>
    <mergeCell ref="A245:A257"/>
    <mergeCell ref="A259:A273"/>
    <mergeCell ref="A275:A284"/>
    <mergeCell ref="A286:A308"/>
    <mergeCell ref="A160:C160"/>
    <mergeCell ref="A188:C188"/>
    <mergeCell ref="A198:C198"/>
    <mergeCell ref="A229:C229"/>
    <mergeCell ref="A244:C244"/>
    <mergeCell ref="B189:B197"/>
    <mergeCell ref="B286:B308"/>
    <mergeCell ref="A258:C258"/>
    <mergeCell ref="A274:C274"/>
    <mergeCell ref="A285:C285"/>
    <mergeCell ref="A161:A187"/>
    <mergeCell ref="B161:B187"/>
    <mergeCell ref="B218:B228"/>
    <mergeCell ref="B230:B243"/>
    <mergeCell ref="B245:B257"/>
    <mergeCell ref="A643:A691"/>
    <mergeCell ref="B643:B691"/>
    <mergeCell ref="A1453:A1463"/>
    <mergeCell ref="B1453:B1463"/>
    <mergeCell ref="A1464:C1464"/>
    <mergeCell ref="A1441:A1451"/>
    <mergeCell ref="B1441:B1451"/>
    <mergeCell ref="A1425:A1430"/>
    <mergeCell ref="B1425:B1430"/>
    <mergeCell ref="A1431:C1431"/>
    <mergeCell ref="B1119:B1124"/>
    <mergeCell ref="A1048:C1048"/>
    <mergeCell ref="A1059:C1059"/>
    <mergeCell ref="B750:B767"/>
    <mergeCell ref="A1034:A1047"/>
    <mergeCell ref="A1125:C1125"/>
    <mergeCell ref="A918:C918"/>
    <mergeCell ref="A934:C934"/>
    <mergeCell ref="A950:C950"/>
    <mergeCell ref="A971:C971"/>
    <mergeCell ref="A981:C981"/>
    <mergeCell ref="A992:C992"/>
    <mergeCell ref="A999:C999"/>
    <mergeCell ref="A1119:A1124"/>
  </mergeCells>
  <phoneticPr fontId="73" type="noConversion"/>
  <conditionalFormatting sqref="C118">
    <cfRule type="duplicateValues" dxfId="243" priority="266"/>
  </conditionalFormatting>
  <conditionalFormatting sqref="C162">
    <cfRule type="duplicateValues" dxfId="242" priority="128113"/>
  </conditionalFormatting>
  <conditionalFormatting sqref="C163:C169">
    <cfRule type="duplicateValues" dxfId="241" priority="128541"/>
  </conditionalFormatting>
  <conditionalFormatting sqref="C199:C217">
    <cfRule type="duplicateValues" dxfId="240" priority="129108"/>
  </conditionalFormatting>
  <conditionalFormatting sqref="C287:C306">
    <cfRule type="duplicateValues" dxfId="239" priority="129256"/>
  </conditionalFormatting>
  <conditionalFormatting sqref="C307">
    <cfRule type="duplicateValues" dxfId="238" priority="129"/>
  </conditionalFormatting>
  <conditionalFormatting sqref="C310:C325">
    <cfRule type="duplicateValues" dxfId="237" priority="127938"/>
  </conditionalFormatting>
  <conditionalFormatting sqref="C439">
    <cfRule type="duplicateValues" dxfId="236" priority="283"/>
  </conditionalFormatting>
  <conditionalFormatting sqref="C441:C447">
    <cfRule type="duplicateValues" dxfId="235" priority="127921"/>
  </conditionalFormatting>
  <conditionalFormatting sqref="C523">
    <cfRule type="duplicateValues" dxfId="234" priority="248"/>
  </conditionalFormatting>
  <conditionalFormatting sqref="C524:C558">
    <cfRule type="duplicateValues" dxfId="233" priority="128566"/>
  </conditionalFormatting>
  <conditionalFormatting sqref="C560:C561">
    <cfRule type="duplicateValues" dxfId="232" priority="315"/>
  </conditionalFormatting>
  <conditionalFormatting sqref="C564:C569">
    <cfRule type="duplicateValues" dxfId="231" priority="313"/>
  </conditionalFormatting>
  <conditionalFormatting sqref="C570:C571">
    <cfRule type="duplicateValues" dxfId="230" priority="314"/>
  </conditionalFormatting>
  <conditionalFormatting sqref="C572">
    <cfRule type="duplicateValues" dxfId="229" priority="247"/>
  </conditionalFormatting>
  <conditionalFormatting sqref="C573:C586">
    <cfRule type="duplicateValues" dxfId="228" priority="128260"/>
  </conditionalFormatting>
  <conditionalFormatting sqref="C587:C588">
    <cfRule type="duplicateValues" dxfId="227" priority="312"/>
  </conditionalFormatting>
  <conditionalFormatting sqref="C589:C595">
    <cfRule type="duplicateValues" dxfId="226" priority="129073"/>
  </conditionalFormatting>
  <conditionalFormatting sqref="C589:C597">
    <cfRule type="duplicateValues" dxfId="225" priority="129071"/>
  </conditionalFormatting>
  <conditionalFormatting sqref="C598:C612">
    <cfRule type="duplicateValues" dxfId="224" priority="308"/>
  </conditionalFormatting>
  <conditionalFormatting sqref="C613:C624">
    <cfRule type="duplicateValues" dxfId="223" priority="127935"/>
  </conditionalFormatting>
  <conditionalFormatting sqref="C626 G625">
    <cfRule type="duplicateValues" dxfId="222" priority="307"/>
  </conditionalFormatting>
  <conditionalFormatting sqref="C627:C642">
    <cfRule type="duplicateValues" dxfId="221" priority="127644"/>
  </conditionalFormatting>
  <conditionalFormatting sqref="C643:C692">
    <cfRule type="duplicateValues" dxfId="220" priority="128146"/>
  </conditionalFormatting>
  <conditionalFormatting sqref="C693:C705">
    <cfRule type="duplicateValues" dxfId="219" priority="132"/>
    <cfRule type="duplicateValues" dxfId="218" priority="133"/>
    <cfRule type="duplicateValues" dxfId="217" priority="134"/>
  </conditionalFormatting>
  <conditionalFormatting sqref="C706 C710:C718">
    <cfRule type="duplicateValues" dxfId="216" priority="70"/>
    <cfRule type="duplicateValues" dxfId="215" priority="71"/>
  </conditionalFormatting>
  <conditionalFormatting sqref="C706">
    <cfRule type="duplicateValues" dxfId="214" priority="69"/>
  </conditionalFormatting>
  <conditionalFormatting sqref="C707:C709">
    <cfRule type="duplicateValues" dxfId="213" priority="65"/>
    <cfRule type="duplicateValues" dxfId="212" priority="66"/>
    <cfRule type="duplicateValues" dxfId="211" priority="67"/>
  </conditionalFormatting>
  <conditionalFormatting sqref="C719:C731">
    <cfRule type="duplicateValues" dxfId="210" priority="127914"/>
  </conditionalFormatting>
  <conditionalFormatting sqref="C720:C724">
    <cfRule type="duplicateValues" dxfId="209" priority="64"/>
    <cfRule type="duplicateValues" dxfId="208" priority="92"/>
  </conditionalFormatting>
  <conditionalFormatting sqref="C732">
    <cfRule type="duplicateValues" dxfId="207" priority="128"/>
  </conditionalFormatting>
  <conditionalFormatting sqref="C750:C768">
    <cfRule type="duplicateValues" dxfId="206" priority="301"/>
  </conditionalFormatting>
  <conditionalFormatting sqref="C769:C778">
    <cfRule type="duplicateValues" dxfId="205" priority="165"/>
    <cfRule type="duplicateValues" dxfId="204" priority="166"/>
  </conditionalFormatting>
  <conditionalFormatting sqref="C779:C791">
    <cfRule type="duplicateValues" dxfId="203" priority="127995"/>
  </conditionalFormatting>
  <conditionalFormatting sqref="C792:C801">
    <cfRule type="duplicateValues" dxfId="202" priority="127379"/>
  </conditionalFormatting>
  <conditionalFormatting sqref="C812">
    <cfRule type="duplicateValues" dxfId="201" priority="124"/>
  </conditionalFormatting>
  <conditionalFormatting sqref="C813:C834">
    <cfRule type="duplicateValues" dxfId="200" priority="128049"/>
  </conditionalFormatting>
  <conditionalFormatting sqref="C838:C843">
    <cfRule type="duplicateValues" dxfId="199" priority="137"/>
  </conditionalFormatting>
  <conditionalFormatting sqref="C848:C849">
    <cfRule type="duplicateValues" dxfId="198" priority="288"/>
  </conditionalFormatting>
  <conditionalFormatting sqref="C859:C864">
    <cfRule type="duplicateValues" dxfId="197" priority="127657"/>
  </conditionalFormatting>
  <conditionalFormatting sqref="C869:C870">
    <cfRule type="duplicateValues" dxfId="196" priority="284"/>
  </conditionalFormatting>
  <conditionalFormatting sqref="C879:C888">
    <cfRule type="duplicateValues" dxfId="195" priority="281"/>
  </conditionalFormatting>
  <conditionalFormatting sqref="C899:C906">
    <cfRule type="duplicateValues" dxfId="194" priority="168"/>
  </conditionalFormatting>
  <conditionalFormatting sqref="C899:C908">
    <cfRule type="duplicateValues" dxfId="193" priority="278"/>
  </conditionalFormatting>
  <conditionalFormatting sqref="C909">
    <cfRule type="duplicateValues" dxfId="192" priority="276"/>
  </conditionalFormatting>
  <conditionalFormatting sqref="C910:C918">
    <cfRule type="duplicateValues" dxfId="191" priority="127441"/>
  </conditionalFormatting>
  <conditionalFormatting sqref="C924:C934">
    <cfRule type="duplicateValues" dxfId="190" priority="275"/>
  </conditionalFormatting>
  <conditionalFormatting sqref="C935">
    <cfRule type="duplicateValues" dxfId="189" priority="127610"/>
  </conditionalFormatting>
  <conditionalFormatting sqref="C936 C938:C950">
    <cfRule type="duplicateValues" dxfId="188" priority="127980"/>
  </conditionalFormatting>
  <conditionalFormatting sqref="C937">
    <cfRule type="duplicateValues" dxfId="187" priority="169"/>
    <cfRule type="duplicateValues" dxfId="186" priority="170"/>
  </conditionalFormatting>
  <conditionalFormatting sqref="C953:C959 C951">
    <cfRule type="duplicateValues" dxfId="185" priority="120"/>
  </conditionalFormatting>
  <conditionalFormatting sqref="C951">
    <cfRule type="duplicateValues" dxfId="184" priority="119"/>
    <cfRule type="duplicateValues" dxfId="183" priority="123"/>
  </conditionalFormatting>
  <conditionalFormatting sqref="C953:C956">
    <cfRule type="duplicateValues" dxfId="182" priority="122"/>
  </conditionalFormatting>
  <conditionalFormatting sqref="C957:C959">
    <cfRule type="duplicateValues" dxfId="181" priority="121"/>
  </conditionalFormatting>
  <conditionalFormatting sqref="C960">
    <cfRule type="duplicateValues" dxfId="180" priority="265"/>
  </conditionalFormatting>
  <conditionalFormatting sqref="C961:C968">
    <cfRule type="duplicateValues" dxfId="179" priority="272"/>
  </conditionalFormatting>
  <conditionalFormatting sqref="C969:C971">
    <cfRule type="duplicateValues" dxfId="178" priority="271"/>
  </conditionalFormatting>
  <conditionalFormatting sqref="C972:C975">
    <cfRule type="duplicateValues" dxfId="177" priority="269"/>
  </conditionalFormatting>
  <conditionalFormatting sqref="C976:C981">
    <cfRule type="duplicateValues" dxfId="176" priority="268"/>
  </conditionalFormatting>
  <conditionalFormatting sqref="C982">
    <cfRule type="duplicateValues" dxfId="175" priority="179"/>
  </conditionalFormatting>
  <conditionalFormatting sqref="C982:C992">
    <cfRule type="duplicateValues" dxfId="174" priority="264"/>
  </conditionalFormatting>
  <conditionalFormatting sqref="C983">
    <cfRule type="duplicateValues" dxfId="173" priority="172"/>
  </conditionalFormatting>
  <conditionalFormatting sqref="C983:C984">
    <cfRule type="duplicateValues" dxfId="172" priority="178"/>
  </conditionalFormatting>
  <conditionalFormatting sqref="C993">
    <cfRule type="duplicateValues" dxfId="171" priority="262"/>
  </conditionalFormatting>
  <conditionalFormatting sqref="C994:C999">
    <cfRule type="duplicateValues" dxfId="170" priority="127667"/>
  </conditionalFormatting>
  <conditionalFormatting sqref="C1000">
    <cfRule type="duplicateValues" dxfId="169" priority="260"/>
  </conditionalFormatting>
  <conditionalFormatting sqref="C1001:C1002">
    <cfRule type="duplicateValues" dxfId="168" priority="109"/>
    <cfRule type="duplicateValues" dxfId="167" priority="110"/>
  </conditionalFormatting>
  <conditionalFormatting sqref="C1001:C1024">
    <cfRule type="duplicateValues" dxfId="166" priority="127915"/>
  </conditionalFormatting>
  <conditionalFormatting sqref="C1025:C1027">
    <cfRule type="duplicateValues" dxfId="165" priority="128027"/>
  </conditionalFormatting>
  <conditionalFormatting sqref="C1026:C1033">
    <cfRule type="duplicateValues" dxfId="164" priority="128029"/>
  </conditionalFormatting>
  <conditionalFormatting sqref="C1034:C1048">
    <cfRule type="duplicateValues" dxfId="163" priority="128030"/>
  </conditionalFormatting>
  <conditionalFormatting sqref="C1035:C1039">
    <cfRule type="duplicateValues" dxfId="162" priority="111"/>
  </conditionalFormatting>
  <conditionalFormatting sqref="C1049:C1059">
    <cfRule type="duplicateValues" dxfId="161" priority="256"/>
  </conditionalFormatting>
  <conditionalFormatting sqref="C1060:C1074">
    <cfRule type="duplicateValues" dxfId="160" priority="127920"/>
  </conditionalFormatting>
  <conditionalFormatting sqref="C1075">
    <cfRule type="duplicateValues" dxfId="159" priority="252"/>
  </conditionalFormatting>
  <conditionalFormatting sqref="C1076:C1084">
    <cfRule type="duplicateValues" dxfId="158" priority="128964"/>
  </conditionalFormatting>
  <conditionalFormatting sqref="C1076:C1085">
    <cfRule type="duplicateValues" dxfId="157" priority="128962"/>
  </conditionalFormatting>
  <conditionalFormatting sqref="C1086:C1088">
    <cfRule type="duplicateValues" dxfId="156" priority="253"/>
  </conditionalFormatting>
  <conditionalFormatting sqref="C1089:C1103">
    <cfRule type="duplicateValues" dxfId="155" priority="127890"/>
  </conditionalFormatting>
  <conditionalFormatting sqref="C1105:C1109">
    <cfRule type="duplicateValues" dxfId="154" priority="128250"/>
    <cfRule type="duplicateValues" dxfId="153" priority="128251"/>
  </conditionalFormatting>
  <conditionalFormatting sqref="C1110:C1118 C1104">
    <cfRule type="duplicateValues" dxfId="152" priority="128004"/>
  </conditionalFormatting>
  <conditionalFormatting sqref="C1119:C1125">
    <cfRule type="duplicateValues" dxfId="151" priority="127937"/>
  </conditionalFormatting>
  <conditionalFormatting sqref="C1126">
    <cfRule type="duplicateValues" dxfId="150" priority="233"/>
  </conditionalFormatting>
  <conditionalFormatting sqref="C1127:C1132">
    <cfRule type="duplicateValues" dxfId="149" priority="235"/>
  </conditionalFormatting>
  <conditionalFormatting sqref="C1133">
    <cfRule type="duplicateValues" dxfId="148" priority="113"/>
  </conditionalFormatting>
  <conditionalFormatting sqref="C1133:C1142">
    <cfRule type="duplicateValues" dxfId="147" priority="127913"/>
  </conditionalFormatting>
  <conditionalFormatting sqref="C1133:C1144">
    <cfRule type="duplicateValues" dxfId="146" priority="231"/>
  </conditionalFormatting>
  <conditionalFormatting sqref="C1134:C1135">
    <cfRule type="duplicateValues" dxfId="145" priority="112"/>
  </conditionalFormatting>
  <conditionalFormatting sqref="C1145">
    <cfRule type="duplicateValues" dxfId="144" priority="175"/>
  </conditionalFormatting>
  <conditionalFormatting sqref="C1145:C1154">
    <cfRule type="duplicateValues" dxfId="143" priority="174"/>
  </conditionalFormatting>
  <conditionalFormatting sqref="C1146:C1149">
    <cfRule type="duplicateValues" dxfId="142" priority="176"/>
  </conditionalFormatting>
  <conditionalFormatting sqref="C1150:C1154">
    <cfRule type="duplicateValues" dxfId="141" priority="177"/>
  </conditionalFormatting>
  <conditionalFormatting sqref="C1155">
    <cfRule type="duplicateValues" dxfId="140" priority="173"/>
    <cfRule type="duplicateValues" dxfId="139" priority="219"/>
  </conditionalFormatting>
  <conditionalFormatting sqref="C1156:C1159">
    <cfRule type="duplicateValues" dxfId="138" priority="128294"/>
  </conditionalFormatting>
  <conditionalFormatting sqref="C1156:C1163">
    <cfRule type="duplicateValues" dxfId="137" priority="128292"/>
  </conditionalFormatting>
  <conditionalFormatting sqref="C1164">
    <cfRule type="duplicateValues" dxfId="136" priority="213"/>
  </conditionalFormatting>
  <conditionalFormatting sqref="C1165:C1170">
    <cfRule type="duplicateValues" dxfId="135" priority="128014"/>
  </conditionalFormatting>
  <conditionalFormatting sqref="C1165:C1172">
    <cfRule type="duplicateValues" dxfId="134" priority="128005"/>
  </conditionalFormatting>
  <conditionalFormatting sqref="C1173">
    <cfRule type="duplicateValues" dxfId="133" priority="76"/>
  </conditionalFormatting>
  <conditionalFormatting sqref="C1173:C1182">
    <cfRule type="duplicateValues" dxfId="132" priority="72"/>
    <cfRule type="duplicateValues" dxfId="131" priority="73"/>
  </conditionalFormatting>
  <conditionalFormatting sqref="C1174:C1177">
    <cfRule type="duplicateValues" dxfId="130" priority="74"/>
  </conditionalFormatting>
  <conditionalFormatting sqref="C1178:C1182">
    <cfRule type="duplicateValues" dxfId="129" priority="75"/>
  </conditionalFormatting>
  <conditionalFormatting sqref="C1183">
    <cfRule type="duplicateValues" dxfId="128" priority="207"/>
  </conditionalFormatting>
  <conditionalFormatting sqref="C1184:C1189">
    <cfRule type="duplicateValues" dxfId="127" priority="128569"/>
  </conditionalFormatting>
  <conditionalFormatting sqref="C1189:C1193">
    <cfRule type="duplicateValues" dxfId="126" priority="211"/>
  </conditionalFormatting>
  <conditionalFormatting sqref="C1197:C1198">
    <cfRule type="duplicateValues" dxfId="125" priority="89"/>
  </conditionalFormatting>
  <conditionalFormatting sqref="C1211">
    <cfRule type="duplicateValues" dxfId="124" priority="193"/>
  </conditionalFormatting>
  <conditionalFormatting sqref="C1212:C1218">
    <cfRule type="duplicateValues" dxfId="123" priority="196"/>
  </conditionalFormatting>
  <conditionalFormatting sqref="C1212:C1223">
    <cfRule type="duplicateValues" dxfId="122" priority="194"/>
  </conditionalFormatting>
  <conditionalFormatting sqref="C1219:C1223">
    <cfRule type="duplicateValues" dxfId="121" priority="197"/>
  </conditionalFormatting>
  <conditionalFormatting sqref="C1224">
    <cfRule type="duplicateValues" dxfId="120" priority="188"/>
  </conditionalFormatting>
  <conditionalFormatting sqref="C1225:C1240">
    <cfRule type="duplicateValues" dxfId="119" priority="129032"/>
  </conditionalFormatting>
  <conditionalFormatting sqref="C1225:C1242">
    <cfRule type="duplicateValues" dxfId="118" priority="129030"/>
    <cfRule type="duplicateValues" dxfId="117" priority="129034"/>
  </conditionalFormatting>
  <conditionalFormatting sqref="C1243:C1253">
    <cfRule type="duplicateValues" dxfId="116" priority="186"/>
    <cfRule type="duplicateValues" dxfId="115" priority="187"/>
  </conditionalFormatting>
  <conditionalFormatting sqref="C1254">
    <cfRule type="duplicateValues" dxfId="114" priority="180"/>
  </conditionalFormatting>
  <conditionalFormatting sqref="C1255:C1264">
    <cfRule type="duplicateValues" dxfId="113" priority="183"/>
    <cfRule type="duplicateValues" dxfId="112" priority="184"/>
  </conditionalFormatting>
  <conditionalFormatting sqref="C1266:C1267">
    <cfRule type="duplicateValues" dxfId="111" priority="128067"/>
    <cfRule type="duplicateValues" dxfId="110" priority="128069"/>
  </conditionalFormatting>
  <conditionalFormatting sqref="C1268:C1272 C1265">
    <cfRule type="duplicateValues" dxfId="109" priority="181"/>
    <cfRule type="duplicateValues" dxfId="108" priority="182"/>
  </conditionalFormatting>
  <conditionalFormatting sqref="C1273:C1293">
    <cfRule type="duplicateValues" dxfId="107" priority="128153"/>
    <cfRule type="duplicateValues" dxfId="106" priority="128155"/>
  </conditionalFormatting>
  <conditionalFormatting sqref="C1280 C1282 C1284:C1290 C1274:C1278">
    <cfRule type="duplicateValues" dxfId="105" priority="101"/>
    <cfRule type="duplicateValues" dxfId="104" priority="102"/>
  </conditionalFormatting>
  <conditionalFormatting sqref="C1294:C1298">
    <cfRule type="duplicateValues" dxfId="103" priority="158"/>
  </conditionalFormatting>
  <conditionalFormatting sqref="C1294:C1303">
    <cfRule type="duplicateValues" dxfId="102" priority="159"/>
    <cfRule type="duplicateValues" dxfId="101" priority="160"/>
  </conditionalFormatting>
  <conditionalFormatting sqref="C1304:C1318">
    <cfRule type="duplicateValues" dxfId="100" priority="156"/>
    <cfRule type="duplicateValues" dxfId="99" priority="157"/>
  </conditionalFormatting>
  <conditionalFormatting sqref="C1319:C1331">
    <cfRule type="duplicateValues" dxfId="98" priority="152"/>
    <cfRule type="duplicateValues" dxfId="97" priority="153"/>
    <cfRule type="duplicateValues" dxfId="96" priority="154"/>
  </conditionalFormatting>
  <conditionalFormatting sqref="C1332">
    <cfRule type="duplicateValues" dxfId="95" priority="146"/>
    <cfRule type="duplicateValues" dxfId="94" priority="147"/>
    <cfRule type="duplicateValues" dxfId="93" priority="148"/>
  </conditionalFormatting>
  <conditionalFormatting sqref="C1344:C1348 C1333:C1337">
    <cfRule type="duplicateValues" dxfId="92" priority="150"/>
    <cfRule type="duplicateValues" dxfId="91" priority="151"/>
  </conditionalFormatting>
  <conditionalFormatting sqref="C1349">
    <cfRule type="duplicateValues" dxfId="90" priority="140"/>
    <cfRule type="duplicateValues" dxfId="89" priority="141"/>
    <cfRule type="duplicateValues" dxfId="88" priority="142"/>
  </conditionalFormatting>
  <conditionalFormatting sqref="C1350:C1365">
    <cfRule type="duplicateValues" dxfId="87" priority="143"/>
    <cfRule type="duplicateValues" dxfId="86" priority="144"/>
    <cfRule type="duplicateValues" dxfId="85" priority="145"/>
  </conditionalFormatting>
  <conditionalFormatting sqref="C1366:C1373">
    <cfRule type="duplicateValues" dxfId="84" priority="138"/>
    <cfRule type="duplicateValues" dxfId="83" priority="139"/>
  </conditionalFormatting>
  <conditionalFormatting sqref="C1374:C1381">
    <cfRule type="duplicateValues" dxfId="82" priority="135"/>
    <cfRule type="duplicateValues" dxfId="81" priority="136"/>
  </conditionalFormatting>
  <conditionalFormatting sqref="C1382">
    <cfRule type="duplicateValues" dxfId="80" priority="105"/>
    <cfRule type="duplicateValues" dxfId="79" priority="106"/>
  </conditionalFormatting>
  <conditionalFormatting sqref="C1383:C1391">
    <cfRule type="duplicateValues" dxfId="78" priority="103"/>
    <cfRule type="duplicateValues" dxfId="77" priority="104"/>
  </conditionalFormatting>
  <conditionalFormatting sqref="C1392:C1395">
    <cfRule type="duplicateValues" dxfId="76" priority="107"/>
    <cfRule type="duplicateValues" dxfId="75" priority="108"/>
  </conditionalFormatting>
  <conditionalFormatting sqref="C1396">
    <cfRule type="duplicateValues" dxfId="74" priority="95"/>
    <cfRule type="duplicateValues" dxfId="73" priority="96"/>
  </conditionalFormatting>
  <conditionalFormatting sqref="C1397:C1405">
    <cfRule type="duplicateValues" dxfId="72" priority="93"/>
    <cfRule type="duplicateValues" dxfId="71" priority="94"/>
  </conditionalFormatting>
  <conditionalFormatting sqref="C1406:C1409">
    <cfRule type="duplicateValues" dxfId="70" priority="97"/>
    <cfRule type="duplicateValues" dxfId="69" priority="98"/>
  </conditionalFormatting>
  <conditionalFormatting sqref="C1410:C1417">
    <cfRule type="duplicateValues" dxfId="68" priority="90"/>
    <cfRule type="duplicateValues" dxfId="67" priority="91"/>
  </conditionalFormatting>
  <conditionalFormatting sqref="C1418">
    <cfRule type="duplicateValues" dxfId="66" priority="83"/>
    <cfRule type="duplicateValues" dxfId="65" priority="84"/>
  </conditionalFormatting>
  <conditionalFormatting sqref="C1419:C1420">
    <cfRule type="duplicateValues" dxfId="64" priority="88"/>
  </conditionalFormatting>
  <conditionalFormatting sqref="C1419:C1424">
    <cfRule type="duplicateValues" dxfId="63" priority="85"/>
    <cfRule type="duplicateValues" dxfId="62" priority="86"/>
    <cfRule type="duplicateValues" dxfId="61" priority="87"/>
  </conditionalFormatting>
  <conditionalFormatting sqref="C1425">
    <cfRule type="duplicateValues" dxfId="60" priority="77"/>
    <cfRule type="duplicateValues" dxfId="59" priority="78"/>
  </conditionalFormatting>
  <conditionalFormatting sqref="C1426:C1427">
    <cfRule type="duplicateValues" dxfId="58" priority="82"/>
  </conditionalFormatting>
  <conditionalFormatting sqref="C1426:C1431">
    <cfRule type="duplicateValues" dxfId="57" priority="79"/>
    <cfRule type="duplicateValues" dxfId="56" priority="80"/>
    <cfRule type="duplicateValues" dxfId="55" priority="81"/>
  </conditionalFormatting>
  <conditionalFormatting sqref="C1444:C1445">
    <cfRule type="duplicateValues" dxfId="54" priority="129317"/>
    <cfRule type="duplicateValues" dxfId="53" priority="129318"/>
  </conditionalFormatting>
  <conditionalFormatting sqref="C1444:C1449">
    <cfRule type="duplicateValues" dxfId="52" priority="39"/>
  </conditionalFormatting>
  <conditionalFormatting sqref="C1444:C1451">
    <cfRule type="duplicateValues" dxfId="51" priority="36"/>
    <cfRule type="duplicateValues" dxfId="50" priority="37"/>
    <cfRule type="duplicateValues" dxfId="49" priority="38"/>
    <cfRule type="duplicateValues" dxfId="48" priority="129319"/>
    <cfRule type="duplicateValues" dxfId="47" priority="129320"/>
  </conditionalFormatting>
  <conditionalFormatting sqref="C1452">
    <cfRule type="duplicateValues" dxfId="46" priority="27"/>
    <cfRule type="duplicateValues" dxfId="45" priority="28"/>
    <cfRule type="duplicateValues" dxfId="44" priority="29"/>
    <cfRule type="duplicateValues" dxfId="43" priority="30"/>
    <cfRule type="duplicateValues" dxfId="42" priority="31"/>
  </conditionalFormatting>
  <conditionalFormatting sqref="C1456:C1457">
    <cfRule type="duplicateValues" dxfId="41" priority="25"/>
    <cfRule type="duplicateValues" dxfId="40" priority="26"/>
  </conditionalFormatting>
  <conditionalFormatting sqref="C1456:C1461">
    <cfRule type="duplicateValues" dxfId="39" priority="22"/>
  </conditionalFormatting>
  <conditionalFormatting sqref="C1456:C1463">
    <cfRule type="duplicateValues" dxfId="38" priority="19"/>
    <cfRule type="duplicateValues" dxfId="37" priority="20"/>
    <cfRule type="duplicateValues" dxfId="36" priority="21"/>
    <cfRule type="duplicateValues" dxfId="35" priority="23"/>
    <cfRule type="duplicateValues" dxfId="34" priority="24"/>
  </conditionalFormatting>
  <conditionalFormatting sqref="C1464">
    <cfRule type="duplicateValues" dxfId="33" priority="14"/>
    <cfRule type="duplicateValues" dxfId="32" priority="15"/>
    <cfRule type="duplicateValues" dxfId="31" priority="16"/>
    <cfRule type="duplicateValues" dxfId="30" priority="17"/>
    <cfRule type="duplicateValues" dxfId="29" priority="18"/>
  </conditionalFormatting>
  <conditionalFormatting sqref="C1477:C1048576 C1432:C1440 C1110:C1172 C170:C198 G625 C626:C692 C1183:C1318 C960:C1104 C441:C624 C218:C439 C1:C162 C719:C950">
    <cfRule type="duplicateValues" dxfId="28" priority="128179"/>
  </conditionalFormatting>
  <conditionalFormatting sqref="C1477:C1048576 C1432:C1440 C1155:C1172 C938:C950 C1110:C1144 C1183:C1210 C779:C936 C170:C198 G625 C626:C692 C960:C1104 C441:C624 C218:C439 C1:C162 C719:C768">
    <cfRule type="duplicateValues" dxfId="27" priority="128169"/>
  </conditionalFormatting>
  <conditionalFormatting sqref="C890:C894">
    <cfRule type="duplicateValues" dxfId="26" priority="129321"/>
  </conditionalFormatting>
  <conditionalFormatting sqref="C1338:C1343">
    <cfRule type="duplicateValues" dxfId="25" priority="129322"/>
    <cfRule type="duplicateValues" dxfId="24" priority="129323"/>
  </conditionalFormatting>
  <conditionalFormatting sqref="C732:C749">
    <cfRule type="duplicateValues" dxfId="23" priority="129406"/>
  </conditionalFormatting>
  <conditionalFormatting sqref="C952">
    <cfRule type="duplicateValues" dxfId="22" priority="129408"/>
    <cfRule type="duplicateValues" dxfId="21" priority="129409"/>
    <cfRule type="duplicateValues" dxfId="20" priority="129410"/>
  </conditionalFormatting>
  <conditionalFormatting sqref="C119:C132">
    <cfRule type="duplicateValues" dxfId="19" priority="129411"/>
  </conditionalFormatting>
  <conditionalFormatting sqref="C1432">
    <cfRule type="duplicateValues" dxfId="18" priority="129412"/>
    <cfRule type="duplicateValues" dxfId="17" priority="129413"/>
  </conditionalFormatting>
  <conditionalFormatting sqref="C1433:C1435">
    <cfRule type="duplicateValues" dxfId="16" priority="129414"/>
  </conditionalFormatting>
  <conditionalFormatting sqref="C1433:C1440">
    <cfRule type="duplicateValues" dxfId="15" priority="129415"/>
    <cfRule type="duplicateValues" dxfId="14" priority="129416"/>
    <cfRule type="duplicateValues" dxfId="13" priority="129417"/>
  </conditionalFormatting>
  <conditionalFormatting sqref="C1468:C1469">
    <cfRule type="duplicateValues" dxfId="12" priority="12"/>
    <cfRule type="duplicateValues" dxfId="11" priority="13"/>
  </conditionalFormatting>
  <conditionalFormatting sqref="C1468:C1473">
    <cfRule type="duplicateValues" dxfId="10" priority="11"/>
  </conditionalFormatting>
  <conditionalFormatting sqref="C1468:C1475">
    <cfRule type="duplicateValues" dxfId="9" priority="6"/>
    <cfRule type="duplicateValues" dxfId="8" priority="7"/>
    <cfRule type="duplicateValues" dxfId="7" priority="8"/>
    <cfRule type="duplicateValues" dxfId="6" priority="9"/>
    <cfRule type="duplicateValues" dxfId="5" priority="10"/>
  </conditionalFormatting>
  <conditionalFormatting sqref="C1476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AO77"/>
  <sheetViews>
    <sheetView topLeftCell="B1" workbookViewId="0">
      <pane ySplit="2" topLeftCell="A3" activePane="bottomLeft" state="frozen"/>
      <selection pane="bottomLeft" activeCell="AC14" sqref="AC14"/>
    </sheetView>
  </sheetViews>
  <sheetFormatPr defaultColWidth="9" defaultRowHeight="15"/>
  <cols>
    <col min="1" max="1" width="4" style="6" customWidth="1"/>
    <col min="2" max="2" width="8.625" style="7" customWidth="1"/>
    <col min="3" max="4" width="9.625" style="8" customWidth="1"/>
    <col min="5" max="27" width="5.625" style="9" customWidth="1"/>
    <col min="28" max="28" width="5.625" style="10" customWidth="1"/>
    <col min="29" max="38" width="5.625" style="9" customWidth="1"/>
    <col min="39" max="39" width="9.75" style="11" customWidth="1"/>
    <col min="40" max="40" width="6" style="8" customWidth="1"/>
    <col min="41" max="16384" width="9" style="8"/>
  </cols>
  <sheetData>
    <row r="1" spans="1:41" s="1" customFormat="1" ht="46.5" customHeight="1">
      <c r="A1" s="12"/>
      <c r="B1" s="13"/>
      <c r="C1" s="14"/>
      <c r="D1" s="15">
        <v>10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7"/>
      <c r="U1" s="16"/>
      <c r="V1" s="16"/>
      <c r="W1" s="16"/>
      <c r="X1" s="16"/>
      <c r="Y1" s="16"/>
      <c r="Z1" s="16"/>
      <c r="AA1" s="16"/>
      <c r="AB1" s="18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9"/>
      <c r="AN1" s="20"/>
    </row>
    <row r="2" spans="1:41" s="2" customFormat="1" ht="27" customHeight="1">
      <c r="A2" s="21" t="s">
        <v>752</v>
      </c>
      <c r="B2" s="22" t="s">
        <v>648</v>
      </c>
      <c r="C2" s="23" t="s">
        <v>753</v>
      </c>
      <c r="D2" s="24" t="s">
        <v>754</v>
      </c>
      <c r="E2" s="25">
        <f>DATE(2026,$D$1,1)-1</f>
        <v>46295</v>
      </c>
      <c r="F2" s="25">
        <f>DATE(2026,$D$1,1)</f>
        <v>46296</v>
      </c>
      <c r="G2" s="25">
        <f>+F2+1</f>
        <v>46297</v>
      </c>
      <c r="H2" s="25">
        <f t="shared" ref="H2:AL2" si="0">+G2+1</f>
        <v>46298</v>
      </c>
      <c r="I2" s="25">
        <f t="shared" si="0"/>
        <v>46299</v>
      </c>
      <c r="J2" s="25">
        <f t="shared" si="0"/>
        <v>46300</v>
      </c>
      <c r="K2" s="25">
        <f t="shared" si="0"/>
        <v>46301</v>
      </c>
      <c r="L2" s="25">
        <f t="shared" si="0"/>
        <v>46302</v>
      </c>
      <c r="M2" s="25">
        <f t="shared" si="0"/>
        <v>46303</v>
      </c>
      <c r="N2" s="25">
        <f t="shared" si="0"/>
        <v>46304</v>
      </c>
      <c r="O2" s="25">
        <f t="shared" si="0"/>
        <v>46305</v>
      </c>
      <c r="P2" s="25">
        <f t="shared" si="0"/>
        <v>46306</v>
      </c>
      <c r="Q2" s="25">
        <f t="shared" si="0"/>
        <v>46307</v>
      </c>
      <c r="R2" s="25">
        <f t="shared" si="0"/>
        <v>46308</v>
      </c>
      <c r="S2" s="25">
        <f t="shared" si="0"/>
        <v>46309</v>
      </c>
      <c r="T2" s="25">
        <f t="shared" si="0"/>
        <v>46310</v>
      </c>
      <c r="U2" s="25">
        <f t="shared" si="0"/>
        <v>46311</v>
      </c>
      <c r="V2" s="25">
        <f t="shared" si="0"/>
        <v>46312</v>
      </c>
      <c r="W2" s="25">
        <f t="shared" si="0"/>
        <v>46313</v>
      </c>
      <c r="X2" s="25">
        <f t="shared" si="0"/>
        <v>46314</v>
      </c>
      <c r="Y2" s="25">
        <f>+X2+1</f>
        <v>46315</v>
      </c>
      <c r="Z2" s="25">
        <f>+Y2+1</f>
        <v>46316</v>
      </c>
      <c r="AA2" s="25">
        <f t="shared" si="0"/>
        <v>46317</v>
      </c>
      <c r="AB2" s="25">
        <f t="shared" si="0"/>
        <v>46318</v>
      </c>
      <c r="AC2" s="25">
        <f t="shared" si="0"/>
        <v>46319</v>
      </c>
      <c r="AD2" s="25">
        <f t="shared" si="0"/>
        <v>46320</v>
      </c>
      <c r="AE2" s="25">
        <f t="shared" si="0"/>
        <v>46321</v>
      </c>
      <c r="AF2" s="25">
        <f t="shared" si="0"/>
        <v>46322</v>
      </c>
      <c r="AG2" s="25">
        <f t="shared" si="0"/>
        <v>46323</v>
      </c>
      <c r="AH2" s="25">
        <f t="shared" si="0"/>
        <v>46324</v>
      </c>
      <c r="AI2" s="25">
        <f t="shared" si="0"/>
        <v>46325</v>
      </c>
      <c r="AJ2" s="25">
        <f t="shared" si="0"/>
        <v>46326</v>
      </c>
      <c r="AK2" s="25">
        <f t="shared" si="0"/>
        <v>46327</v>
      </c>
      <c r="AL2" s="25">
        <f t="shared" si="0"/>
        <v>46328</v>
      </c>
      <c r="AM2" s="26"/>
    </row>
    <row r="3" spans="1:41" s="3" customFormat="1">
      <c r="A3" s="27">
        <v>1</v>
      </c>
      <c r="B3" s="28" t="s">
        <v>23</v>
      </c>
      <c r="C3" s="29" t="s">
        <v>24</v>
      </c>
      <c r="D3" s="30">
        <f>SUM(F3:AL3)</f>
        <v>0</v>
      </c>
      <c r="E3" s="31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3"/>
      <c r="AM3" s="34">
        <f>SUMIF('Nhập kho  입'!A:A,'gia công'!B:B,'Nhập kho  입'!E:E)</f>
        <v>0</v>
      </c>
      <c r="AN3" s="35">
        <f>+D3-AM3</f>
        <v>0</v>
      </c>
    </row>
    <row r="4" spans="1:41" s="3" customFormat="1">
      <c r="A4" s="27">
        <v>2</v>
      </c>
      <c r="B4" s="28" t="s">
        <v>209</v>
      </c>
      <c r="C4" s="29" t="s">
        <v>210</v>
      </c>
      <c r="D4" s="30">
        <f>SUM(F4:AL4)</f>
        <v>30650</v>
      </c>
      <c r="E4" s="31"/>
      <c r="F4" s="32"/>
      <c r="G4" s="32"/>
      <c r="H4" s="32">
        <v>2400</v>
      </c>
      <c r="I4" s="32"/>
      <c r="J4" s="32">
        <f>2400+2400</f>
        <v>4800</v>
      </c>
      <c r="K4" s="32"/>
      <c r="L4" s="32">
        <v>2400</v>
      </c>
      <c r="M4" s="32">
        <v>2400</v>
      </c>
      <c r="N4" s="32">
        <f>2400+2400</f>
        <v>4800</v>
      </c>
      <c r="O4" s="32"/>
      <c r="P4" s="32"/>
      <c r="Q4" s="32">
        <v>2400</v>
      </c>
      <c r="R4" s="32">
        <v>1850</v>
      </c>
      <c r="S4" s="32"/>
      <c r="T4" s="32"/>
      <c r="U4" s="32">
        <v>2400</v>
      </c>
      <c r="V4" s="32">
        <v>2400</v>
      </c>
      <c r="W4" s="32"/>
      <c r="X4" s="32">
        <v>2400</v>
      </c>
      <c r="Y4" s="32">
        <v>2400</v>
      </c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3"/>
      <c r="AM4" s="34">
        <f>SUMIF('Nhập kho  입'!A:A,'gia công'!B:B,'Nhập kho  입'!E:E)</f>
        <v>30650</v>
      </c>
      <c r="AN4" s="35">
        <f>+D4-AM4</f>
        <v>0</v>
      </c>
    </row>
    <row r="5" spans="1:41" s="3" customFormat="1">
      <c r="A5" s="27">
        <v>3</v>
      </c>
      <c r="B5" s="28" t="s">
        <v>85</v>
      </c>
      <c r="C5" s="29" t="s">
        <v>86</v>
      </c>
      <c r="D5" s="30">
        <f>SUM(F5:AL5)</f>
        <v>14550</v>
      </c>
      <c r="E5" s="31">
        <v>7200</v>
      </c>
      <c r="F5" s="32">
        <f>2400+2400</f>
        <v>4800</v>
      </c>
      <c r="G5" s="32"/>
      <c r="H5" s="32"/>
      <c r="I5" s="32"/>
      <c r="J5" s="32"/>
      <c r="K5" s="32">
        <v>150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>
        <v>2400</v>
      </c>
      <c r="Y5" s="32">
        <v>2400</v>
      </c>
      <c r="Z5" s="32">
        <f>2400+2400</f>
        <v>4800</v>
      </c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3"/>
      <c r="AM5" s="34">
        <f>SUMIF('Nhập kho  입'!A:A,'gia công'!B:B,'Nhập kho  입'!E:E)</f>
        <v>14550</v>
      </c>
      <c r="AN5" s="35">
        <f>+D5-AM5</f>
        <v>0</v>
      </c>
    </row>
    <row r="6" spans="1:41" s="3" customFormat="1">
      <c r="A6" s="27">
        <v>4</v>
      </c>
      <c r="B6" s="28" t="s">
        <v>358</v>
      </c>
      <c r="C6" s="29" t="s">
        <v>359</v>
      </c>
      <c r="D6" s="30">
        <f>SUM(F6:AL6)</f>
        <v>50400</v>
      </c>
      <c r="E6" s="31">
        <v>7200</v>
      </c>
      <c r="F6" s="32">
        <v>3600</v>
      </c>
      <c r="G6" s="32">
        <v>3600</v>
      </c>
      <c r="H6" s="32"/>
      <c r="I6" s="32"/>
      <c r="J6" s="32">
        <v>3600</v>
      </c>
      <c r="K6" s="32">
        <v>3600</v>
      </c>
      <c r="L6" s="32"/>
      <c r="M6" s="32">
        <v>3600</v>
      </c>
      <c r="N6" s="32">
        <v>3600</v>
      </c>
      <c r="O6" s="32"/>
      <c r="P6" s="32"/>
      <c r="Q6" s="32">
        <v>3600</v>
      </c>
      <c r="R6" s="32">
        <v>3600</v>
      </c>
      <c r="S6" s="32"/>
      <c r="T6" s="32">
        <v>7200</v>
      </c>
      <c r="U6" s="32">
        <v>3600</v>
      </c>
      <c r="V6" s="32"/>
      <c r="W6" s="32"/>
      <c r="X6" s="32">
        <v>3600</v>
      </c>
      <c r="Y6" s="32">
        <v>3600</v>
      </c>
      <c r="Z6" s="32">
        <v>3600</v>
      </c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3"/>
      <c r="AM6" s="34">
        <f>SUMIF('Nhập kho  입'!A:A,'gia công'!B:B,'Nhập kho  입'!E:E)</f>
        <v>74100</v>
      </c>
      <c r="AN6" s="35">
        <f>+D6-AM6</f>
        <v>-23700</v>
      </c>
    </row>
    <row r="7" spans="1:41" s="3" customFormat="1">
      <c r="A7" s="27">
        <v>5</v>
      </c>
      <c r="B7" s="28" t="s">
        <v>279</v>
      </c>
      <c r="C7" s="29" t="s">
        <v>280</v>
      </c>
      <c r="D7" s="30">
        <f>SUM(F7:AL7)</f>
        <v>3600</v>
      </c>
      <c r="E7" s="31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>
        <v>3600</v>
      </c>
      <c r="S7" s="32"/>
      <c r="T7" s="32"/>
      <c r="U7" s="32"/>
      <c r="V7" s="32"/>
      <c r="W7" s="32"/>
      <c r="X7" s="32">
        <v>3600</v>
      </c>
      <c r="Y7" s="32"/>
      <c r="Z7" s="32">
        <v>-3600</v>
      </c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3"/>
      <c r="AM7" s="34">
        <f>SUMIF('Nhập kho  입'!A:A,'gia công'!B:B,'Nhập kho  입'!E:E)</f>
        <v>3600</v>
      </c>
      <c r="AN7" s="35">
        <f>+D7-AM7</f>
        <v>0</v>
      </c>
    </row>
    <row r="8" spans="1:41" s="3" customFormat="1">
      <c r="A8" s="27">
        <v>6</v>
      </c>
      <c r="B8" s="28" t="s">
        <v>281</v>
      </c>
      <c r="C8" s="29" t="s">
        <v>280</v>
      </c>
      <c r="D8" s="30">
        <f>SUM(F8:AL8)</f>
        <v>0</v>
      </c>
      <c r="E8" s="31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3"/>
      <c r="AM8" s="34">
        <f>SUMIF('Nhập kho  입'!A:A,'gia công'!B:B,'Nhập kho  입'!E:E)</f>
        <v>0</v>
      </c>
      <c r="AN8" s="35">
        <f>+D8-AM8</f>
        <v>0</v>
      </c>
    </row>
    <row r="9" spans="1:41" s="3" customFormat="1">
      <c r="A9" s="27">
        <v>7</v>
      </c>
      <c r="B9" s="28" t="s">
        <v>282</v>
      </c>
      <c r="C9" s="29" t="s">
        <v>280</v>
      </c>
      <c r="D9" s="30">
        <f>SUM(F9:AL9)</f>
        <v>0</v>
      </c>
      <c r="E9" s="31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3"/>
      <c r="AM9" s="34">
        <f>SUMIF('Nhập kho  입'!A:A,'gia công'!B:B,'Nhập kho  입'!E:E)</f>
        <v>0</v>
      </c>
      <c r="AN9" s="35">
        <f>+D9-AM9</f>
        <v>0</v>
      </c>
    </row>
    <row r="10" spans="1:41" s="3" customFormat="1">
      <c r="A10" s="27">
        <v>8</v>
      </c>
      <c r="B10" s="28" t="s">
        <v>1087</v>
      </c>
      <c r="C10" s="29" t="s">
        <v>464</v>
      </c>
      <c r="D10" s="30">
        <f>SUM(F10:AL10)</f>
        <v>0</v>
      </c>
      <c r="E10" s="31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3"/>
      <c r="AM10" s="34">
        <f>SUMIF('Nhập kho  입'!A:A,'gia công'!B:B,'Nhập kho  입'!E:E)</f>
        <v>16750</v>
      </c>
      <c r="AN10" s="35">
        <f>+D10-AM10-AO10</f>
        <v>-16750</v>
      </c>
      <c r="AO10" s="35"/>
    </row>
    <row r="11" spans="1:41" s="3" customFormat="1">
      <c r="A11" s="27">
        <v>9</v>
      </c>
      <c r="B11" s="28" t="s">
        <v>458</v>
      </c>
      <c r="C11" s="29" t="s">
        <v>459</v>
      </c>
      <c r="D11" s="30">
        <f>SUM(F11:AL11)</f>
        <v>26550</v>
      </c>
      <c r="E11" s="31">
        <v>7200</v>
      </c>
      <c r="F11" s="32">
        <v>3600</v>
      </c>
      <c r="G11" s="32">
        <v>3600</v>
      </c>
      <c r="H11" s="32"/>
      <c r="I11" s="32"/>
      <c r="J11" s="32"/>
      <c r="K11" s="32">
        <f>3600+3600</f>
        <v>7200</v>
      </c>
      <c r="L11" s="32">
        <v>3600</v>
      </c>
      <c r="M11" s="32"/>
      <c r="N11" s="32">
        <v>3600</v>
      </c>
      <c r="O11" s="32"/>
      <c r="P11" s="32"/>
      <c r="Q11" s="32"/>
      <c r="R11" s="32">
        <v>3600</v>
      </c>
      <c r="S11" s="32"/>
      <c r="T11" s="32"/>
      <c r="U11" s="32">
        <v>1350</v>
      </c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3"/>
      <c r="AM11" s="34">
        <f>SUMIF('Nhập kho  입'!A:A,'gia công'!B:B,'Nhập kho  입'!E:E)</f>
        <v>26550</v>
      </c>
      <c r="AN11" s="35">
        <f>+D11-AM11</f>
        <v>0</v>
      </c>
    </row>
    <row r="12" spans="1:41" s="3" customFormat="1">
      <c r="A12" s="27">
        <v>10</v>
      </c>
      <c r="B12" s="28" t="s">
        <v>1152</v>
      </c>
      <c r="C12" s="29" t="s">
        <v>76</v>
      </c>
      <c r="D12" s="30">
        <f>SUM(F12:AL12)</f>
        <v>21600</v>
      </c>
      <c r="E12" s="31">
        <v>7200</v>
      </c>
      <c r="F12" s="32">
        <v>3600</v>
      </c>
      <c r="G12" s="32"/>
      <c r="H12" s="32"/>
      <c r="I12" s="32"/>
      <c r="J12" s="32"/>
      <c r="K12" s="32"/>
      <c r="L12" s="32"/>
      <c r="M12" s="32"/>
      <c r="N12" s="32">
        <v>3600</v>
      </c>
      <c r="O12" s="32"/>
      <c r="P12" s="32"/>
      <c r="Q12" s="32"/>
      <c r="R12" s="32"/>
      <c r="S12" s="32">
        <f>3600+3600</f>
        <v>7200</v>
      </c>
      <c r="T12" s="32"/>
      <c r="U12" s="32"/>
      <c r="V12" s="32">
        <v>3600</v>
      </c>
      <c r="W12" s="32"/>
      <c r="X12" s="32">
        <v>3600</v>
      </c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3"/>
      <c r="AM12" s="34">
        <f>SUMIF('Nhập kho  입'!A:A,'gia công'!B:B,'Nhập kho  입'!E:E)</f>
        <v>21600</v>
      </c>
      <c r="AN12" s="35">
        <f>+D12-AM12</f>
        <v>0</v>
      </c>
    </row>
    <row r="13" spans="1:41" s="3" customFormat="1">
      <c r="A13" s="27">
        <v>11</v>
      </c>
      <c r="B13" s="28" t="s">
        <v>348</v>
      </c>
      <c r="C13" s="29" t="s">
        <v>349</v>
      </c>
      <c r="D13" s="30">
        <f>SUM(F13:AL13)</f>
        <v>0</v>
      </c>
      <c r="E13" s="31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3"/>
      <c r="AM13" s="34">
        <f>SUMIF('Nhập kho  입'!A:A,'gia công'!B:B,'Nhập kho  입'!E:E)</f>
        <v>7850</v>
      </c>
      <c r="AN13" s="35">
        <f>+D13-AM13</f>
        <v>-7850</v>
      </c>
    </row>
    <row r="14" spans="1:41" s="3" customFormat="1">
      <c r="A14" s="27">
        <v>12</v>
      </c>
      <c r="B14" s="28" t="s">
        <v>89</v>
      </c>
      <c r="C14" s="29" t="s">
        <v>90</v>
      </c>
      <c r="D14" s="30">
        <f>SUM(F14:AL14)</f>
        <v>0</v>
      </c>
      <c r="E14" s="31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3"/>
      <c r="AM14" s="34">
        <f>SUMIF('Nhập kho  입'!A:A,'gia công'!B:B,'Nhập kho  입'!E:E)</f>
        <v>0</v>
      </c>
      <c r="AN14" s="35">
        <f>+D14-AM14</f>
        <v>0</v>
      </c>
    </row>
    <row r="15" spans="1:41" s="3" customFormat="1">
      <c r="A15" s="27">
        <v>13</v>
      </c>
      <c r="B15" s="28" t="s">
        <v>427</v>
      </c>
      <c r="C15" s="29" t="s">
        <v>428</v>
      </c>
      <c r="D15" s="30">
        <f>SUM(F15:AL15)</f>
        <v>0</v>
      </c>
      <c r="E15" s="31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3"/>
      <c r="AM15" s="34">
        <f>SUMIF('Nhập kho  입'!A:A,'gia công'!B:B,'Nhập kho  입'!E:E)</f>
        <v>0</v>
      </c>
      <c r="AN15" s="35">
        <f>+D15-AM15</f>
        <v>0</v>
      </c>
    </row>
    <row r="16" spans="1:41" s="3" customFormat="1">
      <c r="A16" s="27">
        <v>14</v>
      </c>
      <c r="B16" s="28" t="s">
        <v>296</v>
      </c>
      <c r="C16" s="29" t="s">
        <v>297</v>
      </c>
      <c r="D16" s="30">
        <f>SUM(F16:AL16)</f>
        <v>8400</v>
      </c>
      <c r="E16" s="31"/>
      <c r="F16" s="32"/>
      <c r="G16" s="32"/>
      <c r="H16" s="32">
        <v>3600</v>
      </c>
      <c r="I16" s="32"/>
      <c r="J16" s="32"/>
      <c r="K16" s="32">
        <v>3600</v>
      </c>
      <c r="L16" s="32"/>
      <c r="M16" s="32">
        <v>1200</v>
      </c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3"/>
      <c r="AM16" s="34">
        <f>SUMIF('Nhập kho  입'!A:A,'gia công'!B:B,'Nhập kho  입'!E:E)</f>
        <v>8400</v>
      </c>
      <c r="AN16" s="35">
        <f>+D16-AM16</f>
        <v>0</v>
      </c>
    </row>
    <row r="17" spans="1:41" s="3" customFormat="1">
      <c r="A17" s="27">
        <v>15</v>
      </c>
      <c r="B17" s="28" t="s">
        <v>397</v>
      </c>
      <c r="C17" s="29" t="s">
        <v>398</v>
      </c>
      <c r="D17" s="30">
        <f>SUM(F17:AL17)</f>
        <v>0</v>
      </c>
      <c r="E17" s="31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3"/>
      <c r="AM17" s="34">
        <f>SUMIF('Nhập kho  입'!A:A,'gia công'!B:B,'Nhập kho  입'!E:E)</f>
        <v>0</v>
      </c>
      <c r="AN17" s="35">
        <f>+D17-AM17</f>
        <v>0</v>
      </c>
    </row>
    <row r="18" spans="1:41" s="3" customFormat="1">
      <c r="A18" s="27">
        <v>16</v>
      </c>
      <c r="B18" s="28" t="s">
        <v>49</v>
      </c>
      <c r="C18" s="29" t="s">
        <v>50</v>
      </c>
      <c r="D18" s="30">
        <f>SUM(F18:AL18)</f>
        <v>11750</v>
      </c>
      <c r="E18" s="31"/>
      <c r="F18" s="32"/>
      <c r="G18" s="32">
        <v>3600</v>
      </c>
      <c r="H18" s="32">
        <v>3600</v>
      </c>
      <c r="I18" s="32"/>
      <c r="J18" s="32"/>
      <c r="K18" s="32"/>
      <c r="L18" s="32"/>
      <c r="M18" s="32">
        <v>3300</v>
      </c>
      <c r="N18" s="32"/>
      <c r="O18" s="32"/>
      <c r="P18" s="32"/>
      <c r="Q18" s="32"/>
      <c r="R18" s="32"/>
      <c r="S18" s="32"/>
      <c r="T18" s="32"/>
      <c r="U18" s="32"/>
      <c r="V18" s="32">
        <v>1250</v>
      </c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3"/>
      <c r="AM18" s="34">
        <f>SUMIF('Nhập kho  입'!A:A,'gia công'!B:B,'Nhập kho  입'!E:E)</f>
        <v>11750</v>
      </c>
      <c r="AN18" s="35">
        <f>+D18-AM18</f>
        <v>0</v>
      </c>
    </row>
    <row r="19" spans="1:41" s="3" customFormat="1">
      <c r="A19" s="27">
        <v>17</v>
      </c>
      <c r="B19" s="28" t="s">
        <v>51</v>
      </c>
      <c r="C19" s="29" t="s">
        <v>50</v>
      </c>
      <c r="D19" s="30">
        <f>SUM(F19:AL19)</f>
        <v>0</v>
      </c>
      <c r="E19" s="36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3"/>
      <c r="AM19" s="34">
        <f>SUMIF('Nhập kho  입'!A:A,'gia công'!B:B,'Nhập kho  입'!E:E)</f>
        <v>0</v>
      </c>
      <c r="AN19" s="35">
        <f>+D19-AM19</f>
        <v>0</v>
      </c>
    </row>
    <row r="20" spans="1:41" s="3" customFormat="1">
      <c r="A20" s="27">
        <v>18</v>
      </c>
      <c r="B20" s="28" t="s">
        <v>46</v>
      </c>
      <c r="C20" s="29" t="s">
        <v>47</v>
      </c>
      <c r="D20" s="30">
        <f>SUM(F20:AL20)</f>
        <v>2850</v>
      </c>
      <c r="E20" s="31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>
        <v>2850</v>
      </c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3"/>
      <c r="AM20" s="34">
        <f>SUMIF('Nhập kho  입'!A:A,'gia công'!B:B,'Nhập kho  입'!E:E)</f>
        <v>2850</v>
      </c>
      <c r="AN20" s="35">
        <f>+D20-AM20</f>
        <v>0</v>
      </c>
    </row>
    <row r="21" spans="1:41" s="3" customFormat="1">
      <c r="A21" s="27">
        <v>19</v>
      </c>
      <c r="B21" s="28" t="s">
        <v>48</v>
      </c>
      <c r="C21" s="29" t="s">
        <v>47</v>
      </c>
      <c r="D21" s="30">
        <f>SUM(F21:AL21)</f>
        <v>3600</v>
      </c>
      <c r="E21" s="31"/>
      <c r="F21" s="32">
        <v>3600</v>
      </c>
      <c r="G21" s="32">
        <v>-3600</v>
      </c>
      <c r="H21" s="32"/>
      <c r="I21" s="32"/>
      <c r="J21" s="32"/>
      <c r="K21" s="32">
        <v>3600</v>
      </c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3"/>
      <c r="AM21" s="34">
        <f>SUMIF('Nhập kho  입'!A:A,'gia công'!B:B,'Nhập kho  입'!E:E)</f>
        <v>3600</v>
      </c>
      <c r="AN21" s="35">
        <f>+D21-AM21</f>
        <v>0</v>
      </c>
    </row>
    <row r="22" spans="1:41" s="3" customFormat="1">
      <c r="A22" s="27">
        <v>20</v>
      </c>
      <c r="B22" s="28" t="s">
        <v>308</v>
      </c>
      <c r="C22" s="29" t="s">
        <v>309</v>
      </c>
      <c r="D22" s="30">
        <f>SUM(F22:AL22)</f>
        <v>0</v>
      </c>
      <c r="E22" s="31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3"/>
      <c r="AM22" s="34">
        <f>SUMIF('Nhập kho  입'!A:A,'gia công'!B:B,'Nhập kho  입'!E:E)</f>
        <v>0</v>
      </c>
      <c r="AN22" s="35">
        <f>+D22-AM22</f>
        <v>0</v>
      </c>
    </row>
    <row r="23" spans="1:41" s="3" customFormat="1">
      <c r="A23" s="27">
        <v>21</v>
      </c>
      <c r="B23" s="28" t="s">
        <v>1476</v>
      </c>
      <c r="C23" s="29" t="s">
        <v>309</v>
      </c>
      <c r="D23" s="30">
        <f>SUM(F23:AL23)</f>
        <v>17280</v>
      </c>
      <c r="E23" s="31"/>
      <c r="F23" s="32"/>
      <c r="G23" s="32"/>
      <c r="H23" s="32"/>
      <c r="I23" s="32"/>
      <c r="J23" s="32"/>
      <c r="K23" s="32">
        <v>2160</v>
      </c>
      <c r="L23" s="32">
        <v>2160</v>
      </c>
      <c r="M23" s="32"/>
      <c r="N23" s="32">
        <v>2160</v>
      </c>
      <c r="O23" s="32"/>
      <c r="P23" s="32"/>
      <c r="Q23" s="32">
        <v>2160</v>
      </c>
      <c r="R23" s="32"/>
      <c r="S23" s="32"/>
      <c r="T23" s="32">
        <v>2160</v>
      </c>
      <c r="U23" s="32">
        <f>2160+2160</f>
        <v>4320</v>
      </c>
      <c r="V23" s="32">
        <v>2160</v>
      </c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3"/>
      <c r="AM23" s="34">
        <f>SUMIF('Nhập kho  입'!A:A,'gia công'!B:B,'Nhập kho  입'!E:E)</f>
        <v>17280</v>
      </c>
      <c r="AN23" s="35">
        <f>+D23-AM23</f>
        <v>0</v>
      </c>
    </row>
    <row r="24" spans="1:41" s="3" customFormat="1">
      <c r="A24" s="27"/>
      <c r="B24" s="28" t="s">
        <v>227</v>
      </c>
      <c r="C24" s="29" t="s">
        <v>228</v>
      </c>
      <c r="D24" s="30">
        <f>SUM(F24:AL24)</f>
        <v>0</v>
      </c>
      <c r="E24" s="31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3"/>
      <c r="AM24" s="34">
        <f>SUMIF('Nhập kho  입'!A:A,'gia công'!B:B,'Nhập kho  입'!E:E)</f>
        <v>5200</v>
      </c>
      <c r="AN24" s="35">
        <f>+D24-AM24</f>
        <v>-5200</v>
      </c>
    </row>
    <row r="25" spans="1:41" s="3" customFormat="1">
      <c r="A25" s="27">
        <v>22</v>
      </c>
      <c r="B25" s="28" t="s">
        <v>229</v>
      </c>
      <c r="C25" s="29" t="s">
        <v>228</v>
      </c>
      <c r="D25" s="30">
        <f>SUM(F25:AL25)</f>
        <v>0</v>
      </c>
      <c r="E25" s="31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3"/>
      <c r="AM25" s="34">
        <f>SUMIF('Nhập kho  입'!A:A,'gia công'!B:B,'Nhập kho  입'!E:E)</f>
        <v>3350</v>
      </c>
      <c r="AN25" s="35">
        <f>+D25-AM25</f>
        <v>-3350</v>
      </c>
    </row>
    <row r="26" spans="1:41" s="3" customFormat="1">
      <c r="A26" s="27">
        <v>23</v>
      </c>
      <c r="B26" s="37" t="s">
        <v>247</v>
      </c>
      <c r="C26" s="29" t="s">
        <v>248</v>
      </c>
      <c r="D26" s="30">
        <f>SUM(F26:AL26)</f>
        <v>0</v>
      </c>
      <c r="E26" s="31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3"/>
      <c r="AM26" s="34">
        <f>SUMIF('Nhập kho  입'!A:A,'gia công'!B:B,'Nhập kho  입'!E:E)</f>
        <v>0</v>
      </c>
      <c r="AN26" s="35">
        <f>+D26-AM26</f>
        <v>0</v>
      </c>
    </row>
    <row r="27" spans="1:41" s="3" customFormat="1">
      <c r="A27" s="27">
        <v>24</v>
      </c>
      <c r="B27" s="37" t="s">
        <v>327</v>
      </c>
      <c r="C27" s="29" t="s">
        <v>328</v>
      </c>
      <c r="D27" s="30">
        <f>SUM(F27:AL27)</f>
        <v>0</v>
      </c>
      <c r="E27" s="31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3"/>
      <c r="AM27" s="34">
        <f>SUMIF('Nhập kho  입'!A:A,'gia công'!B:B,'Nhập kho  입'!E:E)</f>
        <v>0</v>
      </c>
      <c r="AN27" s="35">
        <f>+D27-AM27</f>
        <v>0</v>
      </c>
    </row>
    <row r="28" spans="1:41" s="3" customFormat="1">
      <c r="A28" s="27">
        <v>25</v>
      </c>
      <c r="B28" s="37" t="s">
        <v>329</v>
      </c>
      <c r="C28" s="29" t="s">
        <v>328</v>
      </c>
      <c r="D28" s="30">
        <f>SUM(F28:AL28)</f>
        <v>2050</v>
      </c>
      <c r="E28" s="31"/>
      <c r="F28" s="32"/>
      <c r="G28" s="32"/>
      <c r="H28" s="32"/>
      <c r="I28" s="32"/>
      <c r="J28" s="32"/>
      <c r="K28" s="32"/>
      <c r="L28" s="32">
        <v>2050</v>
      </c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3"/>
      <c r="AM28" s="34">
        <f>SUMIF('Nhập kho  입'!A:A,'gia công'!B:B,'Nhập kho  입'!E:E)</f>
        <v>2050</v>
      </c>
      <c r="AN28" s="35">
        <f>+D28-AM28</f>
        <v>0</v>
      </c>
    </row>
    <row r="29" spans="1:41" s="3" customFormat="1">
      <c r="A29" s="27">
        <v>26</v>
      </c>
      <c r="B29" s="37" t="s">
        <v>16</v>
      </c>
      <c r="C29" s="29" t="s">
        <v>17</v>
      </c>
      <c r="D29" s="30">
        <f>SUM(F29:AL29)</f>
        <v>0</v>
      </c>
      <c r="E29" s="31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3"/>
      <c r="AM29" s="34">
        <f>SUMIF('Nhập kho  입'!A:A,'gia công'!B:B,'Nhập kho  입'!E:E)</f>
        <v>0</v>
      </c>
      <c r="AN29" s="35">
        <f>+D29-AM29</f>
        <v>0</v>
      </c>
    </row>
    <row r="30" spans="1:41" s="3" customFormat="1">
      <c r="A30" s="27">
        <v>27</v>
      </c>
      <c r="B30" s="37" t="s">
        <v>471</v>
      </c>
      <c r="C30" s="29" t="s">
        <v>472</v>
      </c>
      <c r="D30" s="30">
        <f>SUM(F30:AL30)</f>
        <v>9050</v>
      </c>
      <c r="E30" s="31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>
        <v>2000</v>
      </c>
      <c r="R30" s="32">
        <f>2000+2000</f>
        <v>4000</v>
      </c>
      <c r="S30" s="32"/>
      <c r="T30" s="32"/>
      <c r="U30" s="32">
        <v>2000</v>
      </c>
      <c r="V30" s="32"/>
      <c r="W30" s="32"/>
      <c r="X30" s="32">
        <v>1050</v>
      </c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3"/>
      <c r="AM30" s="34">
        <f>SUMIF('Nhập kho  입'!A:A,'gia công'!B:B,'Nhập kho  입'!E:E)</f>
        <v>9050</v>
      </c>
      <c r="AN30" s="35">
        <f>+D30-AM30</f>
        <v>0</v>
      </c>
    </row>
    <row r="31" spans="1:41" s="3" customFormat="1">
      <c r="A31" s="27">
        <v>28</v>
      </c>
      <c r="B31" s="37" t="s">
        <v>872</v>
      </c>
      <c r="C31" s="29" t="s">
        <v>260</v>
      </c>
      <c r="D31" s="30">
        <f>SUM(F31:AL31)</f>
        <v>0</v>
      </c>
      <c r="E31" s="31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3"/>
      <c r="AM31" s="34">
        <f>SUMIF('Nhập kho  입'!A:A,'gia công'!B:B,'Nhập kho  입'!E:E)</f>
        <v>0</v>
      </c>
      <c r="AN31" s="35">
        <f>+D31-AM31</f>
        <v>0</v>
      </c>
    </row>
    <row r="32" spans="1:41" s="3" customFormat="1">
      <c r="A32" s="27">
        <v>29</v>
      </c>
      <c r="B32" s="37" t="s">
        <v>249</v>
      </c>
      <c r="C32" s="29" t="s">
        <v>250</v>
      </c>
      <c r="D32" s="30">
        <f>SUM(F32:AL32)</f>
        <v>15000</v>
      </c>
      <c r="E32" s="31"/>
      <c r="F32" s="32"/>
      <c r="G32" s="32"/>
      <c r="H32" s="32"/>
      <c r="I32" s="32"/>
      <c r="J32" s="32"/>
      <c r="K32" s="32"/>
      <c r="L32" s="32">
        <v>1000</v>
      </c>
      <c r="M32" s="32"/>
      <c r="N32" s="32"/>
      <c r="O32" s="32"/>
      <c r="P32" s="32"/>
      <c r="Q32" s="32">
        <v>2000</v>
      </c>
      <c r="R32" s="32">
        <v>2000</v>
      </c>
      <c r="S32" s="32">
        <v>2000</v>
      </c>
      <c r="T32" s="32"/>
      <c r="U32" s="32">
        <f>2000+2000</f>
        <v>4000</v>
      </c>
      <c r="V32" s="32"/>
      <c r="W32" s="32"/>
      <c r="X32" s="32">
        <f>2000+2000</f>
        <v>4000</v>
      </c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3"/>
      <c r="AM32" s="34">
        <f>SUMIF('Nhập kho  입'!A:A,'gia công'!B:B,'Nhập kho  입'!E:E)</f>
        <v>23450</v>
      </c>
      <c r="AN32" s="35">
        <f>+D32-AM32+AO32</f>
        <v>-8450</v>
      </c>
      <c r="AO32" s="35"/>
    </row>
    <row r="33" spans="1:41" s="3" customFormat="1">
      <c r="A33" s="27">
        <v>30</v>
      </c>
      <c r="B33" s="37" t="s">
        <v>346</v>
      </c>
      <c r="C33" s="29" t="s">
        <v>347</v>
      </c>
      <c r="D33" s="30">
        <f>SUM(F33:AL33)</f>
        <v>0</v>
      </c>
      <c r="E33" s="31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3"/>
      <c r="AM33" s="34">
        <f>SUMIF('Nhập kho  입'!A:A,'gia công'!B:B,'Nhập kho  입'!E:E)</f>
        <v>7850</v>
      </c>
      <c r="AN33" s="35">
        <f>+D33-AM33+AO33</f>
        <v>-7850</v>
      </c>
      <c r="AO33" s="35"/>
    </row>
    <row r="34" spans="1:41" s="3" customFormat="1">
      <c r="A34" s="27">
        <v>31</v>
      </c>
      <c r="B34" s="28" t="s">
        <v>300</v>
      </c>
      <c r="C34" s="38" t="s">
        <v>301</v>
      </c>
      <c r="D34" s="39">
        <f>SUM(F34:AL34)</f>
        <v>0</v>
      </c>
      <c r="E34" s="40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2"/>
      <c r="AM34" s="34">
        <f>SUMIF('Nhập kho  입'!A:A,'gia công'!B:B,'Nhập kho  입'!E:E)</f>
        <v>0</v>
      </c>
      <c r="AN34" s="35">
        <f>+D34-AM34</f>
        <v>0</v>
      </c>
    </row>
    <row r="35" spans="1:41" s="4" customFormat="1" ht="23.25" customHeight="1">
      <c r="A35" s="43"/>
      <c r="B35" s="44"/>
      <c r="C35" s="362">
        <f>+D35+E35</f>
        <v>246130</v>
      </c>
      <c r="D35" s="363">
        <f>SUM(D3:D34)</f>
        <v>217330</v>
      </c>
      <c r="E35" s="366">
        <f>SUM(E3:E34)</f>
        <v>28800</v>
      </c>
      <c r="F35" s="45">
        <f t="shared" ref="F35:AL35" si="1">SUM(F3:F34)</f>
        <v>19200</v>
      </c>
      <c r="G35" s="45">
        <f t="shared" si="1"/>
        <v>7200</v>
      </c>
      <c r="H35" s="45">
        <f t="shared" si="1"/>
        <v>9600</v>
      </c>
      <c r="I35" s="45">
        <f t="shared" si="1"/>
        <v>0</v>
      </c>
      <c r="J35" s="45">
        <f t="shared" si="1"/>
        <v>8400</v>
      </c>
      <c r="K35" s="45">
        <f t="shared" si="1"/>
        <v>20310</v>
      </c>
      <c r="L35" s="45">
        <f t="shared" si="1"/>
        <v>11210</v>
      </c>
      <c r="M35" s="45">
        <f t="shared" si="1"/>
        <v>10500</v>
      </c>
      <c r="N35" s="45">
        <f t="shared" si="1"/>
        <v>17760</v>
      </c>
      <c r="O35" s="45">
        <f t="shared" si="1"/>
        <v>0</v>
      </c>
      <c r="P35" s="45">
        <f t="shared" si="1"/>
        <v>0</v>
      </c>
      <c r="Q35" s="45">
        <f t="shared" si="1"/>
        <v>15010</v>
      </c>
      <c r="R35" s="45">
        <f t="shared" si="1"/>
        <v>18650</v>
      </c>
      <c r="S35" s="45">
        <f t="shared" si="1"/>
        <v>9200</v>
      </c>
      <c r="T35" s="45">
        <f t="shared" si="1"/>
        <v>9360</v>
      </c>
      <c r="U35" s="45">
        <f t="shared" si="1"/>
        <v>17670</v>
      </c>
      <c r="V35" s="45">
        <f t="shared" si="1"/>
        <v>9410</v>
      </c>
      <c r="W35" s="45">
        <f t="shared" si="1"/>
        <v>0</v>
      </c>
      <c r="X35" s="45">
        <f t="shared" si="1"/>
        <v>20650</v>
      </c>
      <c r="Y35" s="45">
        <f t="shared" si="1"/>
        <v>8400</v>
      </c>
      <c r="Z35" s="45">
        <f t="shared" si="1"/>
        <v>4800</v>
      </c>
      <c r="AA35" s="45">
        <f t="shared" si="1"/>
        <v>0</v>
      </c>
      <c r="AB35" s="45">
        <f t="shared" si="1"/>
        <v>0</v>
      </c>
      <c r="AC35" s="45">
        <f t="shared" si="1"/>
        <v>0</v>
      </c>
      <c r="AD35" s="45">
        <f t="shared" si="1"/>
        <v>0</v>
      </c>
      <c r="AE35" s="45">
        <f t="shared" si="1"/>
        <v>0</v>
      </c>
      <c r="AF35" s="45">
        <f t="shared" si="1"/>
        <v>0</v>
      </c>
      <c r="AG35" s="45">
        <f t="shared" si="1"/>
        <v>0</v>
      </c>
      <c r="AH35" s="45">
        <f t="shared" si="1"/>
        <v>0</v>
      </c>
      <c r="AI35" s="45">
        <f t="shared" si="1"/>
        <v>0</v>
      </c>
      <c r="AJ35" s="45">
        <f t="shared" si="1"/>
        <v>0</v>
      </c>
      <c r="AK35" s="45">
        <f t="shared" si="1"/>
        <v>0</v>
      </c>
      <c r="AL35" s="45">
        <f t="shared" si="1"/>
        <v>0</v>
      </c>
      <c r="AM35" s="46">
        <f>SUM(AM3:AM34)-AM10-AM32-AM33</f>
        <v>242430</v>
      </c>
      <c r="AN35" s="46">
        <f t="shared" ref="AN35" si="2">SUM(AN3:AN34)-AN10</f>
        <v>-56400</v>
      </c>
      <c r="AO35" s="46">
        <f>SUM(AO3:AO34)-AO10</f>
        <v>0</v>
      </c>
    </row>
    <row r="36" spans="1:41" ht="23.25" customHeight="1">
      <c r="A36" s="8"/>
      <c r="B36" s="361"/>
      <c r="C36" s="364"/>
      <c r="D36" s="66"/>
      <c r="E36" s="365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8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34"/>
    </row>
    <row r="37" spans="1:41" s="5" customFormat="1" ht="27" customHeight="1">
      <c r="A37" s="47" t="s">
        <v>752</v>
      </c>
      <c r="B37" s="442" t="s">
        <v>755</v>
      </c>
      <c r="C37" s="48" t="s">
        <v>649</v>
      </c>
      <c r="D37" s="340" t="s">
        <v>754</v>
      </c>
      <c r="E37" s="49">
        <f>DATE(2026,$D$1,1)</f>
        <v>46296</v>
      </c>
      <c r="F37" s="49">
        <f>+E37+1</f>
        <v>46297</v>
      </c>
      <c r="G37" s="49">
        <f t="shared" ref="G37:AL37" si="3">+F37+1</f>
        <v>46298</v>
      </c>
      <c r="H37" s="49">
        <f t="shared" si="3"/>
        <v>46299</v>
      </c>
      <c r="I37" s="49">
        <f t="shared" si="3"/>
        <v>46300</v>
      </c>
      <c r="J37" s="49">
        <f t="shared" si="3"/>
        <v>46301</v>
      </c>
      <c r="K37" s="49">
        <f t="shared" si="3"/>
        <v>46302</v>
      </c>
      <c r="L37" s="49">
        <f t="shared" si="3"/>
        <v>46303</v>
      </c>
      <c r="M37" s="49">
        <f t="shared" si="3"/>
        <v>46304</v>
      </c>
      <c r="N37" s="49">
        <f t="shared" si="3"/>
        <v>46305</v>
      </c>
      <c r="O37" s="49">
        <f t="shared" si="3"/>
        <v>46306</v>
      </c>
      <c r="P37" s="49">
        <f t="shared" si="3"/>
        <v>46307</v>
      </c>
      <c r="Q37" s="49">
        <f t="shared" si="3"/>
        <v>46308</v>
      </c>
      <c r="R37" s="49">
        <f t="shared" si="3"/>
        <v>46309</v>
      </c>
      <c r="S37" s="49">
        <f t="shared" si="3"/>
        <v>46310</v>
      </c>
      <c r="T37" s="49">
        <f t="shared" si="3"/>
        <v>46311</v>
      </c>
      <c r="U37" s="49">
        <f t="shared" si="3"/>
        <v>46312</v>
      </c>
      <c r="V37" s="49">
        <f t="shared" si="3"/>
        <v>46313</v>
      </c>
      <c r="W37" s="49">
        <f t="shared" si="3"/>
        <v>46314</v>
      </c>
      <c r="X37" s="49">
        <f t="shared" si="3"/>
        <v>46315</v>
      </c>
      <c r="Y37" s="49">
        <f>+X37+1</f>
        <v>46316</v>
      </c>
      <c r="Z37" s="49">
        <f>+Y37+1</f>
        <v>46317</v>
      </c>
      <c r="AA37" s="49">
        <f t="shared" si="3"/>
        <v>46318</v>
      </c>
      <c r="AB37" s="49">
        <f t="shared" si="3"/>
        <v>46319</v>
      </c>
      <c r="AC37" s="49">
        <f t="shared" si="3"/>
        <v>46320</v>
      </c>
      <c r="AD37" s="49">
        <f t="shared" si="3"/>
        <v>46321</v>
      </c>
      <c r="AE37" s="49">
        <f t="shared" si="3"/>
        <v>46322</v>
      </c>
      <c r="AF37" s="49">
        <f t="shared" si="3"/>
        <v>46323</v>
      </c>
      <c r="AG37" s="49">
        <f t="shared" si="3"/>
        <v>46324</v>
      </c>
      <c r="AH37" s="49">
        <f t="shared" si="3"/>
        <v>46325</v>
      </c>
      <c r="AI37" s="49">
        <f t="shared" si="3"/>
        <v>46326</v>
      </c>
      <c r="AJ37" s="49">
        <f t="shared" si="3"/>
        <v>46327</v>
      </c>
      <c r="AK37" s="49">
        <f t="shared" si="3"/>
        <v>46328</v>
      </c>
      <c r="AL37" s="49">
        <f t="shared" si="3"/>
        <v>46329</v>
      </c>
      <c r="AM37" s="34"/>
    </row>
    <row r="38" spans="1:41">
      <c r="A38" s="50">
        <v>1</v>
      </c>
      <c r="B38" s="443"/>
      <c r="C38" s="51" t="s">
        <v>756</v>
      </c>
      <c r="D38" s="52">
        <f>SUM(E38:AL38)</f>
        <v>1250</v>
      </c>
      <c r="E38" s="53">
        <v>500</v>
      </c>
      <c r="F38" s="53"/>
      <c r="G38" s="53"/>
      <c r="H38" s="53"/>
      <c r="I38" s="53"/>
      <c r="J38" s="53">
        <v>750</v>
      </c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</row>
    <row r="39" spans="1:41">
      <c r="A39" s="50">
        <v>2</v>
      </c>
      <c r="B39" s="443"/>
      <c r="C39" s="51" t="s">
        <v>757</v>
      </c>
      <c r="D39" s="52">
        <f>SUM(E39:AL39)</f>
        <v>1690</v>
      </c>
      <c r="E39" s="53"/>
      <c r="F39" s="53"/>
      <c r="G39" s="53"/>
      <c r="H39" s="53"/>
      <c r="I39" s="53"/>
      <c r="J39" s="53"/>
      <c r="K39" s="53">
        <v>700</v>
      </c>
      <c r="L39" s="53"/>
      <c r="M39" s="53"/>
      <c r="N39" s="53"/>
      <c r="O39" s="53"/>
      <c r="P39" s="53">
        <v>510</v>
      </c>
      <c r="Q39" s="53"/>
      <c r="R39" s="53"/>
      <c r="S39" s="53">
        <v>480</v>
      </c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</row>
    <row r="40" spans="1:41">
      <c r="A40" s="50">
        <v>3</v>
      </c>
      <c r="B40" s="443"/>
      <c r="C40" s="51" t="s">
        <v>758</v>
      </c>
      <c r="D40" s="52">
        <f>SUM(E40:AL40)</f>
        <v>0</v>
      </c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</row>
    <row r="41" spans="1:41">
      <c r="A41" s="50">
        <v>4</v>
      </c>
      <c r="B41" s="443"/>
      <c r="C41" s="51" t="s">
        <v>759</v>
      </c>
      <c r="D41" s="52">
        <f>SUM(E41:AL41)</f>
        <v>0</v>
      </c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</row>
    <row r="42" spans="1:41">
      <c r="A42" s="50">
        <v>5</v>
      </c>
      <c r="B42" s="443"/>
      <c r="C42" s="51" t="s">
        <v>760</v>
      </c>
      <c r="D42" s="52">
        <f>SUM(E42:AL42)</f>
        <v>0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</row>
    <row r="43" spans="1:41" ht="15.75" customHeight="1">
      <c r="A43" s="50">
        <v>6</v>
      </c>
      <c r="B43" s="443"/>
      <c r="C43" s="51" t="s">
        <v>761</v>
      </c>
      <c r="D43" s="52">
        <f>SUM(E43:AL43)</f>
        <v>20</v>
      </c>
      <c r="E43" s="53"/>
      <c r="F43" s="53"/>
      <c r="G43" s="53">
        <v>5</v>
      </c>
      <c r="H43" s="53"/>
      <c r="I43" s="53"/>
      <c r="J43" s="53"/>
      <c r="K43" s="53"/>
      <c r="L43" s="53"/>
      <c r="M43" s="53"/>
      <c r="N43" s="53"/>
      <c r="O43" s="53"/>
      <c r="P43" s="53">
        <v>15</v>
      </c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</row>
    <row r="44" spans="1:41">
      <c r="A44" s="50">
        <v>7</v>
      </c>
      <c r="B44" s="444"/>
      <c r="C44" s="51" t="s">
        <v>762</v>
      </c>
      <c r="D44" s="52">
        <f>SUM(E44:AL44)</f>
        <v>0</v>
      </c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</row>
    <row r="45" spans="1:41"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8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9"/>
    </row>
    <row r="46" spans="1:41" hidden="1">
      <c r="Z46" s="10"/>
      <c r="AB46" s="9"/>
    </row>
    <row r="47" spans="1:41" hidden="1">
      <c r="C47" s="55" t="s">
        <v>763</v>
      </c>
      <c r="X47" s="10"/>
      <c r="Y47" s="10"/>
      <c r="AB47" s="9"/>
    </row>
    <row r="48" spans="1:41" s="5" customFormat="1" ht="27" hidden="1" customHeight="1">
      <c r="B48" s="56"/>
      <c r="C48" s="57" t="s">
        <v>752</v>
      </c>
      <c r="D48" s="58" t="s">
        <v>754</v>
      </c>
      <c r="E48" s="59" t="s">
        <v>764</v>
      </c>
      <c r="F48" s="60">
        <f>DATE(2026,$D$1,1)</f>
        <v>46296</v>
      </c>
      <c r="G48" s="60">
        <f t="shared" ref="G48" si="4">F48+1</f>
        <v>46297</v>
      </c>
      <c r="H48" s="60">
        <f t="shared" ref="H48" si="5">G48+1</f>
        <v>46298</v>
      </c>
      <c r="I48" s="60"/>
      <c r="J48" s="60"/>
      <c r="K48" s="60">
        <f t="shared" ref="K48" si="6">H48+1</f>
        <v>46299</v>
      </c>
      <c r="L48" s="60">
        <f t="shared" ref="L48" si="7">K48+1</f>
        <v>46300</v>
      </c>
      <c r="M48" s="60"/>
      <c r="N48" s="60">
        <f t="shared" ref="N48" si="8">L48+1</f>
        <v>46301</v>
      </c>
      <c r="O48" s="60"/>
      <c r="P48" s="60">
        <f t="shared" ref="P48" si="9">N48+1</f>
        <v>46302</v>
      </c>
      <c r="Q48" s="60">
        <f t="shared" ref="Q48" si="10">P48+1</f>
        <v>46303</v>
      </c>
      <c r="R48" s="60">
        <f t="shared" ref="R48" si="11">Q48+1</f>
        <v>46304</v>
      </c>
      <c r="S48" s="60">
        <f t="shared" ref="S48" si="12">R48+1</f>
        <v>46305</v>
      </c>
      <c r="T48" s="60">
        <f t="shared" ref="T48" si="13">S48+1</f>
        <v>46306</v>
      </c>
      <c r="U48" s="60">
        <f t="shared" ref="U48:V48" si="14">T48+1</f>
        <v>46307</v>
      </c>
      <c r="V48" s="60">
        <f t="shared" si="14"/>
        <v>46308</v>
      </c>
      <c r="W48" s="60">
        <f t="shared" ref="W48:X48" si="15">V48+1</f>
        <v>46309</v>
      </c>
      <c r="X48" s="60">
        <f t="shared" si="15"/>
        <v>46310</v>
      </c>
      <c r="Y48" s="60"/>
      <c r="Z48" s="60">
        <f>X48+1</f>
        <v>46311</v>
      </c>
      <c r="AA48" s="60">
        <f t="shared" ref="AA48" si="16">Z48+1</f>
        <v>46312</v>
      </c>
      <c r="AB48" s="60">
        <f t="shared" ref="AB48" si="17">AA48+1</f>
        <v>46313</v>
      </c>
      <c r="AC48" s="60">
        <f t="shared" ref="AC48" si="18">AB48+1</f>
        <v>46314</v>
      </c>
      <c r="AD48" s="60">
        <f t="shared" ref="AD48" si="19">AC48+1</f>
        <v>46315</v>
      </c>
      <c r="AE48" s="60"/>
      <c r="AF48" s="60">
        <f t="shared" ref="AF48" si="20">AD48+1</f>
        <v>46316</v>
      </c>
      <c r="AG48" s="60">
        <f t="shared" ref="AG48" si="21">AF48+1</f>
        <v>46317</v>
      </c>
      <c r="AH48" s="60"/>
      <c r="AI48" s="60">
        <f t="shared" ref="AI48" si="22">AG48+1</f>
        <v>46318</v>
      </c>
      <c r="AJ48" s="60">
        <f t="shared" ref="AJ48" si="23">AI48+1</f>
        <v>46319</v>
      </c>
      <c r="AK48" s="60">
        <f t="shared" ref="AK48:AL48" si="24">AJ48+1</f>
        <v>46320</v>
      </c>
      <c r="AL48" s="60">
        <f t="shared" si="24"/>
        <v>46321</v>
      </c>
      <c r="AM48" s="61"/>
    </row>
    <row r="49" spans="2:39" s="3" customFormat="1" hidden="1">
      <c r="B49" s="44"/>
      <c r="C49" s="62">
        <v>1</v>
      </c>
      <c r="D49" s="63">
        <f>SUM(E49:AL49)</f>
        <v>44074</v>
      </c>
      <c r="E49" s="64">
        <f>2000+42074</f>
        <v>44074</v>
      </c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5"/>
    </row>
    <row r="50" spans="2:39" s="3" customFormat="1" hidden="1">
      <c r="B50" s="44"/>
      <c r="C50" s="62">
        <v>2</v>
      </c>
      <c r="D50" s="66">
        <f>SUM(E50:AL50)</f>
        <v>0</v>
      </c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5"/>
    </row>
    <row r="51" spans="2:39" hidden="1">
      <c r="X51" s="10"/>
      <c r="Y51" s="10"/>
      <c r="AB51" s="9"/>
    </row>
    <row r="52" spans="2:39" hidden="1">
      <c r="C52" s="55" t="s">
        <v>765</v>
      </c>
      <c r="X52" s="10"/>
      <c r="Y52" s="10"/>
      <c r="AB52" s="9"/>
    </row>
    <row r="53" spans="2:39" s="5" customFormat="1" ht="27" hidden="1" customHeight="1">
      <c r="B53" s="56"/>
      <c r="C53" s="57" t="s">
        <v>752</v>
      </c>
      <c r="D53" s="58" t="s">
        <v>754</v>
      </c>
      <c r="E53" s="59" t="s">
        <v>766</v>
      </c>
      <c r="F53" s="60">
        <f>DATE(2026,$D$1,1)</f>
        <v>46296</v>
      </c>
      <c r="G53" s="60">
        <f t="shared" ref="G53" si="25">F53+1</f>
        <v>46297</v>
      </c>
      <c r="H53" s="60">
        <f t="shared" ref="H53" si="26">G53+1</f>
        <v>46298</v>
      </c>
      <c r="I53" s="60"/>
      <c r="J53" s="60"/>
      <c r="K53" s="60">
        <f t="shared" ref="K53" si="27">H53+1</f>
        <v>46299</v>
      </c>
      <c r="L53" s="60">
        <f t="shared" ref="L53" si="28">K53+1</f>
        <v>46300</v>
      </c>
      <c r="M53" s="60"/>
      <c r="N53" s="60">
        <f t="shared" ref="N53" si="29">L53+1</f>
        <v>46301</v>
      </c>
      <c r="O53" s="60"/>
      <c r="P53" s="60">
        <f t="shared" ref="P53" si="30">N53+1</f>
        <v>46302</v>
      </c>
      <c r="Q53" s="60">
        <f t="shared" ref="Q53" si="31">P53+1</f>
        <v>46303</v>
      </c>
      <c r="R53" s="60">
        <f t="shared" ref="R53" si="32">Q53+1</f>
        <v>46304</v>
      </c>
      <c r="S53" s="60">
        <f t="shared" ref="S53" si="33">R53+1</f>
        <v>46305</v>
      </c>
      <c r="T53" s="60">
        <f t="shared" ref="T53" si="34">S53+1</f>
        <v>46306</v>
      </c>
      <c r="U53" s="60">
        <f t="shared" ref="U53:V53" si="35">T53+1</f>
        <v>46307</v>
      </c>
      <c r="V53" s="60">
        <f t="shared" si="35"/>
        <v>46308</v>
      </c>
      <c r="W53" s="60">
        <f t="shared" ref="W53:X53" si="36">V53+1</f>
        <v>46309</v>
      </c>
      <c r="X53" s="60">
        <f t="shared" si="36"/>
        <v>46310</v>
      </c>
      <c r="Y53" s="60"/>
      <c r="Z53" s="60">
        <f>X53+1</f>
        <v>46311</v>
      </c>
      <c r="AA53" s="60">
        <f t="shared" ref="AA53" si="37">Z53+1</f>
        <v>46312</v>
      </c>
      <c r="AB53" s="60">
        <f t="shared" ref="AB53" si="38">AA53+1</f>
        <v>46313</v>
      </c>
      <c r="AC53" s="60">
        <f t="shared" ref="AC53" si="39">AB53+1</f>
        <v>46314</v>
      </c>
      <c r="AD53" s="60">
        <f t="shared" ref="AD53" si="40">AC53+1</f>
        <v>46315</v>
      </c>
      <c r="AE53" s="60"/>
      <c r="AF53" s="60">
        <f t="shared" ref="AF53" si="41">AD53+1</f>
        <v>46316</v>
      </c>
      <c r="AG53" s="60">
        <f t="shared" ref="AG53" si="42">AF53+1</f>
        <v>46317</v>
      </c>
      <c r="AH53" s="60"/>
      <c r="AI53" s="60">
        <f t="shared" ref="AI53" si="43">AG53+1</f>
        <v>46318</v>
      </c>
      <c r="AJ53" s="60">
        <f t="shared" ref="AJ53" si="44">AI53+1</f>
        <v>46319</v>
      </c>
      <c r="AK53" s="60">
        <f t="shared" ref="AK53:AL53" si="45">AJ53+1</f>
        <v>46320</v>
      </c>
      <c r="AL53" s="60">
        <f t="shared" si="45"/>
        <v>46321</v>
      </c>
      <c r="AM53" s="61"/>
    </row>
    <row r="54" spans="2:39" s="3" customFormat="1" hidden="1">
      <c r="B54" s="44"/>
      <c r="C54" s="62">
        <v>1</v>
      </c>
      <c r="D54" s="67">
        <f>SUM(E54:AL54)</f>
        <v>41674</v>
      </c>
      <c r="E54" s="64">
        <v>33674</v>
      </c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>
        <v>8000</v>
      </c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5"/>
    </row>
    <row r="55" spans="2:39" s="3" customFormat="1" hidden="1">
      <c r="B55" s="44"/>
      <c r="C55" s="62">
        <v>2</v>
      </c>
      <c r="D55" s="66">
        <f>SUM(E55:AL55)</f>
        <v>0</v>
      </c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5"/>
    </row>
    <row r="56" spans="2:39" hidden="1"/>
    <row r="57" spans="2:39" ht="24" hidden="1" customHeight="1">
      <c r="B57" s="68" t="s">
        <v>649</v>
      </c>
      <c r="C57" s="58" t="s">
        <v>767</v>
      </c>
      <c r="D57" s="69" t="s">
        <v>768</v>
      </c>
    </row>
    <row r="58" spans="2:39" ht="39.75" hidden="1" customHeight="1">
      <c r="B58" s="70" t="s">
        <v>769</v>
      </c>
      <c r="C58" s="71">
        <f>+$D$49</f>
        <v>44074</v>
      </c>
      <c r="D58" s="72" t="e">
        <f>+C58-#REF!</f>
        <v>#REF!</v>
      </c>
    </row>
    <row r="59" spans="2:39" hidden="1"/>
    <row r="60" spans="2:39">
      <c r="G60" s="357"/>
    </row>
    <row r="61" spans="2:39">
      <c r="G61" s="357"/>
    </row>
    <row r="62" spans="2:39">
      <c r="C62" s="355" t="s">
        <v>516</v>
      </c>
      <c r="D62" s="356" t="s">
        <v>990</v>
      </c>
      <c r="E62" s="356" t="s">
        <v>992</v>
      </c>
      <c r="F62" s="356" t="s">
        <v>993</v>
      </c>
      <c r="G62" s="358" t="s">
        <v>994</v>
      </c>
      <c r="Q62" s="446"/>
      <c r="R62" s="446"/>
      <c r="S62" s="446"/>
      <c r="T62" s="446"/>
      <c r="U62" s="446"/>
      <c r="V62" s="446"/>
      <c r="W62" s="446"/>
      <c r="X62" s="446"/>
      <c r="Y62" s="446"/>
      <c r="Z62" s="446"/>
      <c r="AA62" s="446"/>
      <c r="AB62" s="446"/>
      <c r="AC62" s="446"/>
    </row>
    <row r="63" spans="2:39">
      <c r="C63" s="89"/>
      <c r="D63" s="354"/>
      <c r="E63" s="354">
        <v>7200</v>
      </c>
      <c r="F63" s="354">
        <f>+'Tổng,SUMMARY'!$Q$160</f>
        <v>8550</v>
      </c>
      <c r="G63" s="359">
        <f>+F63-E63</f>
        <v>1350</v>
      </c>
      <c r="H63" s="9" t="s">
        <v>998</v>
      </c>
      <c r="Q63" s="446"/>
      <c r="R63" s="446"/>
      <c r="S63" s="446"/>
      <c r="T63" s="446"/>
      <c r="U63" s="446"/>
      <c r="V63" s="446"/>
      <c r="W63" s="446"/>
      <c r="X63" s="446"/>
      <c r="Y63" s="446"/>
      <c r="Z63" s="446"/>
      <c r="AA63" s="446"/>
      <c r="AB63" s="446"/>
      <c r="AC63" s="446"/>
    </row>
    <row r="64" spans="2:39">
      <c r="C64" s="89"/>
      <c r="D64" s="354"/>
      <c r="E64" s="354">
        <v>7200</v>
      </c>
      <c r="F64" s="354">
        <f>+'Tổng,SUMMARY'!$Q$193</f>
        <v>8250</v>
      </c>
      <c r="G64" s="359">
        <f t="shared" ref="G64:G76" si="46">+F64-E64</f>
        <v>1050</v>
      </c>
      <c r="H64" s="9" t="s">
        <v>999</v>
      </c>
      <c r="Q64" s="446"/>
      <c r="R64" s="446"/>
      <c r="S64" s="446"/>
      <c r="T64" s="446"/>
      <c r="U64" s="446"/>
      <c r="V64" s="446"/>
      <c r="W64" s="446"/>
      <c r="X64" s="446"/>
      <c r="Y64" s="446"/>
      <c r="Z64" s="446"/>
      <c r="AA64" s="446"/>
      <c r="AB64" s="446"/>
      <c r="AC64" s="446"/>
    </row>
    <row r="65" spans="3:29">
      <c r="C65" s="89"/>
      <c r="D65" s="354"/>
      <c r="E65" s="354">
        <v>11400</v>
      </c>
      <c r="F65" s="354">
        <f>+'Tổng,SUMMARY'!$Q$228</f>
        <v>0</v>
      </c>
      <c r="G65" s="359">
        <f t="shared" si="46"/>
        <v>-11400</v>
      </c>
      <c r="Q65" s="446"/>
      <c r="R65" s="446"/>
      <c r="S65" s="446"/>
      <c r="T65" s="446"/>
      <c r="U65" s="446"/>
      <c r="V65" s="446"/>
      <c r="W65" s="446"/>
      <c r="X65" s="446"/>
      <c r="Y65" s="446"/>
      <c r="Z65" s="446"/>
      <c r="AA65" s="446"/>
      <c r="AB65" s="446"/>
      <c r="AC65" s="446"/>
    </row>
    <row r="66" spans="3:29">
      <c r="C66" s="89"/>
      <c r="D66" s="354"/>
      <c r="E66" s="354">
        <v>18000</v>
      </c>
      <c r="F66" s="354">
        <f>+'Tổng,SUMMARY'!$Q$233</f>
        <v>4900</v>
      </c>
      <c r="G66" s="359">
        <f t="shared" si="46"/>
        <v>-13100</v>
      </c>
      <c r="Q66" s="446"/>
      <c r="R66" s="446"/>
      <c r="S66" s="446"/>
      <c r="T66" s="446"/>
      <c r="U66" s="446"/>
      <c r="V66" s="446"/>
      <c r="W66" s="446"/>
      <c r="X66" s="446"/>
      <c r="Y66" s="446"/>
      <c r="Z66" s="446"/>
      <c r="AA66" s="446"/>
      <c r="AB66" s="446"/>
      <c r="AC66" s="446"/>
    </row>
    <row r="67" spans="3:29" ht="18.75" customHeight="1">
      <c r="C67" s="445" t="s">
        <v>991</v>
      </c>
      <c r="D67" s="445"/>
      <c r="E67" s="360">
        <f>SUM(E63:E66)</f>
        <v>43800</v>
      </c>
      <c r="F67" s="354"/>
      <c r="G67" s="359">
        <f>SUM(G63:G66)</f>
        <v>-22100</v>
      </c>
      <c r="Q67" s="446"/>
      <c r="R67" s="446"/>
      <c r="S67" s="446"/>
      <c r="T67" s="446"/>
      <c r="U67" s="446"/>
      <c r="V67" s="446"/>
      <c r="W67" s="446"/>
      <c r="X67" s="446"/>
      <c r="Y67" s="446"/>
      <c r="Z67" s="446"/>
      <c r="AA67" s="446"/>
      <c r="AB67" s="446"/>
      <c r="AC67" s="446"/>
    </row>
    <row r="68" spans="3:29">
      <c r="D68" s="9"/>
      <c r="G68" s="357"/>
      <c r="Q68" s="446"/>
      <c r="R68" s="446"/>
      <c r="S68" s="446"/>
      <c r="T68" s="446"/>
      <c r="U68" s="446"/>
      <c r="V68" s="446"/>
      <c r="W68" s="446"/>
      <c r="X68" s="446"/>
      <c r="Y68" s="446"/>
      <c r="Z68" s="446"/>
      <c r="AA68" s="446"/>
      <c r="AB68" s="446"/>
      <c r="AC68" s="446"/>
    </row>
    <row r="69" spans="3:29">
      <c r="D69" s="9"/>
      <c r="G69" s="357"/>
    </row>
    <row r="70" spans="3:29">
      <c r="C70" s="355" t="s">
        <v>516</v>
      </c>
      <c r="D70" s="356" t="s">
        <v>990</v>
      </c>
      <c r="E70" s="356" t="s">
        <v>992</v>
      </c>
      <c r="F70" s="356" t="s">
        <v>993</v>
      </c>
      <c r="G70" s="358" t="s">
        <v>994</v>
      </c>
    </row>
    <row r="71" spans="3:29">
      <c r="C71" s="89"/>
      <c r="D71" s="354"/>
      <c r="E71" s="354"/>
      <c r="F71" s="354">
        <f>+'Tổng,SUMMARY'!$Q$178</f>
        <v>24750</v>
      </c>
      <c r="G71" s="359">
        <f>+F71-E71</f>
        <v>24750</v>
      </c>
      <c r="H71" s="9" t="s">
        <v>1000</v>
      </c>
    </row>
    <row r="72" spans="3:29">
      <c r="C72" s="89"/>
      <c r="D72" s="354"/>
      <c r="E72" s="354"/>
      <c r="F72" s="354">
        <f>+'Tổng,SUMMARY'!$Q$241</f>
        <v>7950</v>
      </c>
      <c r="G72" s="359">
        <f t="shared" si="46"/>
        <v>7950</v>
      </c>
    </row>
    <row r="73" spans="3:29">
      <c r="C73" s="89"/>
      <c r="D73" s="354"/>
      <c r="E73" s="354"/>
      <c r="F73" s="354">
        <f>+'Tổng,SUMMARY'!$Q$227</f>
        <v>1250</v>
      </c>
      <c r="G73" s="359">
        <f t="shared" si="46"/>
        <v>1250</v>
      </c>
    </row>
    <row r="74" spans="3:29">
      <c r="C74" s="89"/>
      <c r="D74" s="354"/>
      <c r="E74" s="354"/>
      <c r="F74" s="354">
        <f>+'Tổng,SUMMARY'!$Q$265</f>
        <v>11100</v>
      </c>
      <c r="G74" s="359">
        <f t="shared" si="46"/>
        <v>11100</v>
      </c>
    </row>
    <row r="75" spans="3:29">
      <c r="C75" s="89"/>
      <c r="D75" s="354"/>
      <c r="E75" s="354"/>
      <c r="F75" s="354">
        <f>+'Tổng,SUMMARY'!$Q$243</f>
        <v>9850</v>
      </c>
      <c r="G75" s="359">
        <f t="shared" si="46"/>
        <v>9850</v>
      </c>
    </row>
    <row r="76" spans="3:29">
      <c r="C76" s="89"/>
      <c r="D76" s="354"/>
      <c r="E76" s="354"/>
      <c r="F76" s="354">
        <f>+'Tổng,SUMMARY'!$Q$130</f>
        <v>13600</v>
      </c>
      <c r="G76" s="359">
        <f t="shared" si="46"/>
        <v>13600</v>
      </c>
      <c r="H76" s="9" t="s">
        <v>999</v>
      </c>
    </row>
    <row r="77" spans="3:29" ht="18.75" customHeight="1">
      <c r="C77" s="445" t="s">
        <v>991</v>
      </c>
      <c r="D77" s="445"/>
      <c r="E77" s="360">
        <f>SUM(E71:E76)</f>
        <v>0</v>
      </c>
      <c r="F77" s="354"/>
      <c r="G77" s="359">
        <f>SUM(G71:G76)</f>
        <v>68500</v>
      </c>
    </row>
  </sheetData>
  <mergeCells count="4">
    <mergeCell ref="B37:B44"/>
    <mergeCell ref="C77:D77"/>
    <mergeCell ref="C67:D67"/>
    <mergeCell ref="Q62:AC68"/>
  </mergeCells>
  <phoneticPr fontId="73" type="noConversion"/>
  <pageMargins left="0.7" right="0.7" top="0.75" bottom="0.75" header="0.3" footer="0.3"/>
  <pageSetup paperSize="9" orientation="portrait" verticalDpi="304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Gw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QEAAAAAAABzA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DDj/3mnWkjRKyBbYAdi3aDAAAAAAIAAAAAABBmAAAAAQAAIAAAAMdChaBZwwV0tTr4i694K2XPSiQYIYSyhywSn8zBv1MkAAAAAA6AAAAAAgAAIAAAAAnjG4c7TOEgqCPWniqxgOorxRvSUAaeGNiczAYUgzQZUAAAACp5JGsrtW56qldKxIYFCFUpzAjJQW6wenN/JEk/+H7AomxpzwPTjEYhrnauKpLtWzixlne3loT6ocg5/gQJQCtvorF27WOxxiLn0Wv0Qf6ZQAAAANiUeH/zzZvl2mkIpbVlZRI2fGdj54t5Lj+2+4K7/udLUPt9CWPKu+L6rZSaMriiQxXnsyIL8sjNNAYJ+tGfqkI=</DataMashup>
</file>

<file path=customXml/itemProps1.xml><?xml version="1.0" encoding="utf-8"?>
<ds:datastoreItem xmlns:ds="http://schemas.openxmlformats.org/officeDocument/2006/customXml" ds:itemID="{C41BBE86-8C56-4277-952C-68D417DC0D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Nhập kho  입2</vt:lpstr>
      <vt:lpstr> Xuất kho 출2</vt:lpstr>
      <vt:lpstr>Nhập kho  입</vt:lpstr>
      <vt:lpstr> Xuất kho 출</vt:lpstr>
      <vt:lpstr>Tổng,SUMMARY</vt:lpstr>
      <vt:lpstr>Lot</vt:lpstr>
      <vt:lpstr>gia công</vt:lpstr>
      <vt:lpstr>' Xuất kho 출'!Print_Area</vt:lpstr>
      <vt:lpstr>'Nhập kho  입'!Print_Area</vt:lpstr>
      <vt:lpstr>'Tổng,SUMMARY'!Print_Area</vt:lpstr>
      <vt:lpstr>' Xuất kho 출'!Print_Titles</vt:lpstr>
      <vt:lpstr>'Nhập kho  입'!Print_Titles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</cp:lastModifiedBy>
  <cp:lastPrinted>2026-10-10T06:29:32Z</cp:lastPrinted>
  <dcterms:created xsi:type="dcterms:W3CDTF">2020-10-01T05:27:00Z</dcterms:created>
  <dcterms:modified xsi:type="dcterms:W3CDTF">2026-10-22T03:37:46Z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E2ECA3CC4D1E47DC965D4F08AD79A2AC_12</vt:lpwstr>
  </property>
  <property fmtid="{D5CDD505-2E9C-101B-9397-08002B2CF9AE}" pid="3" name="KSOProductBuildVer">
    <vt:lpwstr>1066-12.1.0.28485</vt:lpwstr>
  </property>
  <property fmtid="{D5CDD505-2E9C-101B-9397-08002B2CF9AE}" pid="4" name="CalculationRule">
    <vt:i4>0</vt:i4>
  </property>
</Properties>
</file>