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117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Lot!$A$1:$I$722</definedName>
    <definedName name="_xlnm._FilterDatabase" localSheetId="2" hidden="1">'Nhập kho  입'!$A$5:$U$353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입'!$A$1:$F$1270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4" i="26" l="1"/>
  <c r="E149" i="26" l="1"/>
  <c r="E145" i="26"/>
  <c r="E148" i="26" l="1"/>
  <c r="E1340" i="24"/>
  <c r="E146" i="26"/>
  <c r="E144" i="26"/>
  <c r="N4" i="17" l="1"/>
  <c r="E139" i="26"/>
  <c r="E696" i="24" l="1"/>
  <c r="E138" i="26"/>
  <c r="E1328" i="24"/>
  <c r="E134" i="26"/>
  <c r="E639" i="24"/>
  <c r="E133" i="26"/>
  <c r="E149" i="24"/>
  <c r="E132" i="26"/>
  <c r="E1081" i="24"/>
  <c r="E1268" i="24" l="1"/>
  <c r="E1316" i="24" l="1"/>
  <c r="E103" i="26"/>
  <c r="E1309" i="24" l="1"/>
  <c r="E131" i="24"/>
  <c r="B98" i="26" l="1"/>
  <c r="B99" i="26"/>
  <c r="B100" i="26"/>
  <c r="B101" i="26"/>
  <c r="B102" i="26"/>
  <c r="E112" i="26"/>
  <c r="E110" i="26"/>
  <c r="E97" i="26" l="1"/>
  <c r="E1302" i="24"/>
  <c r="E96" i="26"/>
  <c r="E95" i="26"/>
  <c r="E92" i="26"/>
  <c r="E91" i="26"/>
  <c r="E1294" i="24"/>
  <c r="E88" i="26"/>
  <c r="E60" i="26" l="1"/>
  <c r="E86" i="26" l="1"/>
  <c r="E83" i="26" l="1"/>
  <c r="E82" i="26"/>
  <c r="E79" i="26"/>
  <c r="K11" i="17" l="1"/>
  <c r="E200" i="24"/>
  <c r="E993" i="24" l="1"/>
  <c r="E72" i="26"/>
  <c r="R226" i="23" l="1"/>
  <c r="J4" i="17" l="1"/>
  <c r="E69" i="26" l="1"/>
  <c r="E67" i="26" l="1"/>
  <c r="E66" i="26"/>
  <c r="E65" i="26"/>
  <c r="E64" i="26"/>
  <c r="E50" i="26" l="1"/>
  <c r="E57" i="26" l="1"/>
  <c r="E55" i="26" l="1"/>
  <c r="E1280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875" i="24"/>
  <c r="AN10" i="17" l="1"/>
  <c r="E15" i="26"/>
  <c r="E14" i="26"/>
  <c r="E9" i="26"/>
  <c r="E8" i="26"/>
  <c r="E416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B343" i="26"/>
  <c r="B344" i="26"/>
  <c r="B345" i="26"/>
  <c r="B346" i="26"/>
  <c r="B347" i="26"/>
  <c r="B348" i="26"/>
  <c r="B349" i="26"/>
  <c r="B350" i="26"/>
  <c r="B351" i="26"/>
  <c r="B352" i="26"/>
  <c r="B353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39" i="26" l="1"/>
  <c r="B340" i="26"/>
  <c r="B341" i="26"/>
  <c r="B342" i="26"/>
  <c r="B331" i="26" l="1"/>
  <c r="B332" i="26"/>
  <c r="B333" i="26"/>
  <c r="B334" i="26"/>
  <c r="B335" i="26"/>
  <c r="B336" i="26"/>
  <c r="B337" i="26"/>
  <c r="B338" i="26"/>
  <c r="B323" i="26"/>
  <c r="B324" i="26"/>
  <c r="B325" i="26"/>
  <c r="B326" i="26"/>
  <c r="B327" i="26"/>
  <c r="B328" i="26"/>
  <c r="B329" i="26"/>
  <c r="B330" i="26"/>
  <c r="B319" i="26"/>
  <c r="B320" i="26"/>
  <c r="B321" i="26"/>
  <c r="B322" i="26"/>
  <c r="B170" i="28"/>
  <c r="B171" i="28"/>
  <c r="B172" i="28"/>
  <c r="B173" i="28"/>
  <c r="B174" i="28"/>
  <c r="B175" i="28"/>
  <c r="B176" i="28"/>
  <c r="B177" i="28"/>
  <c r="B169" i="28"/>
  <c r="B302" i="26" l="1"/>
  <c r="B303" i="26"/>
  <c r="B304" i="26"/>
  <c r="B314" i="26"/>
  <c r="B315" i="26"/>
  <c r="B316" i="26"/>
  <c r="B317" i="26"/>
  <c r="B318" i="26"/>
  <c r="B310" i="26" l="1"/>
  <c r="B311" i="26"/>
  <c r="B312" i="26"/>
  <c r="B313" i="26"/>
  <c r="E93" i="24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626" i="24"/>
  <c r="B305" i="26"/>
  <c r="B306" i="26"/>
  <c r="B307" i="26"/>
  <c r="B308" i="26"/>
  <c r="B309" i="26"/>
  <c r="B155" i="28" l="1"/>
  <c r="B301" i="26" l="1"/>
  <c r="E1266" i="24"/>
  <c r="E77" i="17" l="1"/>
  <c r="E67" i="17"/>
  <c r="F586" i="24" l="1"/>
  <c r="B291" i="26"/>
  <c r="B292" i="26"/>
  <c r="B293" i="26"/>
  <c r="B294" i="26"/>
  <c r="B295" i="26"/>
  <c r="B296" i="26"/>
  <c r="B297" i="26"/>
  <c r="B298" i="26"/>
  <c r="B299" i="26"/>
  <c r="B300" i="26"/>
  <c r="E177" i="24" l="1"/>
  <c r="B286" i="26" l="1"/>
  <c r="B287" i="26"/>
  <c r="B288" i="26"/>
  <c r="B289" i="26"/>
  <c r="B290" i="26"/>
  <c r="B285" i="26"/>
  <c r="B281" i="26" l="1"/>
  <c r="B282" i="26"/>
  <c r="B283" i="26"/>
  <c r="B284" i="26"/>
  <c r="B278" i="26"/>
  <c r="B279" i="26"/>
  <c r="B280" i="26"/>
  <c r="B275" i="26" l="1"/>
  <c r="B276" i="26"/>
  <c r="B277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258" i="24"/>
  <c r="B264" i="26"/>
  <c r="B265" i="26"/>
  <c r="B266" i="26"/>
  <c r="B267" i="26"/>
  <c r="B268" i="26"/>
  <c r="B269" i="26"/>
  <c r="B270" i="26"/>
  <c r="B271" i="26"/>
  <c r="B272" i="26"/>
  <c r="B273" i="26"/>
  <c r="B274" i="26"/>
  <c r="E1250" i="24" l="1"/>
  <c r="B263" i="26"/>
  <c r="B142" i="28"/>
  <c r="B140" i="28"/>
  <c r="B141" i="28"/>
  <c r="B123" i="28" l="1"/>
  <c r="B124" i="28"/>
  <c r="B125" i="28"/>
  <c r="B126" i="28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B122" i="28"/>
  <c r="E1237" i="24"/>
  <c r="E1223" i="24"/>
  <c r="B261" i="26"/>
  <c r="B262" i="26"/>
  <c r="B259" i="26"/>
  <c r="B260" i="26"/>
  <c r="E37" i="24"/>
  <c r="D19" i="17" l="1"/>
  <c r="E12" i="24" l="1"/>
  <c r="E20" i="24"/>
  <c r="E62" i="24"/>
  <c r="E79" i="24"/>
  <c r="E91" i="24"/>
  <c r="E107" i="24"/>
  <c r="E113" i="24"/>
  <c r="E185" i="24"/>
  <c r="E212" i="24"/>
  <c r="E227" i="24"/>
  <c r="E241" i="24"/>
  <c r="E252" i="24"/>
  <c r="E284" i="24"/>
  <c r="E303" i="24"/>
  <c r="E314" i="24"/>
  <c r="E344" i="24"/>
  <c r="E353" i="24"/>
  <c r="E364" i="24"/>
  <c r="E378" i="24"/>
  <c r="E387" i="24"/>
  <c r="E405" i="24"/>
  <c r="E428" i="24"/>
  <c r="E429" i="24"/>
  <c r="E436" i="24" s="1"/>
  <c r="E447" i="24"/>
  <c r="E461" i="24"/>
  <c r="E472" i="24"/>
  <c r="E482" i="24"/>
  <c r="E504" i="24"/>
  <c r="E508" i="24"/>
  <c r="E516" i="24"/>
  <c r="E533" i="24"/>
  <c r="E542" i="24"/>
  <c r="E556" i="24"/>
  <c r="E567" i="24"/>
  <c r="E583" i="24"/>
  <c r="E613" i="24"/>
  <c r="E652" i="24"/>
  <c r="E667" i="24"/>
  <c r="E686" i="24"/>
  <c r="E709" i="24"/>
  <c r="E719" i="24"/>
  <c r="E729" i="24"/>
  <c r="E755" i="24"/>
  <c r="E764" i="24"/>
  <c r="E775" i="24"/>
  <c r="E778" i="24"/>
  <c r="E785" i="24" s="1"/>
  <c r="E788" i="24"/>
  <c r="E796" i="24" s="1"/>
  <c r="E806" i="24"/>
  <c r="E817" i="24"/>
  <c r="E827" i="24"/>
  <c r="E837" i="24"/>
  <c r="E839" i="24"/>
  <c r="E841" i="24"/>
  <c r="E863" i="24"/>
  <c r="E887" i="24"/>
  <c r="E897" i="24"/>
  <c r="E908" i="24"/>
  <c r="E915" i="24"/>
  <c r="E932" i="24"/>
  <c r="E941" i="24"/>
  <c r="E956" i="24"/>
  <c r="E967" i="24"/>
  <c r="E982" i="24"/>
  <c r="E1002" i="24"/>
  <c r="E1017" i="24"/>
  <c r="E1024" i="24"/>
  <c r="E1031" i="24"/>
  <c r="E1043" i="24"/>
  <c r="E1053" i="24"/>
  <c r="E1062" i="24"/>
  <c r="E1071" i="24"/>
  <c r="E1092" i="24"/>
  <c r="E1102" i="24"/>
  <c r="E1109" i="24"/>
  <c r="E1122" i="24"/>
  <c r="E1134" i="24"/>
  <c r="E1145" i="24"/>
  <c r="E1156" i="24"/>
  <c r="E1164" i="24"/>
  <c r="E1185" i="24"/>
  <c r="E1195" i="24"/>
  <c r="E1210" i="24"/>
  <c r="B255" i="26"/>
  <c r="B256" i="26"/>
  <c r="B257" i="26"/>
  <c r="B258" i="26"/>
  <c r="E267" i="24" l="1"/>
  <c r="E847" i="24"/>
  <c r="B254" i="26"/>
  <c r="B250" i="26"/>
  <c r="B251" i="26"/>
  <c r="B252" i="26"/>
  <c r="B253" i="26"/>
  <c r="B247" i="26"/>
  <c r="B248" i="26"/>
  <c r="B249" i="26"/>
  <c r="B246" i="26" l="1"/>
  <c r="B244" i="26"/>
  <c r="B245" i="26"/>
  <c r="B120" i="28"/>
  <c r="B119" i="28"/>
  <c r="B116" i="28" l="1"/>
  <c r="B117" i="28"/>
  <c r="B118" i="28"/>
  <c r="B237" i="26"/>
  <c r="B238" i="26"/>
  <c r="B239" i="26"/>
  <c r="B240" i="26"/>
  <c r="B241" i="26"/>
  <c r="B242" i="26"/>
  <c r="B243" i="26"/>
  <c r="B231" i="26" l="1"/>
  <c r="B232" i="26"/>
  <c r="B233" i="26"/>
  <c r="B234" i="26"/>
  <c r="B235" i="26"/>
  <c r="B236" i="26"/>
  <c r="B227" i="26" l="1"/>
  <c r="B228" i="26"/>
  <c r="B229" i="26"/>
  <c r="B230" i="26"/>
  <c r="B226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10" i="26" l="1"/>
  <c r="B211" i="26"/>
  <c r="B212" i="26"/>
  <c r="B213" i="26"/>
  <c r="B214" i="26"/>
  <c r="B215" i="26"/>
  <c r="B216" i="26"/>
  <c r="B217" i="26"/>
  <c r="B218" i="26"/>
  <c r="B219" i="26"/>
  <c r="B220" i="26"/>
  <c r="B221" i="26"/>
  <c r="B222" i="26"/>
  <c r="B223" i="26"/>
  <c r="B224" i="26"/>
  <c r="B225" i="26"/>
  <c r="B208" i="26"/>
  <c r="B209" i="26"/>
  <c r="B203" i="26" l="1"/>
  <c r="B204" i="26"/>
  <c r="B205" i="26"/>
  <c r="B206" i="26"/>
  <c r="B207" i="26"/>
  <c r="B194" i="26" l="1"/>
  <c r="B195" i="26"/>
  <c r="B196" i="26"/>
  <c r="B197" i="26"/>
  <c r="B198" i="26"/>
  <c r="B199" i="26"/>
  <c r="B200" i="26"/>
  <c r="B201" i="26"/>
  <c r="B202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87" i="26" l="1"/>
  <c r="B188" i="26"/>
  <c r="B189" i="26"/>
  <c r="B190" i="26"/>
  <c r="B191" i="26"/>
  <c r="B192" i="26"/>
  <c r="B193" i="26"/>
  <c r="B177" i="26" l="1"/>
  <c r="B178" i="26"/>
  <c r="B179" i="26"/>
  <c r="B180" i="26"/>
  <c r="B181" i="26"/>
  <c r="B182" i="26"/>
  <c r="B183" i="26"/>
  <c r="B184" i="26"/>
  <c r="B185" i="26"/>
  <c r="B186" i="26"/>
  <c r="B80" i="28" l="1"/>
  <c r="B81" i="28"/>
  <c r="B82" i="28"/>
  <c r="B83" i="28"/>
  <c r="B73" i="28" l="1"/>
  <c r="B74" i="28"/>
  <c r="B75" i="28"/>
  <c r="B76" i="28"/>
  <c r="B77" i="28"/>
  <c r="B78" i="28"/>
  <c r="B79" i="28"/>
  <c r="B176" i="26" l="1"/>
  <c r="B172" i="26" l="1"/>
  <c r="B173" i="26"/>
  <c r="B174" i="26"/>
  <c r="B175" i="26"/>
  <c r="B169" i="26"/>
  <c r="B170" i="26"/>
  <c r="B171" i="26"/>
  <c r="B160" i="26" l="1"/>
  <c r="B161" i="26"/>
  <c r="B162" i="26"/>
  <c r="B163" i="26"/>
  <c r="B164" i="26"/>
  <c r="B165" i="26"/>
  <c r="B166" i="26"/>
  <c r="B167" i="26"/>
  <c r="B168" i="26"/>
  <c r="B68" i="28" l="1"/>
  <c r="B69" i="28"/>
  <c r="B70" i="28"/>
  <c r="B71" i="28"/>
  <c r="B72" i="28"/>
  <c r="B158" i="26" l="1"/>
  <c r="B159" i="26"/>
  <c r="B151" i="26" l="1"/>
  <c r="B152" i="26"/>
  <c r="B153" i="26"/>
  <c r="B154" i="26"/>
  <c r="B155" i="26"/>
  <c r="B156" i="26"/>
  <c r="B157" i="26"/>
  <c r="B67" i="28" l="1"/>
  <c r="B147" i="26" l="1"/>
  <c r="B148" i="26"/>
  <c r="B149" i="26"/>
  <c r="B150" i="26"/>
  <c r="B144" i="26" l="1"/>
  <c r="B145" i="26"/>
  <c r="B146" i="26"/>
  <c r="B132" i="26" l="1"/>
  <c r="B133" i="26"/>
  <c r="B134" i="26"/>
  <c r="B135" i="26"/>
  <c r="B136" i="26"/>
  <c r="B137" i="26"/>
  <c r="B138" i="26"/>
  <c r="B139" i="26"/>
  <c r="B140" i="26"/>
  <c r="B141" i="26"/>
  <c r="B142" i="26"/>
  <c r="B143" i="26"/>
  <c r="B120" i="26" l="1"/>
  <c r="B121" i="26"/>
  <c r="B122" i="26"/>
  <c r="B123" i="26"/>
  <c r="B124" i="26"/>
  <c r="B125" i="26"/>
  <c r="B126" i="26"/>
  <c r="B127" i="26"/>
  <c r="B128" i="26"/>
  <c r="B129" i="26"/>
  <c r="B130" i="26"/>
  <c r="B131" i="26"/>
  <c r="B117" i="26" l="1"/>
  <c r="B118" i="26"/>
  <c r="B119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7" i="26"/>
  <c r="B108" i="26"/>
  <c r="B109" i="26"/>
  <c r="B110" i="26"/>
  <c r="B111" i="26"/>
  <c r="B112" i="26"/>
  <c r="B113" i="26"/>
  <c r="B114" i="26"/>
  <c r="B115" i="26"/>
  <c r="B116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103" i="26"/>
  <c r="B104" i="26"/>
  <c r="B105" i="26"/>
  <c r="B106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47" i="24"/>
  <c r="F806" i="24"/>
  <c r="F796" i="24"/>
  <c r="F775" i="24"/>
  <c r="F508" i="24"/>
  <c r="F482" i="24"/>
  <c r="F461" i="24"/>
  <c r="F447" i="24"/>
  <c r="F436" i="24"/>
  <c r="F364" i="24"/>
  <c r="F314" i="24"/>
  <c r="F212" i="24"/>
  <c r="F91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294" i="26"/>
  <c r="B1293" i="26"/>
  <c r="B1292" i="26"/>
  <c r="B1291" i="26"/>
  <c r="B1290" i="26"/>
  <c r="B1289" i="26"/>
  <c r="B1288" i="26"/>
  <c r="B1287" i="26"/>
  <c r="B1286" i="26"/>
  <c r="B1285" i="26"/>
  <c r="B1284" i="26"/>
  <c r="B1283" i="26"/>
  <c r="B1282" i="26"/>
  <c r="B1281" i="26"/>
  <c r="B1280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613" i="24" s="1"/>
  <c r="G613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AN28" i="17"/>
  <c r="AN5" i="17"/>
  <c r="G212" i="24"/>
  <c r="Q219" i="23"/>
  <c r="F932" i="24" s="1"/>
  <c r="G932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Q250" i="23"/>
  <c r="T250" i="23" s="1"/>
  <c r="Q258" i="23"/>
  <c r="T258" i="23" s="1"/>
  <c r="Q104" i="23"/>
  <c r="T104" i="23" s="1"/>
  <c r="Q120" i="23"/>
  <c r="Q160" i="23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1024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817" i="24" s="1"/>
  <c r="G817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0" i="24" s="1"/>
  <c r="Q37" i="23"/>
  <c r="T37" i="23" s="1"/>
  <c r="Q45" i="23"/>
  <c r="F516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3" i="24" s="1"/>
  <c r="Q245" i="23"/>
  <c r="F1031" i="24" s="1"/>
  <c r="Q261" i="23"/>
  <c r="F1017" i="24" s="1"/>
  <c r="G1017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956" i="24" s="1"/>
  <c r="G956" i="24" s="1"/>
  <c r="Q206" i="23"/>
  <c r="T206" i="23" s="1"/>
  <c r="Q214" i="23"/>
  <c r="T214" i="23" s="1"/>
  <c r="Q15" i="23"/>
  <c r="T15" i="23" s="1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062" i="24" s="1"/>
  <c r="Q114" i="23"/>
  <c r="F428" i="24" s="1"/>
  <c r="Q122" i="23"/>
  <c r="Q130" i="23"/>
  <c r="T130" i="23" s="1"/>
  <c r="Q138" i="23"/>
  <c r="Q151" i="23"/>
  <c r="F1328" i="24" s="1"/>
  <c r="G1328" i="24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387" i="24" s="1"/>
  <c r="Q224" i="23"/>
  <c r="T224" i="23" s="1"/>
  <c r="Q240" i="23"/>
  <c r="F72" i="17" s="1"/>
  <c r="G72" i="17" s="1"/>
  <c r="Q256" i="23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F200" i="24" s="1"/>
  <c r="G200" i="24" s="1"/>
  <c r="Q8" i="23"/>
  <c r="Q13" i="23"/>
  <c r="F1071" i="24" s="1"/>
  <c r="G1071" i="24" s="1"/>
  <c r="Q18" i="23"/>
  <c r="Q26" i="23"/>
  <c r="T26" i="23" s="1"/>
  <c r="Q34" i="23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1043" i="24" s="1"/>
  <c r="Q99" i="23"/>
  <c r="T99" i="23" s="1"/>
  <c r="Q107" i="23"/>
  <c r="T107" i="23" s="1"/>
  <c r="Q112" i="23"/>
  <c r="F416" i="24" s="1"/>
  <c r="G416" i="24" s="1"/>
  <c r="Q117" i="23"/>
  <c r="T117" i="23" s="1"/>
  <c r="Q125" i="23"/>
  <c r="T125" i="23" s="1"/>
  <c r="Q133" i="23"/>
  <c r="F941" i="24" s="1"/>
  <c r="G941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T211" i="23" s="1"/>
  <c r="Q229" i="23"/>
  <c r="T229" i="23" s="1"/>
  <c r="Q237" i="23"/>
  <c r="F652" i="24" s="1"/>
  <c r="G652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Q209" i="23"/>
  <c r="T209" i="23" s="1"/>
  <c r="Q227" i="23"/>
  <c r="Q235" i="23"/>
  <c r="Q253" i="23"/>
  <c r="Q263" i="23"/>
  <c r="Q7" i="23"/>
  <c r="T7" i="23" s="1"/>
  <c r="Q12" i="23"/>
  <c r="Q17" i="23"/>
  <c r="T17" i="23" s="1"/>
  <c r="Q25" i="23"/>
  <c r="F915" i="24" s="1"/>
  <c r="G915" i="24" s="1"/>
  <c r="Q33" i="23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78" i="24" s="1"/>
  <c r="Q173" i="23"/>
  <c r="T173" i="23" s="1"/>
  <c r="Q178" i="23"/>
  <c r="Q186" i="23"/>
  <c r="T186" i="23" s="1"/>
  <c r="Q191" i="23"/>
  <c r="T191" i="23" s="1"/>
  <c r="Q204" i="23"/>
  <c r="T204" i="23" s="1"/>
  <c r="Q212" i="23"/>
  <c r="Q222" i="23"/>
  <c r="T222" i="23" s="1"/>
  <c r="Q230" i="23"/>
  <c r="F556" i="24" s="1"/>
  <c r="Q238" i="23"/>
  <c r="F1156" i="24" s="1"/>
  <c r="G1156" i="24" s="1"/>
  <c r="Q243" i="23"/>
  <c r="T243" i="23" s="1"/>
  <c r="Q248" i="23"/>
  <c r="T248" i="23" s="1"/>
  <c r="Q266" i="23"/>
  <c r="T266" i="23" s="1"/>
  <c r="BO275" i="1"/>
  <c r="Q5" i="23"/>
  <c r="AN3" i="17"/>
  <c r="T201" i="23" l="1"/>
  <c r="F353" i="24"/>
  <c r="T176" i="23"/>
  <c r="F1340" i="24"/>
  <c r="G1340" i="24" s="1"/>
  <c r="T178" i="23"/>
  <c r="F897" i="24"/>
  <c r="G897" i="24" s="1"/>
  <c r="F1316" i="24"/>
  <c r="T256" i="23"/>
  <c r="F639" i="24"/>
  <c r="G639" i="24" s="1"/>
  <c r="T34" i="23"/>
  <c r="F1081" i="24"/>
  <c r="F1092" i="24"/>
  <c r="T253" i="23"/>
  <c r="F1309" i="24"/>
  <c r="T120" i="23"/>
  <c r="F686" i="24"/>
  <c r="G686" i="24" s="1"/>
  <c r="T151" i="23"/>
  <c r="F1302" i="24"/>
  <c r="T92" i="23"/>
  <c r="F1294" i="24"/>
  <c r="T160" i="23"/>
  <c r="F729" i="24"/>
  <c r="F177" i="24"/>
  <c r="G177" i="24" s="1"/>
  <c r="T100" i="23"/>
  <c r="F267" i="24"/>
  <c r="T257" i="23"/>
  <c r="F1280" i="24"/>
  <c r="G1280" i="24" s="1"/>
  <c r="AN35" i="17"/>
  <c r="T22" i="23"/>
  <c r="F875" i="24"/>
  <c r="T183" i="23"/>
  <c r="F472" i="24"/>
  <c r="F12" i="24"/>
  <c r="K272" i="23"/>
  <c r="Q21" i="23"/>
  <c r="F863" i="24" s="1"/>
  <c r="G863" i="24" s="1"/>
  <c r="T255" i="23"/>
  <c r="F626" i="24"/>
  <c r="G626" i="24" s="1"/>
  <c r="T212" i="23"/>
  <c r="F1266" i="24"/>
  <c r="F107" i="24"/>
  <c r="G107" i="24" s="1"/>
  <c r="F75" i="17"/>
  <c r="G75" i="17" s="1"/>
  <c r="F74" i="17"/>
  <c r="G74" i="17" s="1"/>
  <c r="G71" i="17"/>
  <c r="T232" i="23"/>
  <c r="F66" i="17"/>
  <c r="G66" i="17" s="1"/>
  <c r="F303" i="24"/>
  <c r="G303" i="24" s="1"/>
  <c r="F65" i="17"/>
  <c r="G65" i="17" s="1"/>
  <c r="T159" i="23"/>
  <c r="F63" i="17"/>
  <c r="G63" i="17" s="1"/>
  <c r="T80" i="23"/>
  <c r="T169" i="23"/>
  <c r="F79" i="24"/>
  <c r="T65" i="23"/>
  <c r="F764" i="24"/>
  <c r="T122" i="23"/>
  <c r="F1258" i="24"/>
  <c r="T156" i="23"/>
  <c r="F1250" i="24"/>
  <c r="T240" i="23"/>
  <c r="F1237" i="24"/>
  <c r="T165" i="23"/>
  <c r="F1223" i="24"/>
  <c r="T40" i="23"/>
  <c r="F1210" i="24"/>
  <c r="T129" i="23"/>
  <c r="F667" i="24"/>
  <c r="G667" i="24" s="1"/>
  <c r="T239" i="23"/>
  <c r="F1195" i="24"/>
  <c r="T18" i="23"/>
  <c r="F1164" i="24"/>
  <c r="G1164" i="24" s="1"/>
  <c r="T174" i="23"/>
  <c r="F1185" i="24"/>
  <c r="G1185" i="24" s="1"/>
  <c r="T138" i="23"/>
  <c r="F719" i="24"/>
  <c r="G719" i="24" s="1"/>
  <c r="T131" i="23"/>
  <c r="F252" i="24"/>
  <c r="T260" i="23"/>
  <c r="F887" i="24"/>
  <c r="T157" i="23"/>
  <c r="F967" i="24"/>
  <c r="G967" i="24" s="1"/>
  <c r="T8" i="23"/>
  <c r="F696" i="24"/>
  <c r="G696" i="24" s="1"/>
  <c r="T19" i="23"/>
  <c r="F827" i="24"/>
  <c r="T14" i="23"/>
  <c r="F131" i="24"/>
  <c r="T98" i="23"/>
  <c r="F908" i="24"/>
  <c r="G908" i="24" s="1"/>
  <c r="T205" i="23"/>
  <c r="F37" i="24"/>
  <c r="T263" i="23"/>
  <c r="F185" i="24"/>
  <c r="G185" i="24" s="1"/>
  <c r="T12" i="23"/>
  <c r="F241" i="24"/>
  <c r="G241" i="24" s="1"/>
  <c r="T195" i="23"/>
  <c r="G1062" i="24"/>
  <c r="F1053" i="24"/>
  <c r="G1053" i="24" s="1"/>
  <c r="T90" i="23"/>
  <c r="T45" i="23"/>
  <c r="T226" i="23"/>
  <c r="F542" i="24"/>
  <c r="T161" i="23"/>
  <c r="F1145" i="24"/>
  <c r="G1145" i="24" s="1"/>
  <c r="T233" i="23"/>
  <c r="F344" i="24"/>
  <c r="T192" i="23"/>
  <c r="F1134" i="24"/>
  <c r="G1134" i="24" s="1"/>
  <c r="T42" i="23"/>
  <c r="F1122" i="24"/>
  <c r="G1122" i="24" s="1"/>
  <c r="T264" i="23"/>
  <c r="T251" i="23"/>
  <c r="F583" i="24"/>
  <c r="G583" i="24" s="1"/>
  <c r="T185" i="23"/>
  <c r="F982" i="24"/>
  <c r="G982" i="24" s="1"/>
  <c r="T23" i="23"/>
  <c r="F567" i="24"/>
  <c r="T238" i="23"/>
  <c r="T29" i="23"/>
  <c r="T219" i="23"/>
  <c r="T102" i="23"/>
  <c r="F1109" i="24"/>
  <c r="T177" i="23"/>
  <c r="F149" i="24"/>
  <c r="G149" i="24" s="1"/>
  <c r="T242" i="23"/>
  <c r="T221" i="23"/>
  <c r="F837" i="24"/>
  <c r="G837" i="24" s="1"/>
  <c r="F993" i="24"/>
  <c r="G993" i="24" s="1"/>
  <c r="F284" i="24"/>
  <c r="T91" i="23"/>
  <c r="T261" i="23"/>
  <c r="T27" i="23"/>
  <c r="T245" i="23"/>
  <c r="T198" i="23"/>
  <c r="F755" i="24"/>
  <c r="G755" i="24" s="1"/>
  <c r="T137" i="23"/>
  <c r="F785" i="24"/>
  <c r="T254" i="23"/>
  <c r="F1002" i="24"/>
  <c r="G1002" i="24" s="1"/>
  <c r="T114" i="23"/>
  <c r="T13" i="23"/>
  <c r="F62" i="24"/>
  <c r="G62" i="24" s="1"/>
  <c r="T57" i="23"/>
  <c r="F1102" i="24"/>
  <c r="G1102" i="24" s="1"/>
  <c r="T230" i="23"/>
  <c r="F405" i="24"/>
  <c r="T112" i="23"/>
  <c r="F504" i="24"/>
  <c r="G504" i="24" s="1"/>
  <c r="T237" i="23"/>
  <c r="T94" i="23"/>
  <c r="T25" i="23"/>
  <c r="T227" i="23"/>
  <c r="T33" i="23"/>
  <c r="F533" i="24"/>
  <c r="G533" i="24" s="1"/>
  <c r="T133" i="23"/>
  <c r="F227" i="24"/>
  <c r="F709" i="24"/>
  <c r="G709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<sst xmlns="http://schemas.openxmlformats.org/spreadsheetml/2006/main" count="4170" uniqueCount="1505">
  <si>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</si>
  <si>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</si>
  <si>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</si>
  <si>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</si>
  <si>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</si>
  <si>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</si>
  <si>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</si>
  <si>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</si>
  <si>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</si>
  <si>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</si>
  <si>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</si>
  <si>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</si>
  <si>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</si>
  <si>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</si>
  <si>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</si>
  <si>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</si>
  <si>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</si>
  <si>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</si>
  <si>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</si>
  <si>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</si>
  <si>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</si>
  <si>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</si>
  <si>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</si>
  <si>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</si>
  <si>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</si>
  <si>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</si>
  <si>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</si>
  <si>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</si>
  <si>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</si>
  <si>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</si>
  <si>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</si>
  <si>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</si>
  <si>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</si>
  <si>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</si>
  <si>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</si>
  <si>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</si>
  <si>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</si>
  <si>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</si>
  <si>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</si>
  <si>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</si>
  <si>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</si>
  <si>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</si>
  <si>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</si>
  <si>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</si>
  <si>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</si>
  <si>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</si>
  <si>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</si>
  <si>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</si>
  <si>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</si>
  <si>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</si>
  <si>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</si>
  <si>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</si>
  <si>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</si>
  <si>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</si>
  <si>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</si>
  <si>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</si>
  <si>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</si>
  <si>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</si>
  <si>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</si>
  <si>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</si>
  <si>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</si>
  <si>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</si>
  <si>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</si>
  <si>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</si>
  <si>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</si>
  <si>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</si>
  <si>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</si>
  <si>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</si>
  <si>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</si>
  <si>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</si>
  <si>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</si>
  <si>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</si>
  <si>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</si>
  <si>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</si>
  <si>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</si>
  <si>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</si>
  <si>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</si>
  <si>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</si>
  <si>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</si>
  <si>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</si>
  <si>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</si>
  <si>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</si>
  <si>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</si>
  <si>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</si>
  <si>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</si>
  <si>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</si>
  <si>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</si>
  <si>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</si>
  <si>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</si>
  <si>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</si>
  <si>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</si>
  <si>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</si>
  <si>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</si>
  <si>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</si>
  <si>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</si>
  <si>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</si>
  <si>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</si>
  <si>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</si>
  <si>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</si>
  <si>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</si>
  <si>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</si>
  <si>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</si>
  <si>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</si>
  <si>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</si>
  <si>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</si>
  <si>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</si>
  <si>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</si>
  <si>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</si>
  <si>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</si>
  <si>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</si>
  <si>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</si>
  <si>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</si>
  <si>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</si>
  <si>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</si>
  <si>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</si>
  <si>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</si>
  <si>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</si>
  <si>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</si>
  <si>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</si>
  <si>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</si>
  <si>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</si>
  <si>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</si>
  <si>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</si>
  <si>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</si>
  <si>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</si>
  <si>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</si>
  <si>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</si>
  <si>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</si>
  <si>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</si>
  <si>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</si>
  <si>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</si>
  <si>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</si>
  <si>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</si>
  <si>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</si>
  <si>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</si>
  <si>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</si>
  <si>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</si>
  <si>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</si>
  <si>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</si>
  <si>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</si>
  <si>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</si>
  <si>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</si>
  <si>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</si>
  <si>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</si>
  <si>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</si>
  <si>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</si>
  <si>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</si>
  <si>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</si>
  <si>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</si>
  <si>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</si>
  <si>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</si>
  <si>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</si>
  <si>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</si>
  <si>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</si>
  <si>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</si>
  <si>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</si>
  <si>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</si>
  <si>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</si>
  <si>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</si>
  <si>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</si>
  <si>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</si>
  <si>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</si>
  <si>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</si>
  <si>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</si>
  <si>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</si>
  <si>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</si>
  <si>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</si>
  <si>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</si>
  <si>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</si>
  <si>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</si>
  <si>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</si>
  <si>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</si>
  <si>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</si>
  <si>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</si>
  <si>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</si>
  <si>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</si>
  <si>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</si>
  <si>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</si>
  <si>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</si>
  <si>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</si>
  <si>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</si>
  <si>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</si>
  <si>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</si>
  <si>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</si>
  <si>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</si>
  <si>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</si>
  <si>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</si>
  <si>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</si>
  <si>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</si>
  <si>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</si>
  <si>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</si>
  <si>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</si>
  <si>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</si>
  <si>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</si>
  <si>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</si>
  <si>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</si>
  <si>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</si>
  <si>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</si>
  <si>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</si>
  <si>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</si>
  <si>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</si>
  <si>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</si>
  <si>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</si>
  <si>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</si>
  <si>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</si>
  <si>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</si>
  <si>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</si>
  <si>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</si>
  <si>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</si>
  <si>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</si>
  <si>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</si>
  <si>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</si>
  <si>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</si>
  <si>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</si>
  <si>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</si>
  <si>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</si>
  <si>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</si>
  <si>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</si>
  <si>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</si>
  <si>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</si>
  <si>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</si>
  <si>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</si>
  <si>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</si>
  <si>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</si>
  <si>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</si>
  <si>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</si>
  <si>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</si>
  <si>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</si>
  <si>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</si>
  <si>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</si>
  <si>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</si>
  <si>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</si>
  <si>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</si>
  <si>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</si>
  <si>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</si>
  <si>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</si>
  <si>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</si>
  <si>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</si>
  <si>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</si>
  <si>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</si>
  <si>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</si>
  <si>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</si>
  <si>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</si>
  <si>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</si>
  <si>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</si>
  <si>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</si>
  <si>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</si>
  <si>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</si>
  <si>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</si>
  <si>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</si>
  <si>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</si>
  <si>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</si>
  <si>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</si>
  <si>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</si>
  <si>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</si>
  <si>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</si>
  <si>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</si>
  <si>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</si>
  <si>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</si>
  <si>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</si>
  <si>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</si>
  <si>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</si>
  <si>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</si>
  <si>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</si>
  <si>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</si>
  <si>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</si>
  <si>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</si>
  <si>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</si>
  <si>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</si>
  <si>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</si>
  <si>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</si>
  <si>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</si>
  <si>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</si>
  <si>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</si>
  <si>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</si>
  <si>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</si>
  <si>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</si>
  <si>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</si>
  <si>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</si>
  <si>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</si>
  <si>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</si>
  <si>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</si>
  <si>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</si>
  <si>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</si>
  <si>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</si>
  <si>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</si>
  <si>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</si>
  <si>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</si>
  <si>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</si>
  <si>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</si>
  <si>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</si>
  <si>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</si>
  <si>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</si>
  <si>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</si>
  <si>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</si>
  <si>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</si>
  <si>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</si>
  <si>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</si>
  <si>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</si>
  <si>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</si>
  <si>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</si>
  <si>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</si>
  <si>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</si>
  <si>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</si>
  <si>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</si>
  <si>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</si>
  <si>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</si>
  <si>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</si>
  <si>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</si>
  <si>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</si>
  <si>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</si>
  <si>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</si>
  <si>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</si>
  <si>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</si>
  <si>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</si>
  <si>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</si>
  <si>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</si>
  <si>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</si>
  <si>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</si>
  <si>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</si>
  <si>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</si>
  <si>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</si>
  <si>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</si>
  <si>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</si>
  <si>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</si>
  <si>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</si>
  <si>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</si>
  <si>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</si>
  <si>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</si>
  <si>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</si>
  <si>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</si>
  <si>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</si>
  <si>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</si>
  <si>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</si>
  <si>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</si>
  <si>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</si>
  <si>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</si>
  <si>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</si>
  <si>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</si>
  <si>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</si>
  <si>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</si>
  <si>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</si>
  <si>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</si>
  <si>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</si>
  <si>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</si>
  <si>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</si>
  <si>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</si>
  <si>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</si>
  <si>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</si>
  <si>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</si>
  <si>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</si>
  <si>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</si>
  <si>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</si>
  <si>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</si>
  <si>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</si>
  <si>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</si>
  <si>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</si>
  <si>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</si>
  <si>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</si>
  <si>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</si>
  <si>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</si>
  <si>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</si>
  <si>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</si>
  <si>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</si>
  <si>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</si>
  <si>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</si>
  <si>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</si>
  <si>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</si>
  <si>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</si>
  <si>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</si>
  <si>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</si>
  <si>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</si>
  <si>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</si>
  <si>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</si>
  <si>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</si>
  <si>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</si>
  <si>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</si>
  <si>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</si>
  <si>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</si>
  <si>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</si>
  <si>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</si>
  <si>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</si>
  <si>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</si>
  <si>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</si>
  <si>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</si>
  <si>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</si>
  <si>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</si>
  <si>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</si>
  <si>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</si>
  <si>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</si>
  <si>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</si>
  <si>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</si>
  <si>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</si>
  <si>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</si>
  <si>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</si>
  <si>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</si>
  <si>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</si>
  <si>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</si>
  <si>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</si>
  <si>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</si>
  <si>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</si>
  <si>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</si>
  <si>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</si>
  <si>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</si>
  <si>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</si>
  <si>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</si>
  <si>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</si>
  <si>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</si>
  <si>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</si>
  <si>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</si>
  <si>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</si>
  <si>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</si>
  <si>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</si>
  <si>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</si>
  <si>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</si>
  <si>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</si>
  <si>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</si>
  <si>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</si>
  <si>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</si>
  <si>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</si>
  <si>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</si>
  <si>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</si>
  <si>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</si>
  <si>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</si>
  <si>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</si>
  <si>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</si>
  <si>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</si>
  <si>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</si>
  <si>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</si>
  <si>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</si>
  <si>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</si>
  <si>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</si>
  <si>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</si>
  <si>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</si>
  <si>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</si>
  <si>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</si>
  <si>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</si>
  <si>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</si>
  <si>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</si>
  <si>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</si>
  <si>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</si>
  <si>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</si>
  <si>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</si>
  <si>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</si>
  <si>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</si>
  <si>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</si>
  <si>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</si>
  <si>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</si>
  <si>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</si>
  <si>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</si>
  <si>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</si>
  <si>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</si>
  <si>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</si>
  <si>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</si>
  <si>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</si>
  <si>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</si>
  <si>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</si>
  <si>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</si>
  <si>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</si>
  <si>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</si>
  <si>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</si>
  <si>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</si>
  <si>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</si>
  <si>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</si>
  <si>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</si>
  <si>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</si>
  <si>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</si>
  <si>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</si>
  <si>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</si>
  <si>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</si>
  <si>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</si>
  <si>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</si>
  <si>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</si>
  <si>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</si>
  <si>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</si>
  <si>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</si>
  <si>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</si>
  <si>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</si>
  <si>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</si>
  <si>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</si>
  <si>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</si>
  <si>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</si>
  <si>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</si>
  <si>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</si>
  <si>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</si>
  <si>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</si>
  <si>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</si>
  <si>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</si>
  <si>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</si>
  <si>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</si>
  <si>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</si>
  <si>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</si>
  <si>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</si>
  <si>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</si>
  <si>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</si>
  <si>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</si>
  <si>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</si>
  <si>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</si>
  <si>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</si>
  <si>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</si>
  <si>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</si>
  <si>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</si>
  <si>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</si>
  <si>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</si>
  <si>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</si>
  <si>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</si>
  <si>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</si>
  <si>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</si>
  <si>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</si>
  <si>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</si>
  <si>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</si>
  <si>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</si>
  <si>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</si>
  <si>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</si>
  <si>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</si>
  <si>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</si>
  <si>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</si>
  <si>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</si>
  <si>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</si>
  <si>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</si>
  <si>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</si>
  <si>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</si>
  <si>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</si>
  <si>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</si>
  <si>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</si>
  <si>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</si>
  <si>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</si>
  <si>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</si>
  <si>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</si>
  <si>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</si>
  <si>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</si>
  <si>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</si>
  <si>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</si>
  <si>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</si>
  <si>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</si>
  <si>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</si>
  <si>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</si>
  <si>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</si>
  <si>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</si>
  <si>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</si>
  <si>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</si>
  <si>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</si>
  <si>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</si>
  <si>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</si>
  <si>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</si>
  <si>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</si>
  <si>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</si>
  <si>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</si>
  <si>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</si>
  <si>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</si>
  <si>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</si>
  <si>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</si>
  <si>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</si>
  <si>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</si>
  <si>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</si>
  <si>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</si>
  <si>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</si>
  <si>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</si>
  <si>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</si>
  <si>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</si>
  <si>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</si>
  <si>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</si>
  <si>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</si>
  <si>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</si>
  <si>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</si>
  <si>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</si>
  <si>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</si>
  <si>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</si>
  <si>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</si>
  <si>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</si>
  <si>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</si>
  <si>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</si>
  <si>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</si>
  <si>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</si>
  <si>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</si>
  <si>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</si>
  <si>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</si>
  <si>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</si>
  <si>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</si>
  <si>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</si>
  <si>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</si>
  <si>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</si>
  <si>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</si>
  <si>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</si>
  <si>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</si>
  <si>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</si>
  <si>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</si>
  <si>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</si>
  <si>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</si>
  <si>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</si>
  <si>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</si>
  <si>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</si>
  <si>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</si>
  <si>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</si>
  <si>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</si>
  <si>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</si>
  <si>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</si>
  <si>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</si>
  <si>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</si>
  <si>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</si>
  <si>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</si>
  <si>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</si>
  <si>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</si>
  <si>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</si>
  <si>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</si>
  <si>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</si>
  <si>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</si>
  <si>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</si>
  <si>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</si>
  <si>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</si>
  <si>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</si>
  <si>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</si>
  <si>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</si>
  <si>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</si>
  <si>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</si>
  <si>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</si>
  <si>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</si>
  <si>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</si>
  <si>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</si>
  <si>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</si>
  <si>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</si>
  <si>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</si>
  <si>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</si>
  <si>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</si>
  <si>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</si>
  <si>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</si>
  <si>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</si>
  <si>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</si>
  <si>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</si>
  <si>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</si>
  <si>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</si>
  <si>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</si>
  <si>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</si>
  <si>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</si>
  <si>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</si>
  <si>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</si>
  <si>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</si>
  <si>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</si>
  <si>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</si>
  <si>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</si>
  <si>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</si>
  <si>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</si>
  <si>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</si>
  <si>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</si>
  <si>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</si>
  <si>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</si>
  <si>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</si>
  <si>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</si>
  <si>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</si>
  <si>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</si>
  <si>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</si>
  <si>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</si>
  <si>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</si>
  <si>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</si>
  <si>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</si>
  <si>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</si>
  <si>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</si>
  <si>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</si>
  <si>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</si>
  <si>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</si>
  <si>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</si>
  <si>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</si>
  <si>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</si>
  <si>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TV20260827009</t>
  </si>
  <si>
    <t>TV20260824018</t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</si>
  <si>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</si>
  <si>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</si>
  <si>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</si>
  <si>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</si>
  <si>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</si>
  <si>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</si>
  <si>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</si>
  <si>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</si>
  <si>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</si>
  <si>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</si>
  <si>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</si>
  <si>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</si>
  <si>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</si>
  <si>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</si>
  <si>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</si>
  <si>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</si>
  <si>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</si>
  <si>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</si>
  <si>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</si>
  <si>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</si>
  <si>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</si>
  <si>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</si>
  <si>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</si>
  <si>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</si>
  <si>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</si>
  <si>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</si>
  <si>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</si>
  <si>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</si>
  <si>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</si>
  <si>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</si>
  <si>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</si>
  <si>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</si>
  <si>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</si>
  <si>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</si>
  <si>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</si>
  <si>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</si>
  <si>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</si>
  <si>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</si>
  <si>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</si>
  <si>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</si>
  <si>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</si>
  <si>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</si>
  <si>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</si>
  <si>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TV20260725010</t>
  </si>
  <si>
    <t>TV20260729023</t>
  </si>
  <si>
    <t>TV20260730001</t>
  </si>
  <si>
    <t>TV20260729001</t>
  </si>
  <si>
    <t>TV20260725011</t>
  </si>
  <si>
    <t>TV20260727005</t>
  </si>
  <si>
    <t>TV20260729002</t>
  </si>
  <si>
    <t>TV20260729024</t>
  </si>
  <si>
    <t>TV20260730003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</si>
  <si>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</si>
  <si>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</si>
  <si>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</si>
  <si>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</si>
  <si>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</si>
  <si>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</si>
  <si>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</si>
  <si>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</si>
  <si>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</si>
  <si>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</si>
  <si>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</si>
  <si>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</si>
  <si>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</si>
  <si>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</si>
  <si>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</si>
  <si>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</si>
  <si>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</si>
  <si>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</si>
  <si>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</si>
  <si>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</si>
  <si>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</si>
  <si>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</si>
  <si>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</si>
  <si>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</si>
  <si>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</si>
  <si>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</si>
  <si>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</si>
  <si>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</si>
  <si>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</si>
  <si>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</si>
  <si>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</si>
  <si>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</si>
  <si>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</si>
  <si>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</si>
  <si>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</si>
  <si>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</si>
  <si>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</si>
  <si>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</si>
  <si>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</si>
  <si>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</si>
  <si>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</si>
  <si>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</si>
  <si>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</si>
  <si>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</si>
  <si>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</si>
  <si>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</si>
  <si>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</si>
  <si>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</si>
  <si>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</si>
  <si>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</si>
  <si>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</si>
  <si>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</si>
  <si>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</si>
  <si>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</si>
  <si>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</si>
  <si>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</si>
  <si>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</si>
  <si>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</si>
  <si>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</si>
  <si>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</si>
  <si>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</si>
  <si>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</si>
  <si>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</si>
  <si>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</si>
  <si>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</si>
  <si>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</si>
  <si>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</si>
  <si>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</si>
  <si>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</si>
  <si>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</si>
  <si>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</si>
  <si>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</si>
  <si>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</si>
  <si>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</si>
  <si>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</si>
  <si>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</si>
  <si>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</si>
  <si>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</si>
  <si>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</si>
  <si>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</si>
  <si>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</si>
  <si>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TR355876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</si>
  <si>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</si>
  <si>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</si>
  <si>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</si>
  <si>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</si>
  <si>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</si>
  <si>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</si>
  <si>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</si>
  <si>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</si>
  <si>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</si>
  <si>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</si>
  <si>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</si>
  <si>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</si>
  <si>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</si>
  <si>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</si>
  <si>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</si>
  <si>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</si>
  <si>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</si>
  <si>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</si>
  <si>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</si>
  <si>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</si>
  <si>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</si>
  <si>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</si>
  <si>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</si>
  <si>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</si>
  <si>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</si>
  <si>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</si>
  <si>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</si>
  <si>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</si>
  <si>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</si>
  <si>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</si>
  <si>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</si>
  <si>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</si>
  <si>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</si>
  <si>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</si>
  <si>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</si>
  <si>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</si>
  <si>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</si>
  <si>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</si>
  <si>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</si>
  <si>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</si>
  <si>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</si>
  <si>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</si>
  <si>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</si>
  <si>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</si>
  <si>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</si>
  <si>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</si>
  <si>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</si>
  <si>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</si>
  <si>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</si>
  <si>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</si>
  <si>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</si>
  <si>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</si>
  <si>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</si>
  <si>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</si>
  <si>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</si>
  <si>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</si>
  <si>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</si>
  <si>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</si>
  <si>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</si>
  <si>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</si>
  <si>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</si>
  <si>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</si>
  <si>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</si>
  <si>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</si>
  <si>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</si>
  <si>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</si>
  <si>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</si>
  <si>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</si>
  <si>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</si>
  <si>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</si>
  <si>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</si>
  <si>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</si>
  <si>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</si>
  <si>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</si>
  <si>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</si>
  <si>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</si>
  <si>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TV20260908002</t>
    <phoneticPr fontId="73" type="noConversion"/>
  </si>
  <si>
    <t>TV20260911050</t>
    <phoneticPr fontId="73" type="noConversion"/>
  </si>
  <si>
    <t>TV20260907007</t>
    <phoneticPr fontId="73" type="noConversion"/>
  </si>
  <si>
    <t>TV20260914009</t>
    <phoneticPr fontId="73" type="noConversion"/>
  </si>
  <si>
    <t>TK20260913008</t>
    <phoneticPr fontId="73" type="noConversion"/>
  </si>
  <si>
    <t>TV20260908001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</si>
  <si>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</si>
  <si>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</si>
  <si>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</si>
  <si>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</si>
  <si>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</si>
  <si>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</si>
  <si>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</si>
  <si>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</si>
  <si>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</si>
  <si>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TV20260911035</t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</si>
  <si>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</si>
  <si>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</si>
  <si>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</si>
  <si>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</si>
  <si>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</si>
  <si>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</si>
  <si>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</si>
  <si>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</si>
  <si>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</si>
  <si>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</si>
  <si>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</si>
  <si>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TR300016</t>
    <phoneticPr fontId="73" type="noConversion"/>
  </si>
  <si>
    <t>TR300016</t>
    <phoneticPr fontId="73" type="noConversion"/>
  </si>
  <si>
    <t>TV20260912024</t>
  </si>
  <si>
    <t>TV20260916025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</si>
  <si>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</si>
  <si>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</si>
  <si>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</si>
  <si>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</si>
  <si>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</si>
  <si>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</si>
  <si>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</si>
  <si>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</si>
  <si>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</si>
  <si>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</si>
  <si>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</si>
  <si>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</si>
  <si>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</si>
  <si>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</si>
  <si>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</si>
  <si>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</si>
  <si>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</si>
  <si>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</si>
  <si>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</si>
  <si>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</si>
  <si>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</si>
  <si>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</si>
  <si>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</si>
  <si>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</si>
  <si>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</si>
  <si>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</si>
  <si>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</si>
  <si>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</si>
  <si>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</si>
  <si>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TV20260915026</t>
  </si>
  <si>
    <t>TV20260917012</t>
    <phoneticPr fontId="73" type="noConversion"/>
  </si>
  <si>
    <t>TV20260918042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</si>
  <si>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</si>
  <si>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</si>
  <si>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</si>
  <si>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</si>
  <si>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</si>
  <si>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</si>
  <si>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</si>
  <si>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</si>
  <si>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TV20260916015</t>
  </si>
  <si>
    <t>TV20260911022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</si>
  <si>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</si>
  <si>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</si>
  <si>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</si>
  <si>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</si>
  <si>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</si>
  <si>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</si>
  <si>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</si>
  <si>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</si>
  <si>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</si>
  <si>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</si>
  <si>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</si>
  <si>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</si>
  <si>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</si>
  <si>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</si>
  <si>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TV20260904013</t>
    <phoneticPr fontId="73" type="noConversion"/>
  </si>
  <si>
    <t>TV20260903011</t>
    <phoneticPr fontId="73" type="noConversion"/>
  </si>
  <si>
    <t>TV20260905008</t>
    <phoneticPr fontId="73" type="noConversion"/>
  </si>
  <si>
    <t>TV20260828008</t>
    <phoneticPr fontId="73" type="noConversion"/>
  </si>
  <si>
    <t>TV20260922010</t>
    <phoneticPr fontId="73" type="noConversion"/>
  </si>
  <si>
    <t>TV20260918002</t>
  </si>
  <si>
    <t>TR352059</t>
    <phoneticPr fontId="73" type="noConversion"/>
  </si>
  <si>
    <t>TV20260830013</t>
    <phoneticPr fontId="73" type="noConversion"/>
  </si>
  <si>
    <t>TV20260905007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</si>
  <si>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</si>
  <si>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</si>
  <si>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</si>
  <si>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</si>
  <si>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</si>
  <si>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</si>
  <si>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</si>
  <si>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</si>
  <si>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</si>
  <si>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</si>
  <si>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</si>
  <si>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</si>
  <si>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</si>
  <si>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</si>
  <si>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</si>
  <si>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</si>
  <si>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</si>
  <si>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TR354314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</si>
  <si>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</si>
  <si>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</si>
  <si>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</si>
  <si>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</si>
  <si>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</si>
  <si>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</si>
  <si>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</si>
  <si>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</si>
  <si>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</si>
  <si>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</si>
  <si>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</si>
  <si>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</si>
  <si>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</si>
  <si>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</si>
  <si>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</si>
  <si>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</si>
  <si>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</si>
  <si>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</si>
  <si>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</si>
  <si>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</si>
  <si>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</si>
  <si>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TV20260921037</t>
  </si>
  <si>
    <t>TV20260921038</t>
  </si>
  <si>
    <t>TV20260921039</t>
  </si>
  <si>
    <t>TV20260924018</t>
    <phoneticPr fontId="73" type="noConversion"/>
  </si>
  <si>
    <t>TR354691</t>
    <phoneticPr fontId="73" type="noConversion"/>
  </si>
  <si>
    <t>TV20260919023</t>
    <phoneticPr fontId="73" type="noConversion"/>
  </si>
  <si>
    <t>TV20260919022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</si>
  <si>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</si>
  <si>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</si>
  <si>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</si>
  <si>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</si>
  <si>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</si>
  <si>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</si>
  <si>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</si>
  <si>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</si>
  <si>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TV20260922012</t>
    <phoneticPr fontId="73" type="noConversion"/>
  </si>
  <si>
    <t>TV20260923020</t>
    <phoneticPr fontId="73" type="noConversion"/>
  </si>
  <si>
    <t>TV20260924014</t>
    <phoneticPr fontId="73" type="noConversion"/>
  </si>
  <si>
    <t>TV20260925015</t>
  </si>
  <si>
    <t>TV20260923039</t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</si>
  <si>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</si>
  <si>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</si>
  <si>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</si>
  <si>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</si>
  <si>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</si>
  <si>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TV20260918013</t>
    <phoneticPr fontId="73" type="noConversion"/>
  </si>
  <si>
    <t>TV20260917014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</si>
  <si>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</si>
  <si>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</si>
  <si>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</si>
  <si>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</si>
  <si>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</si>
  <si>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</si>
  <si>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</si>
  <si>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</si>
  <si>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</si>
  <si>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</si>
  <si>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</si>
  <si>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</si>
  <si>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</si>
  <si>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</si>
  <si>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</si>
  <si>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</si>
  <si>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</si>
  <si>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TV20260926007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</si>
  <si>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</si>
  <si>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</si>
  <si>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</si>
  <si>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TV20260917015</t>
    <phoneticPr fontId="73" type="noConversion"/>
  </si>
  <si>
    <t>TR355209</t>
    <phoneticPr fontId="73" type="noConversion"/>
  </si>
  <si>
    <t>TR351317</t>
    <phoneticPr fontId="73" type="noConversion"/>
  </si>
  <si>
    <t>TV20260925010</t>
  </si>
  <si>
    <t>TV20260925011</t>
  </si>
  <si>
    <t>TV20260925013</t>
  </si>
  <si>
    <t>TV20260925007</t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</si>
  <si>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</si>
  <si>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</si>
  <si>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</si>
  <si>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</si>
  <si>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</si>
  <si>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</si>
  <si>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</si>
  <si>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</si>
  <si>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</si>
  <si>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</si>
  <si>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</si>
  <si>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</si>
  <si>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TV20260929035</t>
    <phoneticPr fontId="73" type="noConversion"/>
  </si>
  <si>
    <t>TV20260929034</t>
    <phoneticPr fontId="73" type="noConversion"/>
  </si>
  <si>
    <t>TV20260922009</t>
    <phoneticPr fontId="73" type="noConversion"/>
  </si>
  <si>
    <t>TR355876</t>
    <phoneticPr fontId="73" type="noConversion"/>
  </si>
  <si>
    <t>TR355199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</si>
  <si>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</si>
  <si>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</si>
  <si>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</si>
  <si>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</si>
  <si>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</si>
  <si>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</si>
  <si>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</si>
  <si>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</si>
  <si>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</si>
  <si>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</si>
  <si>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</si>
  <si>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</si>
  <si>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</si>
  <si>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</si>
  <si>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</si>
  <si>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</si>
  <si>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</si>
  <si>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</si>
  <si>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</si>
  <si>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</si>
  <si>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</si>
  <si>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</si>
  <si>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</si>
  <si>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</si>
  <si>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</si>
  <si>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</si>
  <si>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TV20260928024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</si>
  <si>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</si>
  <si>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</si>
  <si>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</si>
  <si>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</si>
  <si>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</si>
  <si>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TV20260928047</t>
  </si>
  <si>
    <t>TR356497</t>
    <phoneticPr fontId="73" type="noConversion"/>
  </si>
  <si>
    <t>TV20260930033</t>
    <phoneticPr fontId="73" type="noConversion"/>
  </si>
  <si>
    <t>TV20260930034</t>
    <phoneticPr fontId="73" type="noConversion"/>
  </si>
  <si>
    <t>TR353125</t>
    <phoneticPr fontId="73" type="noConversion"/>
  </si>
  <si>
    <t>TV20261001004</t>
    <phoneticPr fontId="73" type="noConversion"/>
  </si>
  <si>
    <t>TV20260930061</t>
    <phoneticPr fontId="73" type="noConversion"/>
  </si>
  <si>
    <t>TV20260928021</t>
    <phoneticPr fontId="73" type="noConversion"/>
  </si>
  <si>
    <t>TV20260930069</t>
    <phoneticPr fontId="73" type="noConversion"/>
  </si>
  <si>
    <t>TR356505</t>
    <phoneticPr fontId="73" type="noConversion"/>
  </si>
  <si>
    <t>TV20260930010</t>
    <phoneticPr fontId="73" type="noConversion"/>
  </si>
  <si>
    <t>TV20260926008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</si>
  <si>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</si>
  <si>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</si>
  <si>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</si>
  <si>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TR355208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</si>
  <si>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</si>
  <si>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</si>
  <si>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</si>
  <si>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</si>
  <si>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</si>
  <si>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</si>
  <si>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</si>
  <si>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</si>
  <si>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</si>
  <si>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</si>
  <si>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</si>
  <si>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</si>
  <si>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</si>
  <si>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</si>
  <si>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</si>
  <si>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</si>
  <si>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TV20260911007</t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</si>
  <si>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</si>
  <si>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</si>
  <si>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</si>
  <si>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</si>
  <si>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</si>
  <si>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</si>
  <si>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</si>
  <si>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</si>
  <si>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</si>
  <si>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TV20260930022</t>
    <phoneticPr fontId="73" type="noConversion"/>
  </si>
  <si>
    <t>TV20261001003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</si>
  <si>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</si>
  <si>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</si>
  <si>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</si>
  <si>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</si>
  <si>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</si>
  <si>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</si>
  <si>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</si>
  <si>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</si>
  <si>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TV20261003017</t>
    <phoneticPr fontId="73" type="noConversion"/>
  </si>
  <si>
    <t>TV20260930003</t>
    <phoneticPr fontId="73" type="noConversion"/>
  </si>
  <si>
    <t>TV20260930066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</si>
  <si>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</si>
  <si>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</si>
  <si>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</si>
  <si>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</si>
  <si>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</si>
  <si>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</si>
  <si>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</si>
  <si>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</si>
  <si>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</si>
  <si>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</si>
  <si>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</si>
  <si>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</si>
  <si>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</si>
  <si>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</si>
  <si>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</si>
  <si>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</si>
  <si>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</si>
  <si>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</si>
  <si>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</si>
  <si>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</si>
  <si>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</si>
  <si>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</si>
  <si>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</si>
  <si>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</si>
  <si>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</si>
  <si>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</si>
  <si>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</si>
  <si>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</si>
  <si>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</si>
  <si>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</si>
  <si>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</si>
  <si>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</si>
  <si>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</si>
  <si>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</si>
  <si>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</si>
  <si>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</si>
  <si>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</si>
  <si>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</si>
  <si>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</si>
  <si>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TV20260923011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</si>
  <si>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</si>
  <si>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TV20261001011</t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</si>
  <si>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</si>
  <si>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</si>
  <si>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</si>
  <si>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</si>
  <si>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</si>
  <si>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</si>
  <si>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TV20260930059</t>
    <phoneticPr fontId="73" type="noConversion"/>
  </si>
  <si>
    <t>TV20260929030</t>
    <phoneticPr fontId="73" type="noConversion"/>
  </si>
  <si>
    <t>TV20260930062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</si>
  <si>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</si>
  <si>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</si>
  <si>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</si>
  <si>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</si>
  <si>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</si>
  <si>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</si>
  <si>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</si>
  <si>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</si>
  <si>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</si>
  <si>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TV20261002012</t>
  </si>
  <si>
    <t>TV20261002011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</si>
  <si>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</si>
  <si>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</si>
  <si>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</si>
  <si>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</si>
  <si>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</si>
  <si>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</si>
  <si>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TV20260930035</t>
  </si>
  <si>
    <t>TV202600926016</t>
  </si>
  <si>
    <t>TV202600926018</t>
  </si>
  <si>
    <t>TV202600926017</t>
  </si>
  <si>
    <t>TV202600926019</t>
  </si>
  <si>
    <t>TR355134</t>
    <phoneticPr fontId="73" type="noConversion"/>
  </si>
  <si>
    <t>TV20260922026</t>
  </si>
  <si>
    <t>TV20260922027</t>
  </si>
  <si>
    <t>TV20260922028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</si>
  <si>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</si>
  <si>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</si>
  <si>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</si>
  <si>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</si>
  <si>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TV20261003015</t>
  </si>
  <si>
    <t>TV20261003012</t>
  </si>
  <si>
    <t>TV20261003014</t>
  </si>
  <si>
    <t>TV20260930013</t>
    <phoneticPr fontId="73" type="noConversion"/>
  </si>
  <si>
    <t>TV20261001002</t>
    <phoneticPr fontId="73" type="noConversion"/>
  </si>
  <si>
    <t>TV20260928008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</si>
  <si>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</si>
  <si>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</si>
  <si>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</si>
  <si>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</si>
  <si>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</si>
  <si>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</si>
  <si>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</si>
  <si>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</si>
  <si>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</si>
  <si>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</si>
  <si>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</si>
  <si>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</si>
  <si>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>TV20261005027</t>
    <phoneticPr fontId="73" type="noConversion"/>
  </si>
  <si>
    <t>TV20261006005</t>
    <phoneticPr fontId="73" type="noConversion"/>
  </si>
  <si>
    <t>+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</si>
  <si>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</si>
  <si>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</si>
  <si>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</si>
  <si>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</si>
  <si>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TK20261006001-6</t>
    <phoneticPr fontId="73" type="noConversion"/>
  </si>
  <si>
    <t>TR355669</t>
    <phoneticPr fontId="73" type="noConversion"/>
  </si>
  <si>
    <t>TR355669</t>
    <phoneticPr fontId="73" type="noConversion"/>
  </si>
  <si>
    <t>TV20261006006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</si>
  <si>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</si>
  <si>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</si>
  <si>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</si>
  <si>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</si>
  <si>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</si>
  <si>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</si>
  <si>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</si>
  <si>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</si>
  <si>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</si>
  <si>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TV20261003029</t>
    <phoneticPr fontId="73" type="noConversion"/>
  </si>
  <si>
    <t>TV20261005007</t>
    <phoneticPr fontId="73" type="noConversion"/>
  </si>
  <si>
    <t>TR356391</t>
    <phoneticPr fontId="73" type="noConversion"/>
  </si>
  <si>
    <t>TV20261006003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</si>
  <si>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</si>
  <si>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</si>
  <si>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</si>
  <si>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>TV20260923012</t>
    <phoneticPr fontId="73" type="noConversion"/>
  </si>
  <si>
    <t>TV20260926009</t>
    <phoneticPr fontId="73" type="noConversion"/>
  </si>
  <si>
    <t>TV20260922011</t>
    <phoneticPr fontId="73" type="noConversion"/>
  </si>
  <si>
    <t>TV20260922010</t>
    <phoneticPr fontId="73" type="noConversion"/>
  </si>
  <si>
    <t>chế</t>
    <phoneticPr fontId="73" type="noConversion"/>
  </si>
  <si>
    <t>chế</t>
    <phoneticPr fontId="73" type="noConversion"/>
  </si>
  <si>
    <t xml:space="preserve"> </t>
    <phoneticPr fontId="73" type="noConversion"/>
  </si>
  <si>
    <t>TK20261008040-13</t>
    <phoneticPr fontId="73" type="noConversion"/>
  </si>
  <si>
    <t>TK20261006040-13</t>
    <phoneticPr fontId="73" type="noConversion"/>
  </si>
  <si>
    <t>TV20261005003</t>
    <phoneticPr fontId="73" type="noConversion"/>
  </si>
  <si>
    <t>KS-881608</t>
    <phoneticPr fontId="73" type="noConversion"/>
  </si>
  <si>
    <t>TR356704</t>
    <phoneticPr fontId="73" type="noConversion"/>
  </si>
  <si>
    <t>SPIL BUYER</t>
    <phoneticPr fontId="73" type="noConversion"/>
  </si>
  <si>
    <t>TV20261008001</t>
    <phoneticPr fontId="73" type="noConversion"/>
  </si>
  <si>
    <t>TV20260926006</t>
    <phoneticPr fontId="73" type="noConversion"/>
  </si>
  <si>
    <t>TR353425</t>
    <phoneticPr fontId="73" type="noConversion"/>
  </si>
  <si>
    <t>TR353425</t>
    <phoneticPr fontId="73" type="noConversion"/>
  </si>
  <si>
    <t>TV20260919009</t>
    <phoneticPr fontId="73" type="noConversion"/>
  </si>
  <si>
    <t>TV20261007021</t>
    <phoneticPr fontId="73" type="noConversion"/>
  </si>
  <si>
    <t>TV20261006001</t>
    <phoneticPr fontId="73" type="noConversion"/>
  </si>
  <si>
    <t>TV20261007017</t>
    <phoneticPr fontId="73" type="noConversion"/>
  </si>
  <si>
    <t>TV20261007018</t>
    <phoneticPr fontId="73" type="noConversion"/>
  </si>
  <si>
    <t>TV20261006007</t>
    <phoneticPr fontId="73" type="noConversion"/>
  </si>
  <si>
    <t>TV20261006008</t>
    <phoneticPr fontId="73" type="noConversion"/>
  </si>
  <si>
    <t>TV20261003025</t>
    <phoneticPr fontId="73" type="noConversion"/>
  </si>
  <si>
    <t>TR351752</t>
    <phoneticPr fontId="73" type="noConversion"/>
  </si>
  <si>
    <t>TR351752</t>
    <phoneticPr fontId="73" type="noConversion"/>
  </si>
  <si>
    <t>TV20260904011</t>
    <phoneticPr fontId="73" type="noConversion"/>
  </si>
  <si>
    <t>TV20260903022</t>
    <phoneticPr fontId="73" type="noConversion"/>
  </si>
  <si>
    <t>TV20260904012</t>
    <phoneticPr fontId="73" type="noConversion"/>
  </si>
  <si>
    <t>TR351317</t>
    <phoneticPr fontId="73" type="noConversion"/>
  </si>
  <si>
    <t>TR355918</t>
    <phoneticPr fontId="73" type="noConversion"/>
  </si>
  <si>
    <t>TV20261004011</t>
    <phoneticPr fontId="73" type="noConversion"/>
  </si>
  <si>
    <t>TV20261003004</t>
    <phoneticPr fontId="73" type="noConversion"/>
  </si>
  <si>
    <t>TV20261003003</t>
    <phoneticPr fontId="73" type="noConversion"/>
  </si>
  <si>
    <t>TV20261003015</t>
    <phoneticPr fontId="73" type="noConversion"/>
  </si>
  <si>
    <t>TV20261003012</t>
    <phoneticPr fontId="73" type="noConversion"/>
  </si>
  <si>
    <t>TV20261005009</t>
    <phoneticPr fontId="73" type="noConversion"/>
  </si>
  <si>
    <t>TV20261005008</t>
    <phoneticPr fontId="73" type="noConversion"/>
  </si>
  <si>
    <t>TR352561</t>
    <phoneticPr fontId="73" type="noConversion"/>
  </si>
  <si>
    <t>TR300155</t>
    <phoneticPr fontId="73" type="noConversion"/>
  </si>
  <si>
    <t>TV20261005011</t>
  </si>
  <si>
    <t>TV20261005010</t>
  </si>
  <si>
    <t>TV20260926020</t>
  </si>
  <si>
    <t>TR355878</t>
    <phoneticPr fontId="73" type="noConversion"/>
  </si>
  <si>
    <t>KS-890160</t>
    <phoneticPr fontId="73" type="noConversion"/>
  </si>
  <si>
    <t>TR355878</t>
    <phoneticPr fontId="73" type="noConversion"/>
  </si>
  <si>
    <t>TV20261005025</t>
    <phoneticPr fontId="73" type="noConversion"/>
  </si>
  <si>
    <t>TK20261007035-6</t>
    <phoneticPr fontId="73" type="noConversion"/>
  </si>
  <si>
    <t>TR354632</t>
    <phoneticPr fontId="73" type="noConversion"/>
  </si>
  <si>
    <t>KS-89084</t>
    <phoneticPr fontId="73" type="noConversion"/>
  </si>
  <si>
    <t>TV20261007026</t>
    <phoneticPr fontId="73" type="noConversion"/>
  </si>
  <si>
    <t>TR356463</t>
    <phoneticPr fontId="73" type="noConversion"/>
  </si>
  <si>
    <t>TR356463</t>
    <phoneticPr fontId="73" type="noConversion"/>
  </si>
  <si>
    <t>TR356391</t>
    <phoneticPr fontId="73" type="noConversion"/>
  </si>
  <si>
    <t>TR356391</t>
    <phoneticPr fontId="73" type="noConversion"/>
  </si>
  <si>
    <t>TR356463</t>
    <phoneticPr fontId="73" type="noConversion"/>
  </si>
  <si>
    <t>TR354239</t>
    <phoneticPr fontId="73" type="noConversion"/>
  </si>
  <si>
    <t>TR354821</t>
    <phoneticPr fontId="73" type="noConversion"/>
  </si>
  <si>
    <t>TR356704</t>
    <phoneticPr fontId="73" type="noConversion"/>
  </si>
  <si>
    <t>TR356704</t>
    <phoneticPr fontId="73" type="noConversion"/>
  </si>
  <si>
    <t>TR355918</t>
    <phoneticPr fontId="73" type="noConversion"/>
  </si>
  <si>
    <t>TR356422</t>
    <phoneticPr fontId="73" type="noConversion"/>
  </si>
  <si>
    <t>TR356422</t>
    <phoneticPr fontId="73" type="noConversion"/>
  </si>
  <si>
    <t>TR355199</t>
    <phoneticPr fontId="73" type="noConversion"/>
  </si>
  <si>
    <t>TR355199</t>
    <phoneticPr fontId="73" type="noConversion"/>
  </si>
  <si>
    <t>TR354914</t>
    <phoneticPr fontId="73" type="noConversion"/>
  </si>
  <si>
    <t>TR354914</t>
    <phoneticPr fontId="73" type="noConversion"/>
  </si>
  <si>
    <t>TR354774</t>
    <phoneticPr fontId="73" type="noConversion"/>
  </si>
  <si>
    <t>TR354774</t>
    <phoneticPr fontId="73" type="noConversion"/>
  </si>
  <si>
    <t>TR353784</t>
    <phoneticPr fontId="73" type="noConversion"/>
  </si>
  <si>
    <t>TR355208</t>
    <phoneticPr fontId="73" type="noConversion"/>
  </si>
  <si>
    <t>TR355208</t>
    <phoneticPr fontId="73" type="noConversion"/>
  </si>
  <si>
    <t>TR355770</t>
    <phoneticPr fontId="73" type="noConversion"/>
  </si>
  <si>
    <t>TR356061</t>
    <phoneticPr fontId="73" type="noConversion"/>
  </si>
  <si>
    <t>TV20261007013</t>
    <phoneticPr fontId="73" type="noConversion"/>
  </si>
  <si>
    <t>TV20261007014</t>
    <phoneticPr fontId="73" type="noConversion"/>
  </si>
  <si>
    <t>TV20261008002</t>
    <phoneticPr fontId="73" type="noConversion"/>
  </si>
  <si>
    <t>TR352788</t>
    <phoneticPr fontId="73" type="noConversion"/>
  </si>
  <si>
    <t>TR352788</t>
    <phoneticPr fontId="73" type="noConversion"/>
  </si>
  <si>
    <t>TV20261007027</t>
    <phoneticPr fontId="73" type="noConversion"/>
  </si>
  <si>
    <t>TV20261008010</t>
    <phoneticPr fontId="73" type="noConversion"/>
  </si>
  <si>
    <t>TR356061</t>
    <phoneticPr fontId="73" type="noConversion"/>
  </si>
  <si>
    <t>TV20260924019</t>
    <phoneticPr fontId="73" type="noConversion"/>
  </si>
  <si>
    <t>TR355878</t>
    <phoneticPr fontId="73" type="noConversion"/>
  </si>
  <si>
    <t>TV20261008032</t>
    <phoneticPr fontId="73" type="noConversion"/>
  </si>
  <si>
    <t>TV20261006017</t>
    <phoneticPr fontId="73" type="noConversion"/>
  </si>
  <si>
    <t>TK20261009025-6</t>
    <phoneticPr fontId="73" type="noConversion"/>
  </si>
  <si>
    <t>TK20261007036-6</t>
    <phoneticPr fontId="73" type="noConversion"/>
  </si>
  <si>
    <t>TK20261007037-13</t>
    <phoneticPr fontId="73" type="noConversion"/>
  </si>
  <si>
    <t>TK20261007038-13</t>
    <phoneticPr fontId="73" type="noConversion"/>
  </si>
  <si>
    <t>TR354224</t>
    <phoneticPr fontId="73" type="noConversion"/>
  </si>
  <si>
    <t>TV20261008012</t>
    <phoneticPr fontId="73" type="noConversion"/>
  </si>
  <si>
    <t>TV20261008013</t>
    <phoneticPr fontId="73" type="noConversion"/>
  </si>
  <si>
    <t>TV20261007010</t>
    <phoneticPr fontId="73" type="noConversion"/>
  </si>
  <si>
    <t>TV20261007011</t>
    <phoneticPr fontId="73" type="noConversion"/>
  </si>
  <si>
    <t>TV20261003018</t>
    <phoneticPr fontId="73" type="noConversion"/>
  </si>
  <si>
    <t>TV20261009003</t>
    <phoneticPr fontId="73" type="noConversion"/>
  </si>
  <si>
    <t>TR356549</t>
    <phoneticPr fontId="73" type="noConversion"/>
  </si>
  <si>
    <t>TR356549</t>
    <phoneticPr fontId="73" type="noConversion"/>
  </si>
  <si>
    <t>KS-890196</t>
    <phoneticPr fontId="73" type="noConversion"/>
  </si>
  <si>
    <t>TV20260926012</t>
    <phoneticPr fontId="73" type="noConversion"/>
  </si>
  <si>
    <t>TV20260926013</t>
    <phoneticPr fontId="73" type="noConversion"/>
  </si>
  <si>
    <t>TR353784</t>
    <phoneticPr fontId="73" type="noConversion"/>
  </si>
  <si>
    <t>TV20261004027</t>
    <phoneticPr fontId="73" type="noConversion"/>
  </si>
  <si>
    <t>TV20261003028</t>
    <phoneticPr fontId="73" type="noConversion"/>
  </si>
  <si>
    <t>chế</t>
    <phoneticPr fontId="73" type="noConversion"/>
  </si>
  <si>
    <t>TV20260406020</t>
    <phoneticPr fontId="73" type="noConversion"/>
  </si>
  <si>
    <t>TV20261007016</t>
    <phoneticPr fontId="73" type="noConversion"/>
  </si>
  <si>
    <t>TV20261008006</t>
    <phoneticPr fontId="73" type="noConversion"/>
  </si>
  <si>
    <t>TV20261008009</t>
    <phoneticPr fontId="73" type="noConversion"/>
  </si>
  <si>
    <t>TV20261008008</t>
    <phoneticPr fontId="73" type="noConversion"/>
  </si>
  <si>
    <t>KS-880624</t>
    <phoneticPr fontId="73" type="noConversion"/>
  </si>
  <si>
    <t>TR354011</t>
    <phoneticPr fontId="73" type="noConversion"/>
  </si>
  <si>
    <t>TR354011</t>
    <phoneticPr fontId="73" type="noConversion"/>
  </si>
  <si>
    <t>TV20261002019</t>
    <phoneticPr fontId="73" type="noConversion"/>
  </si>
  <si>
    <t>TV20261002018</t>
    <phoneticPr fontId="73" type="noConversion"/>
  </si>
  <si>
    <t>TV20261003022</t>
    <phoneticPr fontId="73" type="noConversion"/>
  </si>
  <si>
    <t>TV20261004023</t>
    <phoneticPr fontId="73" type="noConversion"/>
  </si>
  <si>
    <t>TR351752</t>
    <phoneticPr fontId="73" type="noConversion"/>
  </si>
  <si>
    <t>TV20260908009</t>
    <phoneticPr fontId="73" type="noConversion"/>
  </si>
  <si>
    <t>TV20260908010</t>
    <phoneticPr fontId="73" type="noConversion"/>
  </si>
  <si>
    <t>TV20260907011</t>
    <phoneticPr fontId="73" type="noConversion"/>
  </si>
  <si>
    <t>TV20260907012</t>
    <phoneticPr fontId="73" type="noConversion"/>
  </si>
  <si>
    <t>TR352536</t>
    <phoneticPr fontId="73" type="noConversion"/>
  </si>
  <si>
    <t>TR354773</t>
    <phoneticPr fontId="73" type="noConversion"/>
  </si>
  <si>
    <t>TR354796</t>
    <phoneticPr fontId="73" type="noConversion"/>
  </si>
  <si>
    <t>TR353125</t>
    <phoneticPr fontId="73" type="noConversion"/>
  </si>
  <si>
    <t>TR350693</t>
    <phoneticPr fontId="73" type="noConversion"/>
  </si>
  <si>
    <t>TR355876</t>
    <phoneticPr fontId="73" type="noConversion"/>
  </si>
  <si>
    <t>TR354300</t>
    <phoneticPr fontId="73" type="noConversion"/>
  </si>
  <si>
    <t>TR353784</t>
    <phoneticPr fontId="73" type="noConversion"/>
  </si>
  <si>
    <t>TR352009</t>
    <phoneticPr fontId="73" type="noConversion"/>
  </si>
  <si>
    <t>TR355517</t>
    <phoneticPr fontId="73" type="noConversion"/>
  </si>
  <si>
    <t>TR355604</t>
    <phoneticPr fontId="73" type="noConversion"/>
  </si>
  <si>
    <t>TR355604</t>
    <phoneticPr fontId="73" type="noConversion"/>
  </si>
  <si>
    <t>TR354964</t>
    <phoneticPr fontId="73" type="noConversion"/>
  </si>
  <si>
    <t>TR354964</t>
    <phoneticPr fontId="73" type="noConversion"/>
  </si>
  <si>
    <t>TỒN</t>
    <phoneticPr fontId="73" type="noConversion"/>
  </si>
  <si>
    <t>TR355134</t>
    <phoneticPr fontId="73" type="noConversion"/>
  </si>
  <si>
    <t>TV20261005013</t>
  </si>
  <si>
    <t>TV20261005012</t>
  </si>
  <si>
    <t>TV20261004008</t>
  </si>
  <si>
    <t>TV20261004009</t>
  </si>
  <si>
    <t>TV20261004010</t>
  </si>
  <si>
    <t>TV20261004001</t>
  </si>
  <si>
    <t>TV20261004002</t>
  </si>
  <si>
    <t>TV20261003005</t>
  </si>
  <si>
    <t>TV20261004013</t>
  </si>
  <si>
    <t>TV20261004014</t>
  </si>
  <si>
    <t>TV20261004012</t>
  </si>
  <si>
    <t>TV20261006013</t>
  </si>
  <si>
    <t>TV20261006014</t>
  </si>
  <si>
    <t>TK20261009027-13</t>
    <phoneticPr fontId="73" type="noConversion"/>
  </si>
  <si>
    <t>TK20261009026-13</t>
    <phoneticPr fontId="73" type="noConversion"/>
  </si>
  <si>
    <t>TK20261009028-13</t>
    <phoneticPr fontId="73" type="noConversion"/>
  </si>
  <si>
    <t>TV20261009001</t>
    <phoneticPr fontId="73" type="noConversion"/>
  </si>
  <si>
    <t>TV20261009002</t>
    <phoneticPr fontId="73" type="noConversion"/>
  </si>
  <si>
    <t>TV20261008005</t>
    <phoneticPr fontId="73" type="noConversion"/>
  </si>
  <si>
    <t>TV20261008004</t>
    <phoneticPr fontId="73" type="noConversion"/>
  </si>
  <si>
    <t>TR355756</t>
    <phoneticPr fontId="73" type="noConversion"/>
  </si>
  <si>
    <t>TR355756</t>
    <phoneticPr fontId="73" type="noConversion"/>
  </si>
  <si>
    <t>TV20261009013</t>
    <phoneticPr fontId="73" type="noConversion"/>
  </si>
  <si>
    <t>TV20261010030</t>
    <phoneticPr fontId="73" type="noConversion"/>
  </si>
  <si>
    <t>TV20261008015</t>
    <phoneticPr fontId="73" type="noConversion"/>
  </si>
  <si>
    <t>TV20261007025</t>
    <phoneticPr fontId="73" type="noConversion"/>
  </si>
  <si>
    <t>TV20261009036</t>
    <phoneticPr fontId="73" type="noConversion"/>
  </si>
  <si>
    <t>TV20261008016</t>
    <phoneticPr fontId="73" type="noConversion"/>
  </si>
  <si>
    <t xml:space="preserve"> </t>
    <phoneticPr fontId="73" type="noConversion"/>
  </si>
  <si>
    <t>TR356636</t>
    <phoneticPr fontId="73" type="noConversion"/>
  </si>
  <si>
    <t>TV20261009023</t>
    <phoneticPr fontId="73" type="noConversion"/>
  </si>
  <si>
    <t>TV20261004026</t>
    <phoneticPr fontId="73" type="noConversion"/>
  </si>
  <si>
    <t>TV20261007012</t>
    <phoneticPr fontId="73" type="noConversion"/>
  </si>
  <si>
    <t>TR353653</t>
    <phoneticPr fontId="73" type="noConversion"/>
  </si>
  <si>
    <t>TR353653</t>
    <phoneticPr fontId="73" type="noConversion"/>
  </si>
  <si>
    <t>TR354632</t>
    <phoneticPr fontId="73" type="noConversion"/>
  </si>
  <si>
    <t>TV20261009032</t>
    <phoneticPr fontId="73" type="noConversion"/>
  </si>
  <si>
    <t>TR356463</t>
    <phoneticPr fontId="73" type="noConversion"/>
  </si>
  <si>
    <t>TR356463</t>
    <phoneticPr fontId="73" type="noConversion"/>
  </si>
  <si>
    <t>TV20261009031</t>
    <phoneticPr fontId="73" type="noConversion"/>
  </si>
  <si>
    <t>TV20260930026</t>
    <phoneticPr fontId="73" type="noConversion"/>
  </si>
  <si>
    <t>TV20261008018</t>
    <phoneticPr fontId="73" type="noConversion"/>
  </si>
  <si>
    <t>TV20261010001</t>
    <phoneticPr fontId="73" type="noConversion"/>
  </si>
  <si>
    <t>TV20261009009</t>
    <phoneticPr fontId="73" type="noConversion"/>
  </si>
  <si>
    <t>TV20261009029</t>
    <phoneticPr fontId="73" type="noConversion"/>
  </si>
  <si>
    <t>TR355134</t>
    <phoneticPr fontId="73" type="noConversion"/>
  </si>
  <si>
    <t>TR356379</t>
    <phoneticPr fontId="73" type="noConversion"/>
  </si>
  <si>
    <t>TR356300</t>
    <phoneticPr fontId="73" type="noConversion"/>
  </si>
  <si>
    <t>TR352431</t>
    <phoneticPr fontId="73" type="noConversion"/>
  </si>
  <si>
    <t>TR355134</t>
    <phoneticPr fontId="73" type="noConversion"/>
  </si>
  <si>
    <t>TR355276</t>
    <phoneticPr fontId="73" type="noConversion"/>
  </si>
  <si>
    <t>TV20261003006</t>
  </si>
  <si>
    <t>TV20261008029</t>
  </si>
  <si>
    <t>TV20261008030</t>
  </si>
  <si>
    <t>TV20261004015</t>
  </si>
  <si>
    <t>TV20261004016</t>
  </si>
  <si>
    <t>TV20261004017</t>
  </si>
  <si>
    <t>TV20261008024</t>
  </si>
  <si>
    <t>TR355918</t>
    <phoneticPr fontId="73" type="noConversion"/>
  </si>
  <si>
    <t>TR352974</t>
    <phoneticPr fontId="73" type="noConversion"/>
  </si>
  <si>
    <t>TR352327</t>
    <phoneticPr fontId="73" type="noConversion"/>
  </si>
  <si>
    <t>TV20260915031</t>
  </si>
  <si>
    <t>TV20260928020</t>
  </si>
  <si>
    <t>TV2026092208</t>
  </si>
  <si>
    <t>TV20261006015</t>
  </si>
  <si>
    <t>TV20261006016</t>
  </si>
  <si>
    <t>TR353323</t>
    <phoneticPr fontId="73" type="noConversion"/>
  </si>
  <si>
    <t>TR353323</t>
    <phoneticPr fontId="73" type="noConversion"/>
  </si>
  <si>
    <t>TR356061</t>
    <phoneticPr fontId="73" type="noConversion"/>
  </si>
  <si>
    <t>TR356061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</si>
</sst>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5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195" fontId="6" fillId="19" borderId="79" xfId="0" applyNumberFormat="1" applyFont="1" applyFill="1" applyBorder="1" applyAlignment="1">
      <alignment horizontal="center" vertical="top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177" fontId="6" fillId="8" borderId="0" xfId="2" applyFont="1" applyFill="1" applyBorder="1" applyAlignment="1">
      <alignment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4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5" t="s">
        <v>0</v>
      </c>
      <c r="B2" s="378" t="s">
        <v>1</v>
      </c>
      <c r="C2" s="381" t="s">
        <v>2</v>
      </c>
      <c r="D2" s="384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6"/>
      <c r="B3" s="379"/>
      <c r="C3" s="382"/>
      <c r="D3" s="385"/>
      <c r="E3" s="369">
        <f>DATE(2026,$E$1,1)</f>
        <v>46204</v>
      </c>
      <c r="F3" s="370"/>
      <c r="G3" s="369">
        <f>+E3+1</f>
        <v>46205</v>
      </c>
      <c r="H3" s="371"/>
      <c r="I3" s="369">
        <f t="shared" ref="I3" si="2">+G3+1</f>
        <v>46206</v>
      </c>
      <c r="J3" s="371"/>
      <c r="K3" s="369">
        <f t="shared" ref="K3" si="3">+I3+1</f>
        <v>46207</v>
      </c>
      <c r="L3" s="371"/>
      <c r="M3" s="369">
        <f t="shared" ref="M3" si="4">+K3+1</f>
        <v>46208</v>
      </c>
      <c r="N3" s="371"/>
      <c r="O3" s="369">
        <f t="shared" ref="O3" si="5">+M3+1</f>
        <v>46209</v>
      </c>
      <c r="P3" s="371"/>
      <c r="Q3" s="369">
        <f t="shared" ref="Q3" si="6">+O3+1</f>
        <v>46210</v>
      </c>
      <c r="R3" s="371"/>
      <c r="S3" s="369">
        <f t="shared" ref="S3" si="7">+Q3+1</f>
        <v>46211</v>
      </c>
      <c r="T3" s="371"/>
      <c r="U3" s="369">
        <f t="shared" ref="U3" si="8">+S3+1</f>
        <v>46212</v>
      </c>
      <c r="V3" s="371"/>
      <c r="W3" s="369">
        <f t="shared" ref="W3" si="9">+U3+1</f>
        <v>46213</v>
      </c>
      <c r="X3" s="371"/>
      <c r="Y3" s="369">
        <f t="shared" ref="Y3" si="10">+W3+1</f>
        <v>46214</v>
      </c>
      <c r="Z3" s="371"/>
      <c r="AA3" s="369">
        <f t="shared" ref="AA3" si="11">+Y3+1</f>
        <v>46215</v>
      </c>
      <c r="AB3" s="371"/>
      <c r="AC3" s="369">
        <f t="shared" ref="AC3" si="12">+AA3+1</f>
        <v>46216</v>
      </c>
      <c r="AD3" s="371"/>
      <c r="AE3" s="369">
        <f t="shared" ref="AE3" si="13">+AC3+1</f>
        <v>46217</v>
      </c>
      <c r="AF3" s="371"/>
      <c r="AG3" s="369">
        <f t="shared" ref="AG3" si="14">+AE3+1</f>
        <v>46218</v>
      </c>
      <c r="AH3" s="371"/>
      <c r="AI3" s="369">
        <f t="shared" ref="AI3" si="15">+AG3+1</f>
        <v>46219</v>
      </c>
      <c r="AJ3" s="371"/>
      <c r="AK3" s="369">
        <f t="shared" ref="AK3" si="16">+AI3+1</f>
        <v>46220</v>
      </c>
      <c r="AL3" s="371"/>
      <c r="AM3" s="369">
        <f t="shared" ref="AM3" si="17">+AK3+1</f>
        <v>46221</v>
      </c>
      <c r="AN3" s="371"/>
      <c r="AO3" s="369">
        <f t="shared" ref="AO3" si="18">+AM3+1</f>
        <v>46222</v>
      </c>
      <c r="AP3" s="371"/>
      <c r="AQ3" s="369">
        <f t="shared" ref="AQ3" si="19">+AO3+1</f>
        <v>46223</v>
      </c>
      <c r="AR3" s="371"/>
      <c r="AS3" s="369">
        <f t="shared" ref="AS3" si="20">+AQ3+1</f>
        <v>46224</v>
      </c>
      <c r="AT3" s="371"/>
      <c r="AU3" s="369">
        <f t="shared" ref="AU3" si="21">+AS3+1</f>
        <v>46225</v>
      </c>
      <c r="AV3" s="371"/>
      <c r="AW3" s="369">
        <f t="shared" ref="AW3" si="22">+AU3+1</f>
        <v>46226</v>
      </c>
      <c r="AX3" s="371"/>
      <c r="AY3" s="369">
        <f t="shared" ref="AY3" si="23">+AW3+1</f>
        <v>46227</v>
      </c>
      <c r="AZ3" s="371"/>
      <c r="BA3" s="369">
        <f t="shared" ref="BA3" si="24">+AY3+1</f>
        <v>46228</v>
      </c>
      <c r="BB3" s="371"/>
      <c r="BC3" s="369">
        <f t="shared" ref="BC3" si="25">+BA3+1</f>
        <v>46229</v>
      </c>
      <c r="BD3" s="371"/>
      <c r="BE3" s="369">
        <f t="shared" ref="BE3" si="26">+BC3+1</f>
        <v>46230</v>
      </c>
      <c r="BF3" s="371"/>
      <c r="BG3" s="369">
        <f t="shared" ref="BG3" si="27">+BE3+1</f>
        <v>46231</v>
      </c>
      <c r="BH3" s="371"/>
      <c r="BI3" s="369">
        <f t="shared" ref="BI3" si="28">+BG3+1</f>
        <v>46232</v>
      </c>
      <c r="BJ3" s="371"/>
      <c r="BK3" s="369">
        <f t="shared" ref="BK3" si="29">+BI3+1</f>
        <v>46233</v>
      </c>
      <c r="BL3" s="371"/>
      <c r="BM3" s="369">
        <f t="shared" ref="BM3" si="30">+BK3+1</f>
        <v>46234</v>
      </c>
      <c r="BN3" s="371"/>
      <c r="BO3" s="372" t="s">
        <v>4</v>
      </c>
    </row>
    <row r="4" spans="1:69" s="283" customFormat="1" ht="16.5" customHeight="1">
      <c r="A4" s="377"/>
      <c r="B4" s="380"/>
      <c r="C4" s="383"/>
      <c r="D4" s="386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2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 t="e">
        <f>+VLOOKUP(A165,'Tổng,SUMMARY'!C:K,8,0)</f>
        <v>#N/A</v>
      </c>
      <c r="BQ165" s="294" t="e">
        <f t="shared" si="33"/>
        <v>#N/A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>
        <f>+VLOOKUP(A222,'Tổng,SUMMARY'!C:K,8,0)</f>
        <v>0</v>
      </c>
      <c r="BQ222" s="294">
        <f t="shared" si="34"/>
        <v>0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3"/>
      <c r="B275" s="374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  <mergeCell ref="BA3:BB3"/>
    <mergeCell ref="AI3:AJ3"/>
    <mergeCell ref="AK3:AL3"/>
    <mergeCell ref="AM3:AN3"/>
    <mergeCell ref="AO3:AP3"/>
    <mergeCell ref="AQ3:AR3"/>
    <mergeCell ref="Y3:Z3"/>
    <mergeCell ref="AA3:AB3"/>
    <mergeCell ref="AC3:AD3"/>
    <mergeCell ref="AE3:AF3"/>
    <mergeCell ref="AG3:AH3"/>
    <mergeCell ref="O3:P3"/>
    <mergeCell ref="Q3:R3"/>
    <mergeCell ref="S3:T3"/>
    <mergeCell ref="U3:V3"/>
    <mergeCell ref="W3:X3"/>
    <mergeCell ref="E3:F3"/>
    <mergeCell ref="G3:H3"/>
    <mergeCell ref="I3:J3"/>
    <mergeCell ref="K3:L3"/>
    <mergeCell ref="M3:N3"/>
  </mergeCells>
  <phoneticPr fontId="73" type="noConversion"/>
  <conditionalFormatting sqref="A14">
    <cfRule type="duplicateValues" dxfId="241" priority="39"/>
  </conditionalFormatting>
  <conditionalFormatting sqref="A39">
    <cfRule type="duplicateValues" dxfId="240" priority="62"/>
  </conditionalFormatting>
  <conditionalFormatting sqref="A42">
    <cfRule type="duplicateValues" dxfId="239" priority="60"/>
  </conditionalFormatting>
  <conditionalFormatting sqref="A44">
    <cfRule type="duplicateValues" dxfId="238" priority="50"/>
  </conditionalFormatting>
  <conditionalFormatting sqref="A45">
    <cfRule type="duplicateValues" dxfId="237" priority="58"/>
  </conditionalFormatting>
  <conditionalFormatting sqref="A85">
    <cfRule type="duplicateValues" dxfId="236" priority="41"/>
  </conditionalFormatting>
  <conditionalFormatting sqref="A88">
    <cfRule type="duplicateValues" dxfId="235" priority="48"/>
  </conditionalFormatting>
  <conditionalFormatting sqref="A89">
    <cfRule type="duplicateValues" dxfId="234" priority="46"/>
  </conditionalFormatting>
  <conditionalFormatting sqref="A105">
    <cfRule type="duplicateValues" dxfId="233" priority="37"/>
  </conditionalFormatting>
  <conditionalFormatting sqref="A108">
    <cfRule type="duplicateValues" dxfId="232" priority="35"/>
  </conditionalFormatting>
  <conditionalFormatting sqref="A202">
    <cfRule type="duplicateValues" dxfId="231" priority="16"/>
  </conditionalFormatting>
  <conditionalFormatting sqref="A1:A1048576">
    <cfRule type="duplicateValues" dxfId="230" priority="1"/>
  </conditionalFormatting>
  <conditionalFormatting sqref="A81:A83">
    <cfRule type="duplicateValues" dxfId="229" priority="54"/>
  </conditionalFormatting>
  <conditionalFormatting sqref="A116:A140">
    <cfRule type="duplicateValues" dxfId="228" priority="31"/>
  </conditionalFormatting>
  <conditionalFormatting sqref="A141:A201">
    <cfRule type="duplicateValues" dxfId="227" priority="76063"/>
  </conditionalFormatting>
  <conditionalFormatting sqref="A212:A213">
    <cfRule type="duplicateValues" dxfId="226" priority="11"/>
  </conditionalFormatting>
  <conditionalFormatting sqref="A218:A231">
    <cfRule type="duplicateValues" dxfId="225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7" t="s">
        <v>501</v>
      </c>
      <c r="B1" s="387"/>
      <c r="C1" s="387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90" t="s">
        <v>0</v>
      </c>
      <c r="C2" s="392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1"/>
      <c r="C3" s="393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88" t="s">
        <v>507</v>
      </c>
      <c r="C274" s="389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224" priority="176"/>
  </conditionalFormatting>
  <conditionalFormatting sqref="B83">
    <cfRule type="duplicateValues" dxfId="223" priority="178"/>
  </conditionalFormatting>
  <conditionalFormatting sqref="B115">
    <cfRule type="duplicateValues" dxfId="222" priority="174"/>
  </conditionalFormatting>
  <conditionalFormatting sqref="B216">
    <cfRule type="duplicateValues" dxfId="221" priority="57"/>
  </conditionalFormatting>
  <conditionalFormatting sqref="B217">
    <cfRule type="duplicateValues" dxfId="220" priority="98"/>
  </conditionalFormatting>
  <conditionalFormatting sqref="B237">
    <cfRule type="duplicateValues" dxfId="219" priority="1"/>
  </conditionalFormatting>
  <conditionalFormatting sqref="B89:B114">
    <cfRule type="duplicateValues" dxfId="218" priority="126962"/>
  </conditionalFormatting>
  <conditionalFormatting sqref="B116:B182">
    <cfRule type="duplicateValues" dxfId="217" priority="106792"/>
  </conditionalFormatting>
  <conditionalFormatting sqref="B183:B199">
    <cfRule type="duplicateValues" dxfId="216" priority="166"/>
  </conditionalFormatting>
  <conditionalFormatting sqref="B200:B204">
    <cfRule type="duplicateValues" dxfId="215" priority="132"/>
  </conditionalFormatting>
  <conditionalFormatting sqref="B205:B213">
    <cfRule type="duplicateValues" dxfId="214" priority="124"/>
  </conditionalFormatting>
  <conditionalFormatting sqref="B214:B215">
    <cfRule type="duplicateValues" dxfId="213" priority="67"/>
  </conditionalFormatting>
  <conditionalFormatting sqref="B220:B230">
    <cfRule type="duplicateValues" dxfId="212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294"/>
  <sheetViews>
    <sheetView showGridLines="0" zoomScale="85" zoomScaleNormal="85" workbookViewId="0">
      <pane ySplit="5" topLeftCell="A6" activePane="bottomLeft" state="frozen"/>
      <selection pane="bottomLeft" activeCell="B360" sqref="B360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349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350">
        <f>+SUBTOTAL(9,E6:E905)</f>
        <v>374822</v>
      </c>
      <c r="F5" s="398"/>
      <c r="H5" s="209"/>
    </row>
    <row r="6" spans="1:9" ht="21.75" customHeight="1">
      <c r="A6" s="212" t="s">
        <v>1080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1081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1082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1087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1088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1090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1092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1094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1100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1104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1102</v>
      </c>
      <c r="H16" s="209"/>
    </row>
    <row r="17" spans="1:8" ht="21.75" customHeight="1">
      <c r="A17" s="212" t="s">
        <v>1106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1102</v>
      </c>
      <c r="H17" s="209"/>
    </row>
    <row r="18" spans="1:8" ht="21.75" customHeight="1">
      <c r="A18" s="212" t="s">
        <v>1107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1102</v>
      </c>
    </row>
    <row r="19" spans="1:8" ht="21.75" customHeight="1">
      <c r="A19" s="218" t="s">
        <v>1113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1102</v>
      </c>
    </row>
    <row r="20" spans="1:8" ht="21.75" customHeight="1">
      <c r="A20" s="218" t="s">
        <v>1115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1102</v>
      </c>
    </row>
    <row r="21" spans="1:8" ht="21.75" customHeight="1">
      <c r="A21" s="218" t="s">
        <v>1092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1090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1118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1080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1087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1123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1126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1127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1129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1106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1102</v>
      </c>
    </row>
    <row r="31" spans="1:8" ht="21.75" customHeight="1">
      <c r="A31" s="218" t="s">
        <v>1113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1102</v>
      </c>
    </row>
    <row r="32" spans="1:8" ht="21.75" customHeight="1">
      <c r="A32" s="218" t="s">
        <v>1145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1102</v>
      </c>
    </row>
    <row r="33" spans="1:6" ht="21.75" customHeight="1">
      <c r="A33" s="212" t="s">
        <v>1107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1102</v>
      </c>
    </row>
    <row r="34" spans="1:6" ht="21.75" customHeight="1">
      <c r="A34" s="218" t="s">
        <v>1152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1090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1155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1113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949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1081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1159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1088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1092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1023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781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1080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1176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1102</v>
      </c>
    </row>
    <row r="48" spans="1:6" ht="21.75" customHeight="1">
      <c r="A48" s="218" t="s">
        <v>1178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1102</v>
      </c>
    </row>
    <row r="49" spans="1:6" ht="21.75" customHeight="1">
      <c r="A49" s="218" t="s">
        <v>1145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1102</v>
      </c>
    </row>
    <row r="50" spans="1:6" ht="21.75" customHeight="1">
      <c r="A50" s="212" t="s">
        <v>1187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1091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1188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1190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1193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1158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1113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1203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1207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1112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1186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300+1000+1200+1100+2700</f>
        <v>6300</v>
      </c>
      <c r="F60" s="219"/>
    </row>
    <row r="61" spans="1:6" ht="21.75" customHeight="1">
      <c r="A61" s="212" t="s">
        <v>914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1091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1211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1213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1216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949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1189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1203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1141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1102</v>
      </c>
    </row>
    <row r="70" spans="1:6" ht="21.75" customHeight="1">
      <c r="A70" s="218" t="s">
        <v>1112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1102</v>
      </c>
    </row>
    <row r="71" spans="1:6" ht="21.75" customHeight="1">
      <c r="A71" s="212" t="s">
        <v>1104</v>
      </c>
      <c r="B71" s="213" t="str">
        <f>IFERROR(VLOOKUP(A71,'Tổng,SUMMARY'!C:D,2,0),)</f>
        <v>KS-880959</v>
      </c>
      <c r="C71" s="343">
        <v>46301</v>
      </c>
      <c r="D71" s="214"/>
      <c r="E71" s="351">
        <v>150</v>
      </c>
      <c r="F71" s="219" t="s">
        <v>1102</v>
      </c>
    </row>
    <row r="72" spans="1:6" ht="21.75" customHeight="1">
      <c r="A72" s="212" t="s">
        <v>1105</v>
      </c>
      <c r="B72" s="213" t="str">
        <f>IFERROR(VLOOKUP(A72,'Tổng,SUMMARY'!C:D,2,0),)</f>
        <v>KS-880753</v>
      </c>
      <c r="C72" s="343">
        <v>46301</v>
      </c>
      <c r="D72" s="214"/>
      <c r="E72" s="351">
        <f>3600+3600</f>
        <v>7200</v>
      </c>
      <c r="F72" s="219" t="s">
        <v>1102</v>
      </c>
    </row>
    <row r="73" spans="1:6" ht="21.75" customHeight="1">
      <c r="A73" s="212" t="s">
        <v>1176</v>
      </c>
      <c r="B73" s="213" t="str">
        <f>IFERROR(VLOOKUP(A73,'Tổng,SUMMARY'!C:D,2,0),)</f>
        <v>KS-8503</v>
      </c>
      <c r="C73" s="343">
        <v>46301</v>
      </c>
      <c r="D73" s="214"/>
      <c r="E73" s="351">
        <v>3600</v>
      </c>
      <c r="F73" s="219" t="s">
        <v>1102</v>
      </c>
    </row>
    <row r="74" spans="1:6" ht="21.75" customHeight="1">
      <c r="A74" s="218" t="s">
        <v>1112</v>
      </c>
      <c r="B74" s="213" t="str">
        <f>IFERROR(VLOOKUP(A74,'Tổng,SUMMARY'!C:D,2,0),)</f>
        <v>KS-880944</v>
      </c>
      <c r="C74" s="343">
        <v>46301</v>
      </c>
      <c r="D74" s="214"/>
      <c r="E74" s="351">
        <v>3600</v>
      </c>
      <c r="F74" s="219" t="s">
        <v>1102</v>
      </c>
    </row>
    <row r="75" spans="1:6" ht="21.75" customHeight="1">
      <c r="A75" s="212" t="s">
        <v>1107</v>
      </c>
      <c r="B75" s="213" t="str">
        <f>IFERROR(VLOOKUP(A75,'Tổng,SUMMARY'!C:D,2,0),)</f>
        <v>KS-8605</v>
      </c>
      <c r="C75" s="343">
        <v>46301</v>
      </c>
      <c r="D75" s="214"/>
      <c r="E75" s="351">
        <v>3600</v>
      </c>
      <c r="F75" s="219" t="s">
        <v>1102</v>
      </c>
    </row>
    <row r="76" spans="1:6" ht="21.75" customHeight="1">
      <c r="A76" s="212" t="s">
        <v>1242</v>
      </c>
      <c r="B76" s="213" t="str">
        <f>IFERROR(VLOOKUP(A76,'Tổng,SUMMARY'!C:D,2,0),)</f>
        <v>KS-89069</v>
      </c>
      <c r="C76" s="343">
        <v>46301</v>
      </c>
      <c r="D76" s="214"/>
      <c r="E76" s="351">
        <v>2160</v>
      </c>
      <c r="F76" s="219" t="s">
        <v>1102</v>
      </c>
    </row>
    <row r="77" spans="1:6" ht="21.75" customHeight="1">
      <c r="A77" s="218" t="s">
        <v>1203</v>
      </c>
      <c r="B77" s="213" t="str">
        <f>IFERROR(VLOOKUP(A77,'Tổng,SUMMARY'!C:D,2,0),)</f>
        <v>KS-880910</v>
      </c>
      <c r="C77" s="343">
        <v>46301</v>
      </c>
      <c r="D77" s="214"/>
      <c r="E77" s="351">
        <v>1200</v>
      </c>
      <c r="F77" s="219"/>
    </row>
    <row r="78" spans="1:6" ht="21.75" customHeight="1">
      <c r="A78" s="212" t="s">
        <v>1189</v>
      </c>
      <c r="B78" s="213" t="str">
        <f>IFERROR(VLOOKUP(A78,'Tổng,SUMMARY'!C:D,2,0),)</f>
        <v>KS-880104</v>
      </c>
      <c r="C78" s="343">
        <v>46301</v>
      </c>
      <c r="D78" s="214"/>
      <c r="E78" s="351">
        <v>1000</v>
      </c>
      <c r="F78" s="219"/>
    </row>
    <row r="79" spans="1:6" ht="21.75" customHeight="1">
      <c r="A79" s="212" t="s">
        <v>914</v>
      </c>
      <c r="B79" s="213" t="str">
        <f>IFERROR(VLOOKUP(A79,'Tổng,SUMMARY'!C:D,2,0),)</f>
        <v>KS-871382</v>
      </c>
      <c r="C79" s="343">
        <v>46301</v>
      </c>
      <c r="D79" s="214"/>
      <c r="E79" s="351">
        <f>1200+550</f>
        <v>1750</v>
      </c>
      <c r="F79" s="219"/>
    </row>
    <row r="80" spans="1:6" ht="21.75" customHeight="1">
      <c r="A80" s="212" t="s">
        <v>1123</v>
      </c>
      <c r="B80" s="213" t="str">
        <f>IFERROR(VLOOKUP(A80,'Tổng,SUMMARY'!C:D,2,0),)</f>
        <v>KS-881527</v>
      </c>
      <c r="C80" s="343">
        <v>46301</v>
      </c>
      <c r="D80" s="214"/>
      <c r="E80" s="351">
        <v>400</v>
      </c>
      <c r="F80" s="219"/>
    </row>
    <row r="81" spans="1:6" ht="21.75" customHeight="1">
      <c r="A81" s="218" t="s">
        <v>1091</v>
      </c>
      <c r="B81" s="213" t="str">
        <f>IFERROR(VLOOKUP(A81,'Tổng,SUMMARY'!C:D,2,0),)</f>
        <v>KS-880374</v>
      </c>
      <c r="C81" s="343">
        <v>46301</v>
      </c>
      <c r="D81" s="214"/>
      <c r="E81" s="351">
        <v>1200</v>
      </c>
      <c r="F81" s="219"/>
    </row>
    <row r="82" spans="1:6" ht="21.75" customHeight="1">
      <c r="A82" s="218" t="s">
        <v>1193</v>
      </c>
      <c r="B82" s="213" t="str">
        <f>IFERROR(VLOOKUP(A82,'Tổng,SUMMARY'!C:D,2,0),)</f>
        <v>KS-890209</v>
      </c>
      <c r="C82" s="343">
        <v>46301</v>
      </c>
      <c r="D82" s="214"/>
      <c r="E82" s="351">
        <f>780+780</f>
        <v>1560</v>
      </c>
      <c r="F82" s="219"/>
    </row>
    <row r="83" spans="1:6" ht="21.75" customHeight="1">
      <c r="A83" s="212" t="s">
        <v>1158</v>
      </c>
      <c r="B83" s="213" t="str">
        <f>IFERROR(VLOOKUP(A83,'Tổng,SUMMARY'!C:D,2,0),)</f>
        <v>KS-890195</v>
      </c>
      <c r="C83" s="343">
        <v>46301</v>
      </c>
      <c r="D83" s="214"/>
      <c r="E83" s="351">
        <f>780+450</f>
        <v>1230</v>
      </c>
      <c r="F83" s="219"/>
    </row>
    <row r="84" spans="1:6" ht="21.75" customHeight="1">
      <c r="A84" s="212" t="s">
        <v>1188</v>
      </c>
      <c r="B84" s="213" t="str">
        <f>IFERROR(VLOOKUP(A84,'Tổng,SUMMARY'!C:D,2,0),)</f>
        <v>KS-881362</v>
      </c>
      <c r="C84" s="343">
        <v>46301</v>
      </c>
      <c r="D84" s="214"/>
      <c r="E84" s="351">
        <v>2400</v>
      </c>
      <c r="F84" s="219"/>
    </row>
    <row r="85" spans="1:6" ht="21.75" customHeight="1">
      <c r="A85" s="212" t="s">
        <v>1213</v>
      </c>
      <c r="B85" s="213" t="str">
        <f>IFERROR(VLOOKUP(A85,'Tổng,SUMMARY'!C:D,2,0),)</f>
        <v>KS-870996</v>
      </c>
      <c r="C85" s="343">
        <v>46301</v>
      </c>
      <c r="D85" s="214"/>
      <c r="E85" s="351">
        <v>1250</v>
      </c>
      <c r="F85" s="219"/>
    </row>
    <row r="86" spans="1:6" ht="21.75" customHeight="1">
      <c r="A86" s="218" t="s">
        <v>1262</v>
      </c>
      <c r="B86" s="213" t="str">
        <f>IFERROR(VLOOKUP(A86,'Tổng,SUMMARY'!C:D,2,0),)</f>
        <v>KS-880754</v>
      </c>
      <c r="C86" s="343">
        <v>46301</v>
      </c>
      <c r="D86" s="214"/>
      <c r="E86" s="351">
        <f>1200+1150+3500</f>
        <v>5850</v>
      </c>
      <c r="F86" s="219"/>
    </row>
    <row r="87" spans="1:6" ht="21.75" customHeight="1">
      <c r="A87" s="218" t="s">
        <v>1271</v>
      </c>
      <c r="B87" s="213" t="str">
        <f>IFERROR(VLOOKUP(A87,'Tổng,SUMMARY'!C:D,2,0),)</f>
        <v>KS-880624</v>
      </c>
      <c r="C87" s="343">
        <v>46301</v>
      </c>
      <c r="D87" s="214"/>
      <c r="E87" s="351">
        <v>300</v>
      </c>
      <c r="F87" s="219"/>
    </row>
    <row r="88" spans="1:6" ht="21.75" customHeight="1">
      <c r="A88" s="212" t="s">
        <v>1274</v>
      </c>
      <c r="B88" s="213" t="str">
        <f>IFERROR(VLOOKUP(A88,'Tổng,SUMMARY'!C:D,2,0),)</f>
        <v>KS-881462</v>
      </c>
      <c r="C88" s="343">
        <v>46302</v>
      </c>
      <c r="D88" s="214"/>
      <c r="E88" s="351">
        <f>800+600+1200</f>
        <v>2600</v>
      </c>
      <c r="F88" s="219"/>
    </row>
    <row r="89" spans="1:6" ht="21.75" customHeight="1">
      <c r="A89" s="218" t="s">
        <v>1262</v>
      </c>
      <c r="B89" s="213" t="str">
        <f>IFERROR(VLOOKUP(A89,'Tổng,SUMMARY'!C:D,2,0),)</f>
        <v>KS-880754</v>
      </c>
      <c r="C89" s="343">
        <v>46302</v>
      </c>
      <c r="D89" s="214"/>
      <c r="E89" s="351">
        <v>1200</v>
      </c>
      <c r="F89" s="219"/>
    </row>
    <row r="90" spans="1:6" ht="21.75" customHeight="1">
      <c r="A90" s="212" t="s">
        <v>1277</v>
      </c>
      <c r="B90" s="213" t="str">
        <f>IFERROR(VLOOKUP(A90,'Tổng,SUMMARY'!C:D,2,0),)</f>
        <v>KS-871056</v>
      </c>
      <c r="C90" s="343">
        <v>46302</v>
      </c>
      <c r="D90" s="214"/>
      <c r="E90" s="351">
        <v>1200</v>
      </c>
      <c r="F90" s="219"/>
    </row>
    <row r="91" spans="1:6" ht="21.75" customHeight="1">
      <c r="A91" s="212" t="s">
        <v>1158</v>
      </c>
      <c r="B91" s="213" t="str">
        <f>IFERROR(VLOOKUP(A91,'Tổng,SUMMARY'!C:D,2,0),)</f>
        <v>KS-890195</v>
      </c>
      <c r="C91" s="343">
        <v>46302</v>
      </c>
      <c r="D91" s="214"/>
      <c r="E91" s="351">
        <f>780+780+780+780</f>
        <v>3120</v>
      </c>
      <c r="F91" s="219"/>
    </row>
    <row r="92" spans="1:6" ht="21.75" customHeight="1">
      <c r="A92" s="218" t="s">
        <v>1193</v>
      </c>
      <c r="B92" s="213" t="str">
        <f>IFERROR(VLOOKUP(A92,'Tổng,SUMMARY'!C:D,2,0),)</f>
        <v>KS-890209</v>
      </c>
      <c r="C92" s="343">
        <v>46302</v>
      </c>
      <c r="D92" s="214"/>
      <c r="E92" s="351">
        <f>180+570</f>
        <v>750</v>
      </c>
      <c r="F92" s="219"/>
    </row>
    <row r="93" spans="1:6" ht="21.75" customHeight="1">
      <c r="A93" s="212" t="s">
        <v>1287</v>
      </c>
      <c r="B93" s="213" t="str">
        <f>IFERROR(VLOOKUP(A93,'Tổng,SUMMARY'!C:D,2,0),)</f>
        <v>KS-870247</v>
      </c>
      <c r="C93" s="343">
        <v>46302</v>
      </c>
      <c r="D93" s="214"/>
      <c r="E93" s="351">
        <v>2350</v>
      </c>
      <c r="F93" s="219"/>
    </row>
    <row r="94" spans="1:6" ht="21.75" customHeight="1">
      <c r="A94" s="212" t="s">
        <v>1290</v>
      </c>
      <c r="B94" s="213" t="str">
        <f>IFERROR(VLOOKUP(A94,'Tổng,SUMMARY'!C:D,2,0),)</f>
        <v>KS-881483</v>
      </c>
      <c r="C94" s="343">
        <v>46302</v>
      </c>
      <c r="D94" s="214"/>
      <c r="E94" s="351">
        <f>200+1150</f>
        <v>1350</v>
      </c>
      <c r="F94" s="219"/>
    </row>
    <row r="95" spans="1:6" ht="21.75" customHeight="1">
      <c r="A95" s="212" t="s">
        <v>1089</v>
      </c>
      <c r="B95" s="213" t="str">
        <f>IFERROR(VLOOKUP(A95,'Tổng,SUMMARY'!C:D,2,0),)</f>
        <v>KS-881362</v>
      </c>
      <c r="C95" s="343">
        <v>46302</v>
      </c>
      <c r="D95" s="214"/>
      <c r="E95" s="351">
        <f>1200+1150</f>
        <v>2350</v>
      </c>
      <c r="F95" s="219"/>
    </row>
    <row r="96" spans="1:6" ht="21.75" customHeight="1">
      <c r="A96" s="218" t="s">
        <v>1292</v>
      </c>
      <c r="B96" s="213" t="str">
        <f>IFERROR(VLOOKUP(A96,'Tổng,SUMMARY'!C:D,2,0),)</f>
        <v>KS-880624</v>
      </c>
      <c r="C96" s="343">
        <v>46302</v>
      </c>
      <c r="D96" s="214"/>
      <c r="E96" s="351">
        <f>1200+800</f>
        <v>2000</v>
      </c>
      <c r="F96" s="219"/>
    </row>
    <row r="97" spans="1:6" ht="21.75" customHeight="1">
      <c r="A97" s="218" t="s">
        <v>1203</v>
      </c>
      <c r="B97" s="213" t="str">
        <f>IFERROR(VLOOKUP(A97,'Tổng,SUMMARY'!C:D,2,0),)</f>
        <v>KS-880910</v>
      </c>
      <c r="C97" s="343">
        <v>46302</v>
      </c>
      <c r="D97" s="214"/>
      <c r="E97" s="351">
        <f>1200+1200+1200+600+1200</f>
        <v>5400</v>
      </c>
      <c r="F97" s="219"/>
    </row>
    <row r="98" spans="1:6" ht="21.75" customHeight="1">
      <c r="A98" s="212" t="s">
        <v>1105</v>
      </c>
      <c r="B98" s="213" t="str">
        <f>IFERROR(VLOOKUP(A98,'Tổng,SUMMARY'!C:D,2,0),)</f>
        <v>KS-880753</v>
      </c>
      <c r="C98" s="343">
        <v>46302</v>
      </c>
      <c r="D98" s="214"/>
      <c r="E98" s="351">
        <v>3600</v>
      </c>
      <c r="F98" s="219" t="s">
        <v>1102</v>
      </c>
    </row>
    <row r="99" spans="1:6" ht="21.75" customHeight="1">
      <c r="A99" s="212" t="s">
        <v>828</v>
      </c>
      <c r="B99" s="213" t="str">
        <f>IFERROR(VLOOKUP(A99,'Tổng,SUMMARY'!C:D,2,0),)</f>
        <v>KS-89069</v>
      </c>
      <c r="C99" s="343">
        <v>46302</v>
      </c>
      <c r="D99" s="214"/>
      <c r="E99" s="351">
        <v>2160</v>
      </c>
      <c r="F99" s="219" t="s">
        <v>1102</v>
      </c>
    </row>
    <row r="100" spans="1:6" ht="21.75" customHeight="1">
      <c r="A100" s="212" t="s">
        <v>1325</v>
      </c>
      <c r="B100" s="213" t="str">
        <f>IFERROR(VLOOKUP(A100,'Tổng,SUMMARY'!C:D,2,0),)</f>
        <v>KS-87049</v>
      </c>
      <c r="C100" s="343">
        <v>46302</v>
      </c>
      <c r="D100" s="214"/>
      <c r="E100" s="351">
        <v>2050</v>
      </c>
      <c r="F100" s="219" t="s">
        <v>1102</v>
      </c>
    </row>
    <row r="101" spans="1:6" ht="21.75" customHeight="1">
      <c r="A101" s="212" t="s">
        <v>1326</v>
      </c>
      <c r="B101" s="213" t="str">
        <f>IFERROR(VLOOKUP(A101,'Tổng,SUMMARY'!C:D,2,0),)</f>
        <v>KS-881300</v>
      </c>
      <c r="C101" s="343">
        <v>46302</v>
      </c>
      <c r="D101" s="214"/>
      <c r="E101" s="351">
        <v>1000</v>
      </c>
      <c r="F101" s="219" t="s">
        <v>1102</v>
      </c>
    </row>
    <row r="102" spans="1:6" ht="21.75" customHeight="1">
      <c r="A102" s="218" t="s">
        <v>1178</v>
      </c>
      <c r="B102" s="213" t="str">
        <f>IFERROR(VLOOKUP(A102,'Tổng,SUMMARY'!C:D,2,0),)</f>
        <v>KS-880372</v>
      </c>
      <c r="C102" s="343">
        <v>46302</v>
      </c>
      <c r="D102" s="214"/>
      <c r="E102" s="351">
        <v>2400</v>
      </c>
      <c r="F102" s="219" t="s">
        <v>1102</v>
      </c>
    </row>
    <row r="103" spans="1:6" ht="21.75" customHeight="1">
      <c r="A103" s="212" t="s">
        <v>1186</v>
      </c>
      <c r="B103" s="213" t="str">
        <f>IFERROR(VLOOKUP(A103,'Tổng,SUMMARY'!C:D,2,0),)</f>
        <v>KS-881462</v>
      </c>
      <c r="C103" s="343">
        <v>46303</v>
      </c>
      <c r="D103" s="214"/>
      <c r="E103" s="351">
        <f>1100+700+200+1200</f>
        <v>3200</v>
      </c>
      <c r="F103" s="219"/>
    </row>
    <row r="104" spans="1:6" ht="21.75" customHeight="1">
      <c r="A104" s="212" t="s">
        <v>1089</v>
      </c>
      <c r="B104" s="213" t="str">
        <f>IFERROR(VLOOKUP(A104,'Tổng,SUMMARY'!C:D,2,0),)</f>
        <v>KS-881362</v>
      </c>
      <c r="C104" s="343">
        <v>46303</v>
      </c>
      <c r="D104" s="214"/>
      <c r="E104" s="351">
        <v>1200</v>
      </c>
      <c r="F104" s="219"/>
    </row>
    <row r="105" spans="1:6" ht="21.75" customHeight="1">
      <c r="A105" s="218" t="s">
        <v>1306</v>
      </c>
      <c r="B105" s="213" t="str">
        <f>IFERROR(VLOOKUP(A105,'Tổng,SUMMARY'!C:D,2,0),)</f>
        <v>KS-881608</v>
      </c>
      <c r="C105" s="343">
        <v>46303</v>
      </c>
      <c r="D105" s="214"/>
      <c r="E105" s="351">
        <v>200</v>
      </c>
      <c r="F105" s="219"/>
    </row>
    <row r="106" spans="1:6" ht="21.75" customHeight="1">
      <c r="A106" s="212" t="s">
        <v>1155</v>
      </c>
      <c r="B106" s="213" t="str">
        <f>IFERROR(VLOOKUP(A106,'Tổng,SUMMARY'!C:D,2,0),)</f>
        <v>KS-881041</v>
      </c>
      <c r="C106" s="343">
        <v>46303</v>
      </c>
      <c r="D106" s="214"/>
      <c r="E106" s="351">
        <v>1200</v>
      </c>
      <c r="F106" s="219"/>
    </row>
    <row r="107" spans="1:6" ht="21.75" customHeight="1">
      <c r="A107" s="218" t="s">
        <v>1112</v>
      </c>
      <c r="B107" s="213" t="str">
        <f>IFERROR(VLOOKUP(A107,'Tổng,SUMMARY'!C:D,2,0),)</f>
        <v>KS-880944</v>
      </c>
      <c r="C107" s="343">
        <v>46303</v>
      </c>
      <c r="D107" s="214"/>
      <c r="E107" s="351">
        <v>1150</v>
      </c>
      <c r="F107" s="219"/>
    </row>
    <row r="108" spans="1:6" ht="21.75" customHeight="1">
      <c r="A108" s="212" t="s">
        <v>1311</v>
      </c>
      <c r="B108" s="213" t="str">
        <f>IFERROR(VLOOKUP(A108,'Tổng,SUMMARY'!C:D,2,0),)</f>
        <v>KS-880466</v>
      </c>
      <c r="C108" s="343">
        <v>46303</v>
      </c>
      <c r="D108" s="214"/>
      <c r="E108" s="351">
        <v>750</v>
      </c>
      <c r="F108" s="219"/>
    </row>
    <row r="109" spans="1:6" ht="21.75" customHeight="1">
      <c r="A109" s="212" t="s">
        <v>1280</v>
      </c>
      <c r="B109" s="213" t="str">
        <f>IFERROR(VLOOKUP(A109,'Tổng,SUMMARY'!C:D,2,0),)</f>
        <v>KS-871056</v>
      </c>
      <c r="C109" s="343">
        <v>46303</v>
      </c>
      <c r="D109" s="214"/>
      <c r="E109" s="351">
        <v>1100</v>
      </c>
      <c r="F109" s="219"/>
    </row>
    <row r="110" spans="1:6" ht="21.75" customHeight="1">
      <c r="A110" s="212" t="s">
        <v>914</v>
      </c>
      <c r="B110" s="213" t="str">
        <f>IFERROR(VLOOKUP(A110,'Tổng,SUMMARY'!C:D,2,0),)</f>
        <v>KS-871382</v>
      </c>
      <c r="C110" s="343">
        <v>46303</v>
      </c>
      <c r="D110" s="214"/>
      <c r="E110" s="351">
        <f>2400+600</f>
        <v>3000</v>
      </c>
      <c r="F110" s="219"/>
    </row>
    <row r="111" spans="1:6" ht="21.75" customHeight="1">
      <c r="A111" s="212" t="s">
        <v>1123</v>
      </c>
      <c r="B111" s="213" t="str">
        <f>IFERROR(VLOOKUP(A111,'Tổng,SUMMARY'!C:D,2,0),)</f>
        <v>KS-881527</v>
      </c>
      <c r="C111" s="343">
        <v>46303</v>
      </c>
      <c r="D111" s="214"/>
      <c r="E111" s="351">
        <v>2400</v>
      </c>
      <c r="F111" s="219"/>
    </row>
    <row r="112" spans="1:6" ht="21.75" customHeight="1">
      <c r="A112" s="212" t="s">
        <v>1158</v>
      </c>
      <c r="B112" s="213" t="str">
        <f>IFERROR(VLOOKUP(A112,'Tổng,SUMMARY'!C:D,2,0),)</f>
        <v>KS-890195</v>
      </c>
      <c r="C112" s="343">
        <v>46303</v>
      </c>
      <c r="D112" s="214"/>
      <c r="E112" s="351">
        <f>780+780+780</f>
        <v>2340</v>
      </c>
      <c r="F112" s="219"/>
    </row>
    <row r="113" spans="1:6" ht="21.75" customHeight="1">
      <c r="A113" s="218" t="s">
        <v>1091</v>
      </c>
      <c r="B113" s="213" t="str">
        <f>IFERROR(VLOOKUP(A113,'Tổng,SUMMARY'!C:D,2,0),)</f>
        <v>KS-880374</v>
      </c>
      <c r="C113" s="343">
        <v>46303</v>
      </c>
      <c r="D113" s="214"/>
      <c r="E113" s="351">
        <v>2400</v>
      </c>
      <c r="F113" s="219"/>
    </row>
    <row r="114" spans="1:6" ht="21.75" customHeight="1">
      <c r="A114" s="212" t="s">
        <v>1321</v>
      </c>
      <c r="B114" s="213" t="str">
        <f>IFERROR(VLOOKUP(A114,'Tổng,SUMMARY'!C:D,2,0),)</f>
        <v>KS-880288</v>
      </c>
      <c r="C114" s="343">
        <v>46303</v>
      </c>
      <c r="D114" s="214"/>
      <c r="E114" s="351">
        <v>3600</v>
      </c>
      <c r="F114" s="219"/>
    </row>
    <row r="115" spans="1:6" ht="21.75" customHeight="1">
      <c r="A115" s="218" t="s">
        <v>1112</v>
      </c>
      <c r="B115" s="213" t="str">
        <f>IFERROR(VLOOKUP(A115,'Tổng,SUMMARY'!C:D,2,0),)</f>
        <v>KS-880944</v>
      </c>
      <c r="C115" s="343">
        <v>46303</v>
      </c>
      <c r="D115" s="214"/>
      <c r="E115" s="351">
        <v>3600</v>
      </c>
      <c r="F115" s="219" t="s">
        <v>1102</v>
      </c>
    </row>
    <row r="116" spans="1:6" ht="21.75" customHeight="1">
      <c r="A116" s="218" t="s">
        <v>1178</v>
      </c>
      <c r="B116" s="213" t="str">
        <f>IFERROR(VLOOKUP(A116,'Tổng,SUMMARY'!C:D,2,0),)</f>
        <v>KS-880372</v>
      </c>
      <c r="C116" s="343">
        <v>46303</v>
      </c>
      <c r="D116" s="214"/>
      <c r="E116" s="351">
        <v>2400</v>
      </c>
      <c r="F116" s="219" t="s">
        <v>1102</v>
      </c>
    </row>
    <row r="117" spans="1:6" ht="21.75" customHeight="1">
      <c r="A117" s="218" t="s">
        <v>1334</v>
      </c>
      <c r="B117" s="213" t="str">
        <f>IFERROR(VLOOKUP(A117,'Tổng,SUMMARY'!C:D,2,0),)</f>
        <v>KS-8303</v>
      </c>
      <c r="C117" s="343">
        <v>46303</v>
      </c>
      <c r="D117" s="214"/>
      <c r="E117" s="351">
        <v>3300</v>
      </c>
      <c r="F117" s="219" t="s">
        <v>1102</v>
      </c>
    </row>
    <row r="118" spans="1:6" ht="21.75" customHeight="1">
      <c r="A118" s="218" t="s">
        <v>1335</v>
      </c>
      <c r="B118" s="213" t="str">
        <f>IFERROR(VLOOKUP(A118,'Tổng,SUMMARY'!C:D,2,0),)</f>
        <v>KS-8503</v>
      </c>
      <c r="C118" s="343">
        <v>46303</v>
      </c>
      <c r="D118" s="214"/>
      <c r="E118" s="351">
        <v>1200</v>
      </c>
      <c r="F118" s="219" t="s">
        <v>1102</v>
      </c>
    </row>
    <row r="119" spans="1:6" ht="21.75" customHeight="1">
      <c r="A119" s="212" t="s">
        <v>1339</v>
      </c>
      <c r="B119" s="213" t="str">
        <f>IFERROR(VLOOKUP(A119,'Tổng,SUMMARY'!C:D,2,0),)</f>
        <v>KS-890160</v>
      </c>
      <c r="C119" s="343">
        <v>46303</v>
      </c>
      <c r="D119" s="214"/>
      <c r="E119" s="351">
        <v>768</v>
      </c>
      <c r="F119" s="219"/>
    </row>
    <row r="120" spans="1:6" ht="21.75" customHeight="1">
      <c r="A120" s="212" t="s">
        <v>1344</v>
      </c>
      <c r="B120" s="213" t="str">
        <f>IFERROR(VLOOKUP(A120,'Tổng,SUMMARY'!C:D,2,0),)</f>
        <v>KS-89084</v>
      </c>
      <c r="C120" s="343">
        <v>46303</v>
      </c>
      <c r="D120" s="214"/>
      <c r="E120" s="351">
        <v>780</v>
      </c>
      <c r="F120" s="219"/>
    </row>
    <row r="121" spans="1:6" ht="21.75" customHeight="1">
      <c r="A121" s="218" t="s">
        <v>1112</v>
      </c>
      <c r="B121" s="213" t="str">
        <f>IFERROR(VLOOKUP(A121,'Tổng,SUMMARY'!C:D,2,0),)</f>
        <v>KS-880944</v>
      </c>
      <c r="C121" s="343">
        <v>46304</v>
      </c>
      <c r="D121" s="214"/>
      <c r="E121" s="351">
        <v>600</v>
      </c>
      <c r="F121" s="219"/>
    </row>
    <row r="122" spans="1:6" ht="21.75" customHeight="1">
      <c r="A122" s="212" t="s">
        <v>914</v>
      </c>
      <c r="B122" s="213" t="str">
        <f>IFERROR(VLOOKUP(A122,'Tổng,SUMMARY'!C:D,2,0),)</f>
        <v>KS-871382</v>
      </c>
      <c r="C122" s="343">
        <v>46304</v>
      </c>
      <c r="D122" s="214"/>
      <c r="E122" s="351">
        <v>1200</v>
      </c>
      <c r="F122" s="219"/>
    </row>
    <row r="123" spans="1:6" ht="21.75" customHeight="1">
      <c r="A123" s="212" t="s">
        <v>813</v>
      </c>
      <c r="B123" s="213" t="str">
        <f>IFERROR(VLOOKUP(A123,'Tổng,SUMMARY'!C:D,2,0),)</f>
        <v>KS-881041</v>
      </c>
      <c r="C123" s="343">
        <v>46304</v>
      </c>
      <c r="D123" s="214"/>
      <c r="E123" s="351">
        <v>1200</v>
      </c>
      <c r="F123" s="219"/>
    </row>
    <row r="124" spans="1:6" ht="21.75" customHeight="1">
      <c r="A124" s="212" t="s">
        <v>1373</v>
      </c>
      <c r="B124" s="213" t="str">
        <f>IFERROR(VLOOKUP(A124,'Tổng,SUMMARY'!C:D,2,0),)</f>
        <v>KS-870247</v>
      </c>
      <c r="C124" s="343">
        <v>46304</v>
      </c>
      <c r="D124" s="214"/>
      <c r="E124" s="351">
        <v>1100</v>
      </c>
      <c r="F124" s="219"/>
    </row>
    <row r="125" spans="1:6" ht="21.75" customHeight="1">
      <c r="A125" s="212" t="s">
        <v>1276</v>
      </c>
      <c r="B125" s="213" t="str">
        <f>IFERROR(VLOOKUP(A125,'Tổng,SUMMARY'!C:D,2,0),)</f>
        <v>KS-871056</v>
      </c>
      <c r="C125" s="343">
        <v>46304</v>
      </c>
      <c r="D125" s="214"/>
      <c r="E125" s="351">
        <v>1200</v>
      </c>
      <c r="F125" s="219"/>
    </row>
    <row r="126" spans="1:6" ht="21.75" customHeight="1">
      <c r="A126" s="220" t="s">
        <v>1377</v>
      </c>
      <c r="B126" s="213" t="str">
        <f>IFERROR(VLOOKUP(A126,'Tổng,SUMMARY'!C:D,2,0),)</f>
        <v>KS-871270</v>
      </c>
      <c r="C126" s="343">
        <v>46304</v>
      </c>
      <c r="D126" s="214"/>
      <c r="E126" s="351">
        <v>1100</v>
      </c>
      <c r="F126" s="219"/>
    </row>
    <row r="127" spans="1:6" ht="21.75" customHeight="1">
      <c r="A127" s="212" t="s">
        <v>1379</v>
      </c>
      <c r="B127" s="213" t="str">
        <f>IFERROR(VLOOKUP(A127,'Tổng,SUMMARY'!C:D,2,0),)</f>
        <v>KS-890160</v>
      </c>
      <c r="C127" s="343">
        <v>46304</v>
      </c>
      <c r="D127" s="214"/>
      <c r="E127" s="351">
        <v>144</v>
      </c>
      <c r="F127" s="219"/>
    </row>
    <row r="128" spans="1:6" ht="21.75" customHeight="1">
      <c r="A128" s="218" t="s">
        <v>1262</v>
      </c>
      <c r="B128" s="213" t="str">
        <f>IFERROR(VLOOKUP(A128,'Tổng,SUMMARY'!C:D,2,0),)</f>
        <v>KS-880754</v>
      </c>
      <c r="C128" s="343">
        <v>46304</v>
      </c>
      <c r="D128" s="214"/>
      <c r="E128" s="351">
        <v>950</v>
      </c>
      <c r="F128" s="219"/>
    </row>
    <row r="129" spans="1:6" ht="21.75" customHeight="1">
      <c r="A129" s="212" t="s">
        <v>1088</v>
      </c>
      <c r="B129" s="213" t="str">
        <f>IFERROR(VLOOKUP(A129,'Tổng,SUMMARY'!C:D,2,0),)</f>
        <v>KS-881462</v>
      </c>
      <c r="C129" s="343">
        <v>46304</v>
      </c>
      <c r="D129" s="214"/>
      <c r="E129" s="351">
        <v>4700</v>
      </c>
      <c r="F129" s="219"/>
    </row>
    <row r="130" spans="1:6" ht="21.75" customHeight="1">
      <c r="A130" s="220" t="s">
        <v>1386</v>
      </c>
      <c r="B130" s="213" t="str">
        <f>IFERROR(VLOOKUP(A130,'Tổng,SUMMARY'!C:D,2,0),)</f>
        <v>KS-880731</v>
      </c>
      <c r="C130" s="343">
        <v>46304</v>
      </c>
      <c r="D130" s="214"/>
      <c r="E130" s="351">
        <v>2400</v>
      </c>
      <c r="F130" s="219"/>
    </row>
    <row r="131" spans="1:6" ht="21.75" customHeight="1">
      <c r="A131" s="218" t="s">
        <v>1091</v>
      </c>
      <c r="B131" s="213" t="str">
        <f>IFERROR(VLOOKUP(A131,'Tổng,SUMMARY'!C:D,2,0),)</f>
        <v>KS-880374</v>
      </c>
      <c r="C131" s="343">
        <v>46304</v>
      </c>
      <c r="D131" s="214"/>
      <c r="E131" s="351">
        <v>2400</v>
      </c>
      <c r="F131" s="219"/>
    </row>
    <row r="132" spans="1:6" ht="21.75" customHeight="1">
      <c r="A132" s="218" t="s">
        <v>1112</v>
      </c>
      <c r="B132" s="213" t="str">
        <f>IFERROR(VLOOKUP(A132,'Tổng,SUMMARY'!C:D,2,0),)</f>
        <v>KS-880944</v>
      </c>
      <c r="C132" s="343">
        <v>46304</v>
      </c>
      <c r="D132" s="214"/>
      <c r="E132" s="351">
        <f>600+1200+1200</f>
        <v>3000</v>
      </c>
      <c r="F132" s="219"/>
    </row>
    <row r="133" spans="1:6" ht="21.75" customHeight="1">
      <c r="A133" s="218" t="s">
        <v>1394</v>
      </c>
      <c r="B133" s="213" t="str">
        <f>IFERROR(VLOOKUP(A133,'Tổng,SUMMARY'!C:D,2,0),)</f>
        <v>KS-890196</v>
      </c>
      <c r="C133" s="343">
        <v>46304</v>
      </c>
      <c r="D133" s="214"/>
      <c r="E133" s="351">
        <f>780+780</f>
        <v>1560</v>
      </c>
      <c r="F133" s="219"/>
    </row>
    <row r="134" spans="1:6" ht="21.75" customHeight="1">
      <c r="A134" s="218" t="s">
        <v>1398</v>
      </c>
      <c r="B134" s="213" t="str">
        <f>IFERROR(VLOOKUP(A134,'Tổng,SUMMARY'!C:D,2,0),)</f>
        <v>KS-870247</v>
      </c>
      <c r="C134" s="343">
        <v>46304</v>
      </c>
      <c r="D134" s="214"/>
      <c r="E134" s="351">
        <f>600+1150+500</f>
        <v>2250</v>
      </c>
      <c r="F134" s="219"/>
    </row>
    <row r="135" spans="1:6" ht="21.75" customHeight="1">
      <c r="A135" s="212" t="s">
        <v>1290</v>
      </c>
      <c r="B135" s="213" t="str">
        <f>IFERROR(VLOOKUP(A135,'Tổng,SUMMARY'!C:D,2,0),)</f>
        <v>KS-881483</v>
      </c>
      <c r="C135" s="343">
        <v>46304</v>
      </c>
      <c r="D135" s="214"/>
      <c r="E135" s="351">
        <v>2400</v>
      </c>
      <c r="F135" s="219"/>
    </row>
    <row r="136" spans="1:6" ht="21.75" customHeight="1">
      <c r="A136" s="212" t="s">
        <v>1023</v>
      </c>
      <c r="B136" s="213" t="str">
        <f>IFERROR(VLOOKUP(A136,'Tổng,SUMMARY'!C:D,2,0),)</f>
        <v>KS-881527</v>
      </c>
      <c r="C136" s="343">
        <v>46304</v>
      </c>
      <c r="D136" s="214"/>
      <c r="E136" s="351">
        <v>2200</v>
      </c>
      <c r="F136" s="219"/>
    </row>
    <row r="137" spans="1:6" ht="21.75" customHeight="1">
      <c r="A137" s="218" t="s">
        <v>1271</v>
      </c>
      <c r="B137" s="213" t="str">
        <f>IFERROR(VLOOKUP(A137,'Tổng,SUMMARY'!C:D,2,0),)</f>
        <v>KS-880624</v>
      </c>
      <c r="C137" s="343">
        <v>46304</v>
      </c>
      <c r="D137" s="214"/>
      <c r="E137" s="351">
        <v>4500</v>
      </c>
      <c r="F137" s="219"/>
    </row>
    <row r="138" spans="1:6" ht="21.75" customHeight="1">
      <c r="A138" s="212" t="s">
        <v>1414</v>
      </c>
      <c r="B138" s="213" t="str">
        <f>IFERROR(VLOOKUP(A138,'Tổng,SUMMARY'!C:D,2,0),)</f>
        <v>KS-880288</v>
      </c>
      <c r="C138" s="343">
        <v>46304</v>
      </c>
      <c r="D138" s="214"/>
      <c r="E138" s="351">
        <f>3600+700</f>
        <v>4300</v>
      </c>
      <c r="F138" s="219"/>
    </row>
    <row r="139" spans="1:6" ht="21.75" customHeight="1">
      <c r="A139" s="218" t="s">
        <v>1141</v>
      </c>
      <c r="B139" s="213" t="str">
        <f>IFERROR(VLOOKUP(A139,'Tổng,SUMMARY'!C:D,2,0),)</f>
        <v>KS-880372</v>
      </c>
      <c r="C139" s="343">
        <v>46304</v>
      </c>
      <c r="D139" s="214"/>
      <c r="E139" s="351">
        <f>2400+2400</f>
        <v>4800</v>
      </c>
      <c r="F139" s="219" t="s">
        <v>1102</v>
      </c>
    </row>
    <row r="140" spans="1:6" ht="21.75" customHeight="1">
      <c r="A140" s="212" t="s">
        <v>1105</v>
      </c>
      <c r="B140" s="213" t="str">
        <f>IFERROR(VLOOKUP(A140,'Tổng,SUMMARY'!C:D,2,0),)</f>
        <v>KS-880753</v>
      </c>
      <c r="C140" s="343">
        <v>46304</v>
      </c>
      <c r="D140" s="214"/>
      <c r="E140" s="351">
        <v>3600</v>
      </c>
      <c r="F140" s="219" t="s">
        <v>1102</v>
      </c>
    </row>
    <row r="141" spans="1:6" ht="21.75" customHeight="1">
      <c r="A141" s="218" t="s">
        <v>1112</v>
      </c>
      <c r="B141" s="213" t="str">
        <f>IFERROR(VLOOKUP(A141,'Tổng,SUMMARY'!C:D,2,0),)</f>
        <v>KS-880944</v>
      </c>
      <c r="C141" s="343">
        <v>46304</v>
      </c>
      <c r="D141" s="214"/>
      <c r="E141" s="351">
        <v>3600</v>
      </c>
      <c r="F141" s="219" t="s">
        <v>1102</v>
      </c>
    </row>
    <row r="142" spans="1:6" ht="21.75" customHeight="1">
      <c r="A142" s="218" t="s">
        <v>1434</v>
      </c>
      <c r="B142" s="213" t="str">
        <f>IFERROR(VLOOKUP(A142,'Tổng,SUMMARY'!C:D,2,0),)</f>
        <v>KS-89069</v>
      </c>
      <c r="C142" s="343">
        <v>46304</v>
      </c>
      <c r="D142" s="214"/>
      <c r="E142" s="351">
        <v>2160</v>
      </c>
      <c r="F142" s="219" t="s">
        <v>1102</v>
      </c>
    </row>
    <row r="143" spans="1:6" ht="21.75" customHeight="1">
      <c r="A143" s="218" t="s">
        <v>979</v>
      </c>
      <c r="B143" s="213" t="str">
        <f>IFERROR(VLOOKUP(A143,'Tổng,SUMMARY'!C:D,2,0),)</f>
        <v>KS-881512</v>
      </c>
      <c r="C143" s="343">
        <v>46304</v>
      </c>
      <c r="D143" s="214"/>
      <c r="E143" s="351">
        <v>3600</v>
      </c>
      <c r="F143" s="219" t="s">
        <v>1102</v>
      </c>
    </row>
    <row r="144" spans="1:6" ht="21.75" customHeight="1">
      <c r="A144" s="212" t="s">
        <v>1088</v>
      </c>
      <c r="B144" s="213" t="str">
        <f>IFERROR(VLOOKUP(A144,'Tổng,SUMMARY'!C:D,2,0),)</f>
        <v>KS-881462</v>
      </c>
      <c r="C144" s="343">
        <v>46305</v>
      </c>
      <c r="D144" s="214"/>
      <c r="E144" s="351">
        <f>2400+900</f>
        <v>3300</v>
      </c>
      <c r="F144" s="219"/>
    </row>
    <row r="145" spans="1:6" ht="21.75" customHeight="1">
      <c r="A145" s="218" t="s">
        <v>1091</v>
      </c>
      <c r="B145" s="213" t="str">
        <f>IFERROR(VLOOKUP(A145,'Tổng,SUMMARY'!C:D,2,0),)</f>
        <v>KS-880374</v>
      </c>
      <c r="C145" s="343">
        <v>46305</v>
      </c>
      <c r="D145" s="214"/>
      <c r="E145" s="351">
        <f>1000+2400</f>
        <v>3400</v>
      </c>
      <c r="F145" s="219"/>
    </row>
    <row r="146" spans="1:6" ht="21.75" customHeight="1">
      <c r="A146" s="212" t="s">
        <v>914</v>
      </c>
      <c r="B146" s="213" t="str">
        <f>IFERROR(VLOOKUP(A146,'Tổng,SUMMARY'!C:D,2,0),)</f>
        <v>KS-871382</v>
      </c>
      <c r="C146" s="343">
        <v>46305</v>
      </c>
      <c r="D146" s="214"/>
      <c r="E146" s="351">
        <f>1200+1150</f>
        <v>2350</v>
      </c>
      <c r="F146" s="219"/>
    </row>
    <row r="147" spans="1:6" ht="21.75" customHeight="1">
      <c r="A147" s="218" t="s">
        <v>1456</v>
      </c>
      <c r="B147" s="213" t="str">
        <f>IFERROR(VLOOKUP(A147,'Tổng,SUMMARY'!C:D,2,0),)</f>
        <v>KS-880913</v>
      </c>
      <c r="C147" s="343">
        <v>46305</v>
      </c>
      <c r="D147" s="214"/>
      <c r="E147" s="351">
        <v>2400</v>
      </c>
      <c r="F147" s="219"/>
    </row>
    <row r="148" spans="1:6" ht="21.75" customHeight="1">
      <c r="A148" s="212" t="s">
        <v>1158</v>
      </c>
      <c r="B148" s="213" t="str">
        <f>IFERROR(VLOOKUP(A148,'Tổng,SUMMARY'!C:D,2,0),)</f>
        <v>KS-890195</v>
      </c>
      <c r="C148" s="343">
        <v>46305</v>
      </c>
      <c r="D148" s="214"/>
      <c r="E148" s="351">
        <f>780+780+780+390</f>
        <v>2730</v>
      </c>
      <c r="F148" s="219"/>
    </row>
    <row r="149" spans="1:6" ht="21.75" customHeight="1">
      <c r="A149" s="212" t="s">
        <v>1464</v>
      </c>
      <c r="B149" s="213" t="str">
        <f>IFERROR(VLOOKUP(A149,'Tổng,SUMMARY'!C:D,2,0),)</f>
        <v>KS-880104</v>
      </c>
      <c r="C149" s="343">
        <v>46305</v>
      </c>
      <c r="D149" s="214"/>
      <c r="E149" s="351">
        <f>1200+1200</f>
        <v>2400</v>
      </c>
      <c r="F149" s="219"/>
    </row>
    <row r="150" spans="1:6" ht="21.75" customHeight="1">
      <c r="A150" s="218" t="s">
        <v>1287</v>
      </c>
      <c r="B150" s="213" t="str">
        <f>IFERROR(VLOOKUP(A150,'Tổng,SUMMARY'!C:D,2,0),)</f>
        <v>KS-870247</v>
      </c>
      <c r="C150" s="343">
        <v>46305</v>
      </c>
      <c r="D150" s="214"/>
      <c r="E150" s="351">
        <v>600</v>
      </c>
      <c r="F150" s="219"/>
    </row>
    <row r="151" spans="1:6" ht="21.75" customHeight="1">
      <c r="A151" s="218" t="s">
        <v>1306</v>
      </c>
      <c r="B151" s="213" t="str">
        <f>IFERROR(VLOOKUP(A151,'Tổng,SUMMARY'!C:D,2,0),)</f>
        <v>KS-881608</v>
      </c>
      <c r="C151" s="343">
        <v>46305</v>
      </c>
      <c r="D151" s="214"/>
      <c r="E151" s="351">
        <v>300</v>
      </c>
      <c r="F151" s="219"/>
    </row>
    <row r="152" spans="1:6" ht="21.75" customHeight="1">
      <c r="A152" s="218" t="s">
        <v>1112</v>
      </c>
      <c r="B152" s="213" t="str">
        <f>IFERROR(VLOOKUP(A152,'Tổng,SUMMARY'!C:D,2,0),)</f>
        <v>KS-880944</v>
      </c>
      <c r="C152" s="343">
        <v>46305</v>
      </c>
      <c r="D152" s="214"/>
      <c r="E152" s="351">
        <v>1200</v>
      </c>
      <c r="F152" s="219"/>
    </row>
    <row r="153" spans="1:6" ht="21.75" customHeight="1">
      <c r="A153" s="212" t="s">
        <v>1469</v>
      </c>
      <c r="B153" s="213" t="str">
        <f>IFERROR(VLOOKUP(A153,'Tổng,SUMMARY'!C:D,2,0),)</f>
        <v>KS-880615</v>
      </c>
      <c r="C153" s="343">
        <v>46305</v>
      </c>
      <c r="D153" s="214"/>
      <c r="E153" s="351">
        <v>300</v>
      </c>
      <c r="F153" s="219"/>
    </row>
    <row r="154" spans="1:6" ht="21.75" customHeight="1">
      <c r="A154" s="218" t="s">
        <v>1470</v>
      </c>
      <c r="B154" s="213" t="str">
        <f>IFERROR(VLOOKUP(A154,'Tổng,SUMMARY'!C:D,2,0),)</f>
        <v>KS-89084</v>
      </c>
      <c r="C154" s="343">
        <v>46305</v>
      </c>
      <c r="D154" s="214"/>
      <c r="E154" s="351">
        <v>60</v>
      </c>
      <c r="F154" s="219"/>
    </row>
    <row r="155" spans="1:6" ht="21.75" customHeight="1">
      <c r="A155" s="212" t="s">
        <v>1473</v>
      </c>
      <c r="B155" s="213" t="str">
        <f>IFERROR(VLOOKUP(A155,'Tổng,SUMMARY'!C:D,2,0),)</f>
        <v>KS-890209</v>
      </c>
      <c r="C155" s="343">
        <v>46305</v>
      </c>
      <c r="D155" s="214"/>
      <c r="E155" s="351">
        <v>120</v>
      </c>
      <c r="F155" s="219"/>
    </row>
    <row r="156" spans="1:6" ht="21.75" customHeight="1">
      <c r="A156" s="218" t="s">
        <v>1394</v>
      </c>
      <c r="B156" s="213" t="str">
        <f>IFERROR(VLOOKUP(A156,'Tổng,SUMMARY'!C:D,2,0),)</f>
        <v>KS-890196</v>
      </c>
      <c r="C156" s="343">
        <v>46305</v>
      </c>
      <c r="D156" s="214"/>
      <c r="E156" s="351">
        <v>180</v>
      </c>
      <c r="F156" s="219"/>
    </row>
    <row r="157" spans="1:6" ht="21.75" customHeight="1">
      <c r="A157" s="212" t="s">
        <v>813</v>
      </c>
      <c r="B157" s="213" t="str">
        <f>IFERROR(VLOOKUP(A157,'Tổng,SUMMARY'!C:D,2,0),)</f>
        <v>KS-881041</v>
      </c>
      <c r="C157" s="343">
        <v>46305</v>
      </c>
      <c r="D157" s="214"/>
      <c r="E157" s="351">
        <v>1200</v>
      </c>
      <c r="F157" s="219"/>
    </row>
    <row r="158" spans="1:6" ht="21.75" customHeight="1">
      <c r="A158" s="212" t="s">
        <v>1023</v>
      </c>
      <c r="B158" s="213" t="str">
        <f>IFERROR(VLOOKUP(A158,'Tổng,SUMMARY'!C:D,2,0),)</f>
        <v>KS-881527</v>
      </c>
      <c r="C158" s="343">
        <v>46305</v>
      </c>
      <c r="D158" s="214"/>
      <c r="E158" s="351">
        <v>1200</v>
      </c>
      <c r="F158" s="219"/>
    </row>
    <row r="159" spans="1:6" ht="21.75" customHeight="1">
      <c r="A159" s="218" t="s">
        <v>1112</v>
      </c>
      <c r="B159" s="213" t="str">
        <f>IFERROR(VLOOKUP(A159,'Tổng,SUMMARY'!C:D,2,0),)</f>
        <v>KS-880944</v>
      </c>
      <c r="C159" s="343">
        <v>46307</v>
      </c>
      <c r="D159" s="214"/>
      <c r="E159" s="351">
        <v>3600</v>
      </c>
      <c r="F159" s="219" t="s">
        <v>1102</v>
      </c>
    </row>
    <row r="160" spans="1:6" ht="21.75" customHeight="1">
      <c r="A160" s="218" t="s">
        <v>1484</v>
      </c>
      <c r="B160" s="213" t="str">
        <f>IFERROR(VLOOKUP(A160,'Tổng,SUMMARY'!C:D,2,0),)</f>
        <v>KS-89069</v>
      </c>
      <c r="C160" s="343">
        <v>46307</v>
      </c>
      <c r="D160" s="214"/>
      <c r="E160" s="351">
        <v>2160</v>
      </c>
      <c r="F160" s="219" t="s">
        <v>1102</v>
      </c>
    </row>
    <row r="161" spans="1:6" ht="21.75" customHeight="1">
      <c r="A161" s="218" t="s">
        <v>1485</v>
      </c>
      <c r="B161" s="213" t="str">
        <f>IFERROR(VLOOKUP(A161,'Tổng,SUMMARY'!C:D,2,0),)</f>
        <v>KS-881080</v>
      </c>
      <c r="C161" s="343">
        <v>46307</v>
      </c>
      <c r="D161" s="214"/>
      <c r="E161" s="351">
        <v>2000</v>
      </c>
      <c r="F161" s="219" t="s">
        <v>1102</v>
      </c>
    </row>
    <row r="162" spans="1:6" ht="21.75" customHeight="1">
      <c r="A162" s="218" t="s">
        <v>1493</v>
      </c>
      <c r="B162" s="213" t="str">
        <f>IFERROR(VLOOKUP(A162,'Tổng,SUMMARY'!C:D,2,0),)</f>
        <v>KS-881300</v>
      </c>
      <c r="C162" s="343">
        <v>46307</v>
      </c>
      <c r="D162" s="214"/>
      <c r="E162" s="351">
        <v>2000</v>
      </c>
      <c r="F162" s="219" t="s">
        <v>1102</v>
      </c>
    </row>
    <row r="163" spans="1:6" ht="21.75" customHeight="1">
      <c r="A163" s="218" t="s">
        <v>1494</v>
      </c>
      <c r="B163" s="213" t="str">
        <f>IFERROR(VLOOKUP(A163,'Tổng,SUMMARY'!C:D,2,0),)</f>
        <v>KS-8605</v>
      </c>
      <c r="C163" s="343">
        <v>46307</v>
      </c>
      <c r="D163" s="214"/>
      <c r="E163" s="351">
        <v>2850</v>
      </c>
      <c r="F163" s="219" t="s">
        <v>1102</v>
      </c>
    </row>
    <row r="164" spans="1:6" ht="21.75" customHeight="1">
      <c r="A164" s="218" t="s">
        <v>1495</v>
      </c>
      <c r="B164" s="213" t="str">
        <f>IFERROR(VLOOKUP(A164,'Tổng,SUMMARY'!C:D,2,0),)</f>
        <v>KS-880372</v>
      </c>
      <c r="C164" s="343">
        <v>46307</v>
      </c>
      <c r="D164" s="214"/>
      <c r="E164" s="351">
        <v>2400</v>
      </c>
      <c r="F164" s="219" t="s">
        <v>1102</v>
      </c>
    </row>
    <row r="165" spans="1:6" ht="21.75" customHeight="1">
      <c r="A165" s="212"/>
      <c r="B165" s="213">
        <f>IFERROR(VLOOKUP(A165,'Tổng,SUMMARY'!C:D,2,0),)</f>
        <v>0</v>
      </c>
      <c r="C165" s="343"/>
      <c r="D165" s="214"/>
      <c r="E165" s="351"/>
      <c r="F165" s="219"/>
    </row>
    <row r="166" spans="1:6" ht="21.75" customHeight="1">
      <c r="A166" s="218"/>
      <c r="B166" s="213">
        <f>IFERROR(VLOOKUP(A166,'Tổng,SUMMARY'!C:D,2,0),)</f>
        <v>0</v>
      </c>
      <c r="C166" s="343"/>
      <c r="D166" s="214"/>
      <c r="E166" s="351"/>
      <c r="F166" s="219"/>
    </row>
    <row r="167" spans="1:6" ht="21.75" customHeight="1">
      <c r="A167" s="220"/>
      <c r="B167" s="213">
        <f>IFERROR(VLOOKUP(A167,'Tổng,SUMMARY'!C:D,2,0),)</f>
        <v>0</v>
      </c>
      <c r="C167" s="343"/>
      <c r="D167" s="214"/>
      <c r="E167" s="351"/>
      <c r="F167" s="219"/>
    </row>
    <row r="168" spans="1:6" ht="21.75" customHeight="1">
      <c r="A168" s="218"/>
      <c r="B168" s="213">
        <f>IFERROR(VLOOKUP(A168,'Tổng,SUMMARY'!C:D,2,0),)</f>
        <v>0</v>
      </c>
      <c r="C168" s="343"/>
      <c r="D168" s="214"/>
      <c r="E168" s="351"/>
      <c r="F168" s="219"/>
    </row>
    <row r="169" spans="1:6" ht="21.75" customHeight="1">
      <c r="A169" s="220"/>
      <c r="B169" s="213">
        <f>IFERROR(VLOOKUP(A169,'Tổng,SUMMARY'!C:D,2,0),)</f>
        <v>0</v>
      </c>
      <c r="C169" s="343"/>
      <c r="D169" s="214"/>
      <c r="E169" s="351"/>
      <c r="F169" s="219"/>
    </row>
    <row r="170" spans="1:6" ht="21.75" customHeight="1">
      <c r="A170" s="220"/>
      <c r="B170" s="213">
        <f>IFERROR(VLOOKUP(A170,'Tổng,SUMMARY'!C:D,2,0),)</f>
        <v>0</v>
      </c>
      <c r="C170" s="343"/>
      <c r="D170" s="214"/>
      <c r="E170" s="351"/>
      <c r="F170" s="219"/>
    </row>
    <row r="171" spans="1:6" ht="21.75" customHeight="1">
      <c r="A171" s="212"/>
      <c r="B171" s="213">
        <f>IFERROR(VLOOKUP(A171,'Tổng,SUMMARY'!C:D,2,0),)</f>
        <v>0</v>
      </c>
      <c r="C171" s="343"/>
      <c r="D171" s="214"/>
      <c r="E171" s="351"/>
      <c r="F171" s="221"/>
    </row>
    <row r="172" spans="1:6" ht="21.75" customHeight="1">
      <c r="A172" s="220"/>
      <c r="B172" s="213">
        <f>IFERROR(VLOOKUP(A172,'Tổng,SUMMARY'!C:D,2,0),)</f>
        <v>0</v>
      </c>
      <c r="C172" s="344"/>
      <c r="D172" s="214"/>
      <c r="E172" s="351"/>
      <c r="F172" s="221"/>
    </row>
    <row r="173" spans="1:6" ht="21.75" customHeight="1">
      <c r="A173" s="212"/>
      <c r="B173" s="213">
        <f>IFERROR(VLOOKUP(A173,'Tổng,SUMMARY'!C:D,2,0),)</f>
        <v>0</v>
      </c>
      <c r="C173" s="344"/>
      <c r="D173" s="214"/>
      <c r="E173" s="351"/>
      <c r="F173" s="221"/>
    </row>
    <row r="174" spans="1:6" ht="21.75" customHeight="1">
      <c r="A174" s="220"/>
      <c r="B174" s="213">
        <f>IFERROR(VLOOKUP(A174,'Tổng,SUMMARY'!C:D,2,0),)</f>
        <v>0</v>
      </c>
      <c r="C174" s="344"/>
      <c r="D174" s="214"/>
      <c r="E174" s="351"/>
      <c r="F174" s="219"/>
    </row>
    <row r="175" spans="1:6" ht="21.75" customHeight="1">
      <c r="A175" s="220"/>
      <c r="B175" s="213">
        <f>IFERROR(VLOOKUP(A175,'Tổng,SUMMARY'!C:D,2,0),)</f>
        <v>0</v>
      </c>
      <c r="C175" s="344"/>
      <c r="D175" s="214"/>
      <c r="E175" s="351"/>
      <c r="F175" s="219"/>
    </row>
    <row r="176" spans="1:6" ht="21.75" customHeight="1">
      <c r="A176" s="220"/>
      <c r="B176" s="213">
        <f>IFERROR(VLOOKUP(A176,'Tổng,SUMMARY'!C:D,2,0),)</f>
        <v>0</v>
      </c>
      <c r="C176" s="344"/>
      <c r="D176" s="214"/>
      <c r="E176" s="351"/>
      <c r="F176" s="219"/>
    </row>
    <row r="177" spans="1:6" ht="21.75" customHeight="1">
      <c r="A177" s="220"/>
      <c r="B177" s="213">
        <f>IFERROR(VLOOKUP(A177,'Tổng,SUMMARY'!C:D,2,0),)</f>
        <v>0</v>
      </c>
      <c r="C177" s="344"/>
      <c r="D177" s="214"/>
      <c r="E177" s="351"/>
      <c r="F177" s="219"/>
    </row>
    <row r="178" spans="1:6" ht="21.75" customHeight="1">
      <c r="A178" s="220"/>
      <c r="B178" s="213">
        <f>IFERROR(VLOOKUP(A178,'Tổng,SUMMARY'!C:D,2,0),)</f>
        <v>0</v>
      </c>
      <c r="C178" s="344"/>
      <c r="D178" s="214"/>
      <c r="E178" s="351"/>
      <c r="F178" s="219"/>
    </row>
    <row r="179" spans="1:6" ht="21.75" customHeight="1">
      <c r="A179" s="220"/>
      <c r="B179" s="213">
        <f>IFERROR(VLOOKUP(A179,'Tổng,SUMMARY'!C:D,2,0),)</f>
        <v>0</v>
      </c>
      <c r="C179" s="344"/>
      <c r="D179" s="214"/>
      <c r="E179" s="351"/>
      <c r="F179" s="219"/>
    </row>
    <row r="180" spans="1:6" ht="21.75" customHeight="1">
      <c r="A180" s="218"/>
      <c r="B180" s="213">
        <f>IFERROR(VLOOKUP(A180,'Tổng,SUMMARY'!C:D,2,0),)</f>
        <v>0</v>
      </c>
      <c r="C180" s="344"/>
      <c r="D180" s="214"/>
      <c r="E180" s="351"/>
      <c r="F180" s="219"/>
    </row>
    <row r="181" spans="1:6" ht="21.75" customHeight="1">
      <c r="A181" s="212"/>
      <c r="B181" s="213">
        <f>IFERROR(VLOOKUP(A181,'Tổng,SUMMARY'!C:D,2,0),)</f>
        <v>0</v>
      </c>
      <c r="C181" s="344"/>
      <c r="D181" s="214"/>
      <c r="E181" s="351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351"/>
      <c r="F182" s="216"/>
    </row>
    <row r="183" spans="1:6" ht="21.75" customHeight="1">
      <c r="A183" s="218"/>
      <c r="B183" s="213">
        <f>IFERROR(VLOOKUP(A183,'Tổng,SUMMARY'!C:D,2,0),)</f>
        <v>0</v>
      </c>
      <c r="C183" s="344"/>
      <c r="D183" s="223"/>
      <c r="E183" s="351"/>
      <c r="F183" s="216"/>
    </row>
    <row r="184" spans="1:6" ht="21.75" customHeight="1">
      <c r="A184" s="212"/>
      <c r="B184" s="213">
        <f>IFERROR(VLOOKUP(A184,'Tổng,SUMMARY'!C:D,2,0),)</f>
        <v>0</v>
      </c>
      <c r="C184" s="344"/>
      <c r="D184" s="223"/>
      <c r="E184" s="351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23"/>
      <c r="E185" s="351"/>
      <c r="F185" s="216"/>
    </row>
    <row r="186" spans="1:6" ht="21.75" customHeight="1">
      <c r="A186" s="220"/>
      <c r="B186" s="213">
        <f>IFERROR(VLOOKUP(A186,'Tổng,SUMMARY'!C:D,2,0),)</f>
        <v>0</v>
      </c>
      <c r="C186" s="344"/>
      <c r="D186" s="223"/>
      <c r="E186" s="351"/>
      <c r="F186" s="216"/>
    </row>
    <row r="187" spans="1:6" ht="21.75" customHeight="1">
      <c r="A187" s="218"/>
      <c r="B187" s="213">
        <f>IFERROR(VLOOKUP(A187,'Tổng,SUMMARY'!C:D,2,0),)</f>
        <v>0</v>
      </c>
      <c r="C187" s="344"/>
      <c r="D187" s="214"/>
      <c r="E187" s="351"/>
      <c r="F187" s="219"/>
    </row>
    <row r="188" spans="1:6" ht="21.75" customHeight="1">
      <c r="A188" s="218"/>
      <c r="B188" s="213">
        <f>IFERROR(VLOOKUP(A188,'Tổng,SUMMARY'!C:D,2,0),)</f>
        <v>0</v>
      </c>
      <c r="C188" s="344"/>
      <c r="D188" s="214"/>
      <c r="E188" s="351"/>
      <c r="F188" s="219"/>
    </row>
    <row r="189" spans="1:6" ht="21.75" customHeight="1">
      <c r="A189" s="218"/>
      <c r="B189" s="213">
        <f>IFERROR(VLOOKUP(A189,'Tổng,SUMMARY'!C:D,2,0),)</f>
        <v>0</v>
      </c>
      <c r="C189" s="344"/>
      <c r="D189" s="214"/>
      <c r="E189" s="351"/>
      <c r="F189" s="219"/>
    </row>
    <row r="190" spans="1:6" ht="21.75" customHeight="1">
      <c r="A190" s="212"/>
      <c r="B190" s="213">
        <f>IFERROR(VLOOKUP(A190,'Tổng,SUMMARY'!C:D,2,0),)</f>
        <v>0</v>
      </c>
      <c r="C190" s="344"/>
      <c r="D190" s="214"/>
      <c r="E190" s="351"/>
      <c r="F190" s="219"/>
    </row>
    <row r="191" spans="1:6" ht="21.75" customHeight="1">
      <c r="A191" s="220"/>
      <c r="B191" s="213">
        <f>IFERROR(VLOOKUP(A191,'Tổng,SUMMARY'!C:D,2,0),)</f>
        <v>0</v>
      </c>
      <c r="C191" s="344"/>
      <c r="D191" s="214"/>
      <c r="E191" s="351"/>
      <c r="F191" s="219"/>
    </row>
    <row r="192" spans="1:6" ht="21.75" customHeight="1">
      <c r="A192" s="212"/>
      <c r="B192" s="213">
        <f>IFERROR(VLOOKUP(A192,'Tổng,SUMMARY'!C:D,2,0),)</f>
        <v>0</v>
      </c>
      <c r="C192" s="344"/>
      <c r="D192" s="214"/>
      <c r="E192" s="351"/>
      <c r="F192" s="219"/>
    </row>
    <row r="193" spans="1:6" ht="21.75" customHeight="1">
      <c r="A193" s="222"/>
      <c r="B193" s="213">
        <f>IFERROR(VLOOKUP(A193,'Tổng,SUMMARY'!C:D,2,0),)</f>
        <v>0</v>
      </c>
      <c r="C193" s="344"/>
      <c r="D193" s="214"/>
      <c r="E193" s="351"/>
      <c r="F193" s="216"/>
    </row>
    <row r="194" spans="1:6" ht="21.75" customHeight="1">
      <c r="A194" s="220"/>
      <c r="B194" s="213">
        <f>IFERROR(VLOOKUP(A194,'Tổng,SUMMARY'!C:D,2,0),)</f>
        <v>0</v>
      </c>
      <c r="C194" s="344"/>
      <c r="D194" s="214"/>
      <c r="E194" s="351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351"/>
      <c r="F195" s="216"/>
    </row>
    <row r="196" spans="1:6" ht="21.75" customHeight="1">
      <c r="A196" s="212"/>
      <c r="B196" s="213">
        <f>IFERROR(VLOOKUP(A196,'Tổng,SUMMARY'!C:D,2,0),)</f>
        <v>0</v>
      </c>
      <c r="C196" s="344"/>
      <c r="D196" s="214"/>
      <c r="E196" s="351"/>
      <c r="F196" s="216"/>
    </row>
    <row r="197" spans="1:6" ht="21.75" customHeight="1">
      <c r="A197" s="212"/>
      <c r="B197" s="213">
        <f>IFERROR(VLOOKUP(A197,'Tổng,SUMMARY'!C:D,2,0),)</f>
        <v>0</v>
      </c>
      <c r="C197" s="344"/>
      <c r="D197" s="214"/>
      <c r="E197" s="351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351"/>
      <c r="F198" s="216"/>
    </row>
    <row r="199" spans="1:6" ht="21.75" customHeight="1">
      <c r="A199" s="218"/>
      <c r="B199" s="213">
        <f>IFERROR(VLOOKUP(A199,'Tổng,SUMMARY'!C:D,2,0),)</f>
        <v>0</v>
      </c>
      <c r="C199" s="344"/>
      <c r="D199" s="214"/>
      <c r="E199" s="351"/>
      <c r="F199" s="219"/>
    </row>
    <row r="200" spans="1:6" ht="21.75" customHeight="1">
      <c r="A200" s="218"/>
      <c r="B200" s="213">
        <f>IFERROR(VLOOKUP(A200,'Tổng,SUMMARY'!C:D,2,0),)</f>
        <v>0</v>
      </c>
      <c r="C200" s="344"/>
      <c r="D200" s="214"/>
      <c r="E200" s="351"/>
      <c r="F200" s="219"/>
    </row>
    <row r="201" spans="1:6" ht="21.75" customHeight="1">
      <c r="A201" s="218"/>
      <c r="B201" s="213">
        <f>IFERROR(VLOOKUP(A201,'Tổng,SUMMARY'!C:D,2,0),)</f>
        <v>0</v>
      </c>
      <c r="C201" s="344"/>
      <c r="D201" s="223"/>
      <c r="E201" s="351"/>
      <c r="F201" s="219"/>
    </row>
    <row r="202" spans="1:6" ht="21.75" customHeight="1">
      <c r="A202" s="212"/>
      <c r="B202" s="213">
        <f>IFERROR(VLOOKUP(A202,'Tổng,SUMMARY'!C:D,2,0),)</f>
        <v>0</v>
      </c>
      <c r="C202" s="344"/>
      <c r="D202" s="223"/>
      <c r="E202" s="351"/>
      <c r="F202" s="219"/>
    </row>
    <row r="203" spans="1:6" ht="21.75" customHeight="1">
      <c r="A203" s="220"/>
      <c r="B203" s="213">
        <f>IFERROR(VLOOKUP(A203,'Tổng,SUMMARY'!C:D,2,0),)</f>
        <v>0</v>
      </c>
      <c r="C203" s="344"/>
      <c r="D203" s="214"/>
      <c r="E203" s="351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351"/>
      <c r="F204" s="216"/>
    </row>
    <row r="205" spans="1:6" ht="21.75" customHeight="1">
      <c r="A205" s="222"/>
      <c r="B205" s="213">
        <f>IFERROR(VLOOKUP(A205,'Tổng,SUMMARY'!C:D,2,0),)</f>
        <v>0</v>
      </c>
      <c r="C205" s="344"/>
      <c r="D205" s="214"/>
      <c r="E205" s="351"/>
      <c r="F205" s="216"/>
    </row>
    <row r="206" spans="1:6" ht="21.75" customHeight="1">
      <c r="A206" s="220"/>
      <c r="B206" s="213">
        <f>IFERROR(VLOOKUP(A206,'Tổng,SUMMARY'!C:D,2,0),)</f>
        <v>0</v>
      </c>
      <c r="C206" s="344"/>
      <c r="D206" s="214"/>
      <c r="E206" s="351"/>
      <c r="F206" s="216"/>
    </row>
    <row r="207" spans="1:6" ht="21.75" customHeight="1">
      <c r="A207" s="218"/>
      <c r="B207" s="213">
        <f>IFERROR(VLOOKUP(A207,'Tổng,SUMMARY'!C:D,2,0),)</f>
        <v>0</v>
      </c>
      <c r="C207" s="344"/>
      <c r="D207" s="214"/>
      <c r="E207" s="351"/>
      <c r="F207" s="216"/>
    </row>
    <row r="208" spans="1:6" ht="21.75" customHeight="1">
      <c r="A208" s="222"/>
      <c r="B208" s="213">
        <f>IFERROR(VLOOKUP(A208,'Tổng,SUMMARY'!C:D,2,0),)</f>
        <v>0</v>
      </c>
      <c r="C208" s="344"/>
      <c r="D208" s="214"/>
      <c r="E208" s="351"/>
      <c r="F208" s="216"/>
    </row>
    <row r="209" spans="1:6" ht="21.75" customHeight="1">
      <c r="A209" s="222"/>
      <c r="B209" s="213">
        <f>IFERROR(VLOOKUP(A209,'Tổng,SUMMARY'!C:D,2,0),)</f>
        <v>0</v>
      </c>
      <c r="C209" s="344"/>
      <c r="D209" s="214"/>
      <c r="E209" s="351"/>
      <c r="F209" s="216"/>
    </row>
    <row r="210" spans="1:6" ht="21.75" customHeight="1">
      <c r="A210" s="212"/>
      <c r="B210" s="213">
        <f>IFERROR(VLOOKUP(A210,'Tổng,SUMMARY'!C:D,2,0),)</f>
        <v>0</v>
      </c>
      <c r="C210" s="344"/>
      <c r="D210" s="214"/>
      <c r="E210" s="351"/>
      <c r="F210" s="216"/>
    </row>
    <row r="211" spans="1:6" ht="21.75" customHeight="1">
      <c r="A211" s="220"/>
      <c r="B211" s="213">
        <f>IFERROR(VLOOKUP(A211,'Tổng,SUMMARY'!C:D,2,0),)</f>
        <v>0</v>
      </c>
      <c r="C211" s="344"/>
      <c r="D211" s="214"/>
      <c r="E211" s="351"/>
      <c r="F211" s="216"/>
    </row>
    <row r="212" spans="1:6" ht="21.75" customHeight="1">
      <c r="A212" s="218"/>
      <c r="B212" s="213">
        <f>IFERROR(VLOOKUP(A212,'Tổng,SUMMARY'!C:D,2,0),)</f>
        <v>0</v>
      </c>
      <c r="C212" s="344"/>
      <c r="D212" s="214"/>
      <c r="E212" s="351"/>
      <c r="F212" s="216"/>
    </row>
    <row r="213" spans="1:6" ht="21.75" customHeight="1">
      <c r="A213" s="222"/>
      <c r="B213" s="213">
        <f>IFERROR(VLOOKUP(A213,'Tổng,SUMMARY'!C:D,2,0),)</f>
        <v>0</v>
      </c>
      <c r="C213" s="344"/>
      <c r="D213" s="214"/>
      <c r="E213" s="351"/>
      <c r="F213" s="216"/>
    </row>
    <row r="214" spans="1:6" ht="21.75" customHeight="1">
      <c r="A214" s="218"/>
      <c r="B214" s="213">
        <f>IFERROR(VLOOKUP(A214,'Tổng,SUMMARY'!C:D,2,0),)</f>
        <v>0</v>
      </c>
      <c r="C214" s="344"/>
      <c r="D214" s="214"/>
      <c r="E214" s="351"/>
      <c r="F214" s="216"/>
    </row>
    <row r="215" spans="1:6" ht="21.75" customHeight="1">
      <c r="A215" s="212"/>
      <c r="B215" s="213">
        <f>IFERROR(VLOOKUP(A215,'Tổng,SUMMARY'!C:D,2,0),)</f>
        <v>0</v>
      </c>
      <c r="C215" s="344"/>
      <c r="D215" s="214"/>
      <c r="E215" s="351"/>
      <c r="F215" s="216"/>
    </row>
    <row r="216" spans="1:6" ht="21.75" customHeight="1">
      <c r="A216" s="218"/>
      <c r="B216" s="213">
        <f>IFERROR(VLOOKUP(A216,'Tổng,SUMMARY'!C:D,2,0),)</f>
        <v>0</v>
      </c>
      <c r="C216" s="344"/>
      <c r="D216" s="214"/>
      <c r="E216" s="351"/>
      <c r="F216" s="219"/>
    </row>
    <row r="217" spans="1:6" ht="21.75" customHeight="1">
      <c r="A217" s="218"/>
      <c r="B217" s="213">
        <f>IFERROR(VLOOKUP(A217,'Tổng,SUMMARY'!C:D,2,0),)</f>
        <v>0</v>
      </c>
      <c r="C217" s="344"/>
      <c r="D217" s="214"/>
      <c r="E217" s="351"/>
      <c r="F217" s="219"/>
    </row>
    <row r="218" spans="1:6" ht="21.75" customHeight="1">
      <c r="A218" s="218"/>
      <c r="B218" s="213">
        <f>IFERROR(VLOOKUP(A218,'Tổng,SUMMARY'!C:D,2,0),)</f>
        <v>0</v>
      </c>
      <c r="C218" s="344"/>
      <c r="D218" s="214"/>
      <c r="E218" s="351"/>
      <c r="F218" s="219"/>
    </row>
    <row r="219" spans="1:6" ht="21.75" customHeight="1">
      <c r="A219" s="218"/>
      <c r="B219" s="213">
        <f>IFERROR(VLOOKUP(A219,'Tổng,SUMMARY'!C:D,2,0),)</f>
        <v>0</v>
      </c>
      <c r="C219" s="344"/>
      <c r="D219" s="214"/>
      <c r="E219" s="351"/>
      <c r="F219" s="219"/>
    </row>
    <row r="220" spans="1:6" ht="21.75" customHeight="1">
      <c r="A220" s="222"/>
      <c r="B220" s="213">
        <f>IFERROR(VLOOKUP(A220,'Tổng,SUMMARY'!C:D,2,0),)</f>
        <v>0</v>
      </c>
      <c r="C220" s="344"/>
      <c r="D220" s="214"/>
      <c r="E220" s="351"/>
      <c r="F220" s="219"/>
    </row>
    <row r="221" spans="1:6" ht="21.75" customHeight="1">
      <c r="A221" s="220"/>
      <c r="B221" s="213">
        <f>IFERROR(VLOOKUP(A221,'Tổng,SUMMARY'!C:D,2,0),)</f>
        <v>0</v>
      </c>
      <c r="C221" s="344"/>
      <c r="D221" s="214"/>
      <c r="E221" s="351"/>
      <c r="F221" s="219"/>
    </row>
    <row r="222" spans="1:6" ht="21.75" customHeight="1">
      <c r="A222" s="222"/>
      <c r="B222" s="213">
        <f>IFERROR(VLOOKUP(A222,'Tổng,SUMMARY'!C:D,2,0),)</f>
        <v>0</v>
      </c>
      <c r="C222" s="344"/>
      <c r="D222" s="214"/>
      <c r="E222" s="351"/>
      <c r="F222" s="219"/>
    </row>
    <row r="223" spans="1:6" ht="21.75" customHeight="1">
      <c r="A223" s="212"/>
      <c r="B223" s="213">
        <f>IFERROR(VLOOKUP(A223,'Tổng,SUMMARY'!C:D,2,0),)</f>
        <v>0</v>
      </c>
      <c r="C223" s="344"/>
      <c r="D223" s="214"/>
      <c r="E223" s="351"/>
      <c r="F223" s="216"/>
    </row>
    <row r="224" spans="1:6" ht="21.75" customHeight="1">
      <c r="A224" s="218"/>
      <c r="B224" s="213">
        <f>IFERROR(VLOOKUP(A224,'Tổng,SUMMARY'!C:D,2,0),)</f>
        <v>0</v>
      </c>
      <c r="C224" s="344"/>
      <c r="D224" s="214"/>
      <c r="E224" s="351"/>
      <c r="F224" s="216"/>
    </row>
    <row r="225" spans="1:6" ht="21.75" customHeight="1">
      <c r="A225" s="222"/>
      <c r="B225" s="213">
        <f>IFERROR(VLOOKUP(A225,'Tổng,SUMMARY'!C:D,2,0),)</f>
        <v>0</v>
      </c>
      <c r="C225" s="344"/>
      <c r="D225" s="214"/>
      <c r="E225" s="351"/>
      <c r="F225" s="216"/>
    </row>
    <row r="226" spans="1:6" ht="21.75" customHeight="1">
      <c r="A226" s="222"/>
      <c r="B226" s="213">
        <f>IFERROR(VLOOKUP(A226,'Tổng,SUMMARY'!C:D,2,0),)</f>
        <v>0</v>
      </c>
      <c r="C226" s="344"/>
      <c r="D226" s="214"/>
      <c r="E226" s="351"/>
      <c r="F226" s="216"/>
    </row>
    <row r="227" spans="1:6" ht="21.75" customHeight="1">
      <c r="A227" s="222"/>
      <c r="B227" s="213">
        <f>IFERROR(VLOOKUP(A227,'Tổng,SUMMARY'!C:D,2,0),)</f>
        <v>0</v>
      </c>
      <c r="C227" s="344"/>
      <c r="D227" s="214"/>
      <c r="E227" s="351"/>
      <c r="F227" s="216"/>
    </row>
    <row r="228" spans="1:6" ht="21.75" customHeight="1">
      <c r="A228" s="222"/>
      <c r="B228" s="213">
        <f>IFERROR(VLOOKUP(A228,'Tổng,SUMMARY'!C:D,2,0),)</f>
        <v>0</v>
      </c>
      <c r="C228" s="344"/>
      <c r="D228" s="214"/>
      <c r="E228" s="351"/>
      <c r="F228" s="216"/>
    </row>
    <row r="229" spans="1:6" ht="21.75" customHeight="1">
      <c r="A229" s="222"/>
      <c r="B229" s="213">
        <f>IFERROR(VLOOKUP(A229,'Tổng,SUMMARY'!C:D,2,0),)</f>
        <v>0</v>
      </c>
      <c r="C229" s="344"/>
      <c r="D229" s="214"/>
      <c r="E229" s="351"/>
      <c r="F229" s="216"/>
    </row>
    <row r="230" spans="1:6" ht="21.75" customHeight="1">
      <c r="A230" s="220"/>
      <c r="B230" s="213">
        <f>IFERROR(VLOOKUP(A230,'Tổng,SUMMARY'!C:D,2,0),)</f>
        <v>0</v>
      </c>
      <c r="C230" s="344"/>
      <c r="D230" s="214"/>
      <c r="E230" s="351"/>
      <c r="F230" s="216"/>
    </row>
    <row r="231" spans="1:6" ht="21.75" customHeight="1">
      <c r="A231" s="218"/>
      <c r="B231" s="213">
        <f>IFERROR(VLOOKUP(A231,'Tổng,SUMMARY'!C:D,2,0),)</f>
        <v>0</v>
      </c>
      <c r="C231" s="344"/>
      <c r="D231" s="214"/>
      <c r="E231" s="351"/>
      <c r="F231" s="219"/>
    </row>
    <row r="232" spans="1:6" ht="21.75" customHeight="1">
      <c r="A232" s="218"/>
      <c r="B232" s="213">
        <f>IFERROR(VLOOKUP(A232,'Tổng,SUMMARY'!C:D,2,0),)</f>
        <v>0</v>
      </c>
      <c r="C232" s="344"/>
      <c r="D232" s="214"/>
      <c r="E232" s="351"/>
      <c r="F232" s="219"/>
    </row>
    <row r="233" spans="1:6" ht="21.75" customHeight="1">
      <c r="A233" s="218"/>
      <c r="B233" s="213">
        <f>IFERROR(VLOOKUP(A233,'Tổng,SUMMARY'!C:D,2,0),)</f>
        <v>0</v>
      </c>
      <c r="C233" s="344"/>
      <c r="D233" s="214"/>
      <c r="E233" s="351"/>
      <c r="F233" s="219"/>
    </row>
    <row r="234" spans="1:6" ht="21.75" customHeight="1">
      <c r="A234" s="218"/>
      <c r="B234" s="213">
        <f>IFERROR(VLOOKUP(A234,'Tổng,SUMMARY'!C:D,2,0),)</f>
        <v>0</v>
      </c>
      <c r="C234" s="344"/>
      <c r="D234" s="214"/>
      <c r="E234" s="351"/>
      <c r="F234" s="219"/>
    </row>
    <row r="235" spans="1:6" ht="21.75" customHeight="1">
      <c r="A235" s="212"/>
      <c r="B235" s="213">
        <f>IFERROR(VLOOKUP(A235,'Tổng,SUMMARY'!C:D,2,0),)</f>
        <v>0</v>
      </c>
      <c r="C235" s="344"/>
      <c r="D235" s="214"/>
      <c r="E235" s="351"/>
      <c r="F235" s="219"/>
    </row>
    <row r="236" spans="1:6" ht="21.75" customHeight="1">
      <c r="A236" s="222"/>
      <c r="B236" s="213">
        <f>IFERROR(VLOOKUP(A236,'Tổng,SUMMARY'!C:D,2,0),)</f>
        <v>0</v>
      </c>
      <c r="C236" s="344"/>
      <c r="D236" s="214"/>
      <c r="E236" s="351"/>
      <c r="F236" s="219"/>
    </row>
    <row r="237" spans="1:6" ht="21.75" customHeight="1">
      <c r="A237" s="222"/>
      <c r="B237" s="213">
        <f>IFERROR(VLOOKUP(A237,'Tổng,SUMMARY'!C:D,2,0),)</f>
        <v>0</v>
      </c>
      <c r="C237" s="344"/>
      <c r="D237" s="214"/>
      <c r="E237" s="351"/>
      <c r="F237" s="219"/>
    </row>
    <row r="238" spans="1:6" ht="21.75" customHeight="1">
      <c r="A238" s="222"/>
      <c r="B238" s="213">
        <f>IFERROR(VLOOKUP(A238,'Tổng,SUMMARY'!C:D,2,0),)</f>
        <v>0</v>
      </c>
      <c r="C238" s="344"/>
      <c r="D238" s="214"/>
      <c r="E238" s="351"/>
      <c r="F238" s="216"/>
    </row>
    <row r="239" spans="1:6" ht="21.75" customHeight="1">
      <c r="A239" s="212"/>
      <c r="B239" s="213">
        <f>IFERROR(VLOOKUP(A239,'Tổng,SUMMARY'!C:D,2,0),)</f>
        <v>0</v>
      </c>
      <c r="C239" s="344"/>
      <c r="D239" s="214"/>
      <c r="E239" s="351"/>
      <c r="F239" s="216"/>
    </row>
    <row r="240" spans="1:6" ht="21.75" customHeight="1">
      <c r="A240" s="222"/>
      <c r="B240" s="213">
        <f>IFERROR(VLOOKUP(A240,'Tổng,SUMMARY'!C:D,2,0),)</f>
        <v>0</v>
      </c>
      <c r="C240" s="344"/>
      <c r="D240" s="214"/>
      <c r="E240" s="351"/>
      <c r="F240" s="216"/>
    </row>
    <row r="241" spans="1:6" ht="21.75" customHeight="1">
      <c r="A241" s="222"/>
      <c r="B241" s="213">
        <f>IFERROR(VLOOKUP(A241,'Tổng,SUMMARY'!C:D,2,0),)</f>
        <v>0</v>
      </c>
      <c r="C241" s="344"/>
      <c r="D241" s="214"/>
      <c r="E241" s="351"/>
      <c r="F241" s="216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6"/>
    </row>
    <row r="243" spans="1:6" ht="21.75" customHeight="1">
      <c r="A243" s="222"/>
      <c r="B243" s="213">
        <f>IFERROR(VLOOKUP(A243,'Tổng,SUMMARY'!C:D,2,0),)</f>
        <v>0</v>
      </c>
      <c r="C243" s="344"/>
      <c r="D243" s="214"/>
      <c r="E243" s="351"/>
      <c r="F243" s="219"/>
    </row>
    <row r="244" spans="1:6" ht="21.75" customHeight="1">
      <c r="A244" s="212"/>
      <c r="B244" s="213">
        <f>IFERROR(VLOOKUP(A244,'Tổng,SUMMARY'!C:D,2,0),)</f>
        <v>0</v>
      </c>
      <c r="C244" s="344"/>
      <c r="D244" s="214"/>
      <c r="E244" s="351"/>
      <c r="F244" s="219"/>
    </row>
    <row r="245" spans="1:6" ht="21.75" customHeight="1">
      <c r="A245" s="218"/>
      <c r="B245" s="213">
        <f>IFERROR(VLOOKUP(A245,'Tổng,SUMMARY'!C:D,2,0),)</f>
        <v>0</v>
      </c>
      <c r="C245" s="344"/>
      <c r="D245" s="214"/>
      <c r="E245" s="351"/>
      <c r="F245" s="219"/>
    </row>
    <row r="246" spans="1:6" ht="21.75" customHeight="1">
      <c r="A246" s="220"/>
      <c r="B246" s="213">
        <f>IFERROR(VLOOKUP(A246,'Tổng,SUMMARY'!C:D,2,0),)</f>
        <v>0</v>
      </c>
      <c r="C246" s="344"/>
      <c r="D246" s="214"/>
      <c r="E246" s="351"/>
      <c r="F246" s="219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18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6"/>
    </row>
    <row r="250" spans="1:6" ht="21.75" customHeight="1">
      <c r="A250" s="222"/>
      <c r="B250" s="213">
        <f>IFERROR(VLOOKUP(A250,'Tổng,SUMMARY'!C:D,2,0),)</f>
        <v>0</v>
      </c>
      <c r="C250" s="344"/>
      <c r="D250" s="214"/>
      <c r="E250" s="351"/>
      <c r="F250" s="216"/>
    </row>
    <row r="251" spans="1:6" ht="21.75" customHeight="1">
      <c r="A251" s="222"/>
      <c r="B251" s="213">
        <f>IFERROR(VLOOKUP(A251,'Tổng,SUMMARY'!C:D,2,0),)</f>
        <v>0</v>
      </c>
      <c r="C251" s="344"/>
      <c r="D251" s="214"/>
      <c r="E251" s="351"/>
      <c r="F251" s="216"/>
    </row>
    <row r="252" spans="1:6" ht="21.75" customHeight="1">
      <c r="A252" s="222"/>
      <c r="B252" s="213">
        <f>IFERROR(VLOOKUP(A252,'Tổng,SUMMARY'!C:D,2,0),)</f>
        <v>0</v>
      </c>
      <c r="C252" s="344"/>
      <c r="D252" s="214"/>
      <c r="E252" s="351"/>
      <c r="F252" s="216"/>
    </row>
    <row r="253" spans="1:6" ht="21.75" customHeight="1">
      <c r="A253" s="222"/>
      <c r="B253" s="213">
        <f>IFERROR(VLOOKUP(A253,'Tổng,SUMMARY'!C:D,2,0),)</f>
        <v>0</v>
      </c>
      <c r="C253" s="344"/>
      <c r="D253" s="214"/>
      <c r="E253" s="351"/>
      <c r="F253" s="216"/>
    </row>
    <row r="254" spans="1:6" ht="21.75" customHeight="1">
      <c r="A254" s="222"/>
      <c r="B254" s="213">
        <f>IFERROR(VLOOKUP(A254,'Tổng,SUMMARY'!C:D,2,0),)</f>
        <v>0</v>
      </c>
      <c r="C254" s="344"/>
      <c r="D254" s="214"/>
      <c r="E254" s="351"/>
      <c r="F254" s="216"/>
    </row>
    <row r="255" spans="1:6" ht="21.75" customHeight="1">
      <c r="A255" s="218"/>
      <c r="B255" s="213">
        <f>IFERROR(VLOOKUP(A255,'Tổng,SUMMARY'!C:D,2,0),)</f>
        <v>0</v>
      </c>
      <c r="C255" s="344"/>
      <c r="D255" s="214"/>
      <c r="E255" s="351"/>
      <c r="F255" s="219"/>
    </row>
    <row r="256" spans="1:6" ht="21.75" customHeight="1">
      <c r="A256" s="218"/>
      <c r="B256" s="213">
        <f>IFERROR(VLOOKUP(A256,'Tổng,SUMMARY'!C:D,2,0),)</f>
        <v>0</v>
      </c>
      <c r="C256" s="344"/>
      <c r="D256" s="214"/>
      <c r="E256" s="351"/>
      <c r="F256" s="219"/>
    </row>
    <row r="257" spans="1:6" ht="21.75" customHeight="1">
      <c r="A257" s="218"/>
      <c r="B257" s="213">
        <f>IFERROR(VLOOKUP(A257,'Tổng,SUMMARY'!C:D,2,0),)</f>
        <v>0</v>
      </c>
      <c r="C257" s="344"/>
      <c r="D257" s="214"/>
      <c r="E257" s="351"/>
      <c r="F257" s="219"/>
    </row>
    <row r="258" spans="1:6" ht="21.75" customHeight="1">
      <c r="A258" s="218"/>
      <c r="B258" s="213">
        <f>IFERROR(VLOOKUP(A258,'Tổng,SUMMARY'!C:D,2,0),)</f>
        <v>0</v>
      </c>
      <c r="C258" s="344"/>
      <c r="D258" s="214"/>
      <c r="E258" s="351"/>
      <c r="F258" s="219"/>
    </row>
    <row r="259" spans="1:6" ht="21.75" customHeight="1">
      <c r="A259" s="222"/>
      <c r="B259" s="213">
        <f>IFERROR(VLOOKUP(A259,'Tổng,SUMMARY'!C:D,2,0),)</f>
        <v>0</v>
      </c>
      <c r="C259" s="344"/>
      <c r="D259" s="214"/>
      <c r="E259" s="351"/>
      <c r="F259" s="219"/>
    </row>
    <row r="260" spans="1:6" ht="21.75" customHeight="1">
      <c r="A260" s="222"/>
      <c r="B260" s="213">
        <f>IFERROR(VLOOKUP(A260,'Tổng,SUMMARY'!C:D,2,0),)</f>
        <v>0</v>
      </c>
      <c r="C260" s="344"/>
      <c r="D260" s="214"/>
      <c r="E260" s="351"/>
      <c r="F260" s="219"/>
    </row>
    <row r="261" spans="1:6" ht="21.75" customHeight="1">
      <c r="A261" s="212"/>
      <c r="B261" s="213">
        <f>IFERROR(VLOOKUP(A261,'Tổng,SUMMARY'!C:D,2,0),)</f>
        <v>0</v>
      </c>
      <c r="C261" s="344"/>
      <c r="D261" s="214"/>
      <c r="E261" s="351"/>
      <c r="F261" s="219"/>
    </row>
    <row r="262" spans="1:6" ht="21.75" customHeight="1">
      <c r="A262" s="222"/>
      <c r="B262" s="213">
        <f>IFERROR(VLOOKUP(A262,'Tổng,SUMMARY'!C:D,2,0),)</f>
        <v>0</v>
      </c>
      <c r="C262" s="344"/>
      <c r="D262" s="214"/>
      <c r="E262" s="351"/>
      <c r="F262" s="216"/>
    </row>
    <row r="263" spans="1:6" ht="21.75" customHeight="1">
      <c r="A263" s="222"/>
      <c r="B263" s="213">
        <f>IFERROR(VLOOKUP(A263,'Tổng,SUMMARY'!C:D,2,0),)</f>
        <v>0</v>
      </c>
      <c r="C263" s="344"/>
      <c r="D263" s="214"/>
      <c r="E263" s="352"/>
      <c r="F263" s="216"/>
    </row>
    <row r="264" spans="1:6" ht="21.75" customHeight="1">
      <c r="A264" s="218"/>
      <c r="B264" s="213">
        <f>IFERROR(VLOOKUP(A264,'Tổng,SUMMARY'!C:D,2,0),)</f>
        <v>0</v>
      </c>
      <c r="C264" s="344"/>
      <c r="D264" s="214"/>
      <c r="E264" s="352"/>
      <c r="F264" s="216"/>
    </row>
    <row r="265" spans="1:6" ht="21.75" customHeight="1">
      <c r="A265" s="220"/>
      <c r="B265" s="213">
        <f>IFERROR(VLOOKUP(A265,'Tổng,SUMMARY'!C:D,2,0),)</f>
        <v>0</v>
      </c>
      <c r="C265" s="344"/>
      <c r="D265" s="214"/>
      <c r="E265" s="352"/>
      <c r="F265" s="216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2"/>
      <c r="F266" s="216"/>
    </row>
    <row r="267" spans="1:6" ht="21.75" customHeight="1">
      <c r="A267" s="222"/>
      <c r="B267" s="213">
        <f>IFERROR(VLOOKUP(A267,'Tổng,SUMMARY'!C:D,2,0),)</f>
        <v>0</v>
      </c>
      <c r="C267" s="344"/>
      <c r="D267" s="214"/>
      <c r="E267" s="352"/>
      <c r="F267" s="216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2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22"/>
      <c r="B270" s="213">
        <f>IFERROR(VLOOKUP(A270,'Tổng,SUMMARY'!C:D,2,0),)</f>
        <v>0</v>
      </c>
      <c r="C270" s="344"/>
      <c r="D270" s="214"/>
      <c r="E270" s="352"/>
      <c r="F270" s="216"/>
    </row>
    <row r="271" spans="1:6" ht="21.75" customHeight="1">
      <c r="A271" s="222"/>
      <c r="B271" s="213">
        <f>IFERROR(VLOOKUP(A271,'Tổng,SUMMARY'!C:D,2,0),)</f>
        <v>0</v>
      </c>
      <c r="C271" s="344"/>
      <c r="D271" s="214"/>
      <c r="E271" s="352"/>
      <c r="F271" s="216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6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6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6"/>
    </row>
    <row r="275" spans="1:6" ht="21.75" customHeight="1">
      <c r="A275" s="218"/>
      <c r="B275" s="213">
        <f>IFERROR(VLOOKUP(A275,'Tổng,SUMMARY'!C:D,2,0),)</f>
        <v>0</v>
      </c>
      <c r="C275" s="344"/>
      <c r="D275" s="214"/>
      <c r="E275" s="352"/>
      <c r="F275" s="219"/>
    </row>
    <row r="276" spans="1:6" ht="21.75" customHeight="1">
      <c r="A276" s="218"/>
      <c r="B276" s="213">
        <f>IFERROR(VLOOKUP(A276,'Tổng,SUMMARY'!C:D,2,0),)</f>
        <v>0</v>
      </c>
      <c r="C276" s="344"/>
      <c r="D276" s="214"/>
      <c r="E276" s="352"/>
      <c r="F276" s="219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9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9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9"/>
    </row>
    <row r="280" spans="1:6" ht="21.75" customHeight="1">
      <c r="A280" s="222"/>
      <c r="B280" s="213">
        <f>IFERROR(VLOOKUP(A280,'Tổng,SUMMARY'!C:D,2,0),)</f>
        <v>0</v>
      </c>
      <c r="C280" s="344"/>
      <c r="D280" s="214"/>
      <c r="E280" s="352"/>
      <c r="F280" s="216"/>
    </row>
    <row r="281" spans="1:6" ht="21.75" customHeight="1">
      <c r="A281" s="222"/>
      <c r="B281" s="213">
        <f>IFERROR(VLOOKUP(A281,'Tổng,SUMMARY'!C:D,2,0),)</f>
        <v>0</v>
      </c>
      <c r="C281" s="344"/>
      <c r="D281" s="214"/>
      <c r="E281" s="352"/>
      <c r="F281" s="216"/>
    </row>
    <row r="282" spans="1:6" ht="21.75" customHeight="1">
      <c r="A282" s="222"/>
      <c r="B282" s="213">
        <f>IFERROR(VLOOKUP(A282,'Tổng,SUMMARY'!C:D,2,0),)</f>
        <v>0</v>
      </c>
      <c r="C282" s="344"/>
      <c r="D282" s="214"/>
      <c r="E282" s="352"/>
      <c r="F282" s="216"/>
    </row>
    <row r="283" spans="1:6" ht="21.75" customHeight="1">
      <c r="A283" s="222"/>
      <c r="B283" s="213">
        <f>IFERROR(VLOOKUP(A283,'Tổng,SUMMARY'!C:D,2,0),)</f>
        <v>0</v>
      </c>
      <c r="C283" s="344"/>
      <c r="D283" s="214"/>
      <c r="E283" s="352"/>
      <c r="F283" s="216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2"/>
      <c r="F284" s="216"/>
    </row>
    <row r="285" spans="1:6" ht="21.75" customHeight="1">
      <c r="A285" s="218"/>
      <c r="B285" s="213">
        <f>IFERROR(VLOOKUP(A285,'Tổng,SUMMARY'!C:D,2,0),)</f>
        <v>0</v>
      </c>
      <c r="C285" s="344"/>
      <c r="D285" s="214"/>
      <c r="E285" s="351"/>
      <c r="F285" s="216"/>
    </row>
    <row r="286" spans="1:6" ht="21.75" customHeight="1">
      <c r="A286" s="218"/>
      <c r="B286" s="213">
        <f>IFERROR(VLOOKUP(A286,'Tổng,SUMMARY'!C:D,2,0),)</f>
        <v>0</v>
      </c>
      <c r="C286" s="344"/>
      <c r="D286" s="214"/>
      <c r="E286" s="351"/>
      <c r="F286" s="219"/>
    </row>
    <row r="287" spans="1:6" ht="21.75" customHeight="1">
      <c r="A287" s="218"/>
      <c r="B287" s="213">
        <f>IFERROR(VLOOKUP(A287,'Tổng,SUMMARY'!C:D,2,0),)</f>
        <v>0</v>
      </c>
      <c r="C287" s="344"/>
      <c r="D287" s="214"/>
      <c r="E287" s="351"/>
      <c r="F287" s="219"/>
    </row>
    <row r="288" spans="1:6" ht="21.75" customHeight="1">
      <c r="A288" s="218"/>
      <c r="B288" s="213">
        <f>IFERROR(VLOOKUP(A288,'Tổng,SUMMARY'!C:D,2,0),)</f>
        <v>0</v>
      </c>
      <c r="C288" s="344"/>
      <c r="D288" s="214"/>
      <c r="E288" s="351"/>
      <c r="F288" s="219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1"/>
      <c r="F289" s="219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1"/>
      <c r="F290" s="219"/>
    </row>
    <row r="291" spans="1:6" ht="21.75" customHeight="1">
      <c r="A291" s="218"/>
      <c r="B291" s="213">
        <f>IFERROR(VLOOKUP(A291,'Tổng,SUMMARY'!C:D,2,0),)</f>
        <v>0</v>
      </c>
      <c r="C291" s="344"/>
      <c r="D291" s="214"/>
      <c r="E291" s="351"/>
      <c r="F291" s="219"/>
    </row>
    <row r="292" spans="1:6" ht="21.75" customHeight="1">
      <c r="A292" s="222"/>
      <c r="B292" s="213">
        <f>IFERROR(VLOOKUP(A292,'Tổng,SUMMARY'!C:D,2,0),)</f>
        <v>0</v>
      </c>
      <c r="C292" s="344"/>
      <c r="D292" s="214"/>
      <c r="E292" s="351"/>
      <c r="F292" s="216"/>
    </row>
    <row r="293" spans="1:6" ht="21.75" customHeight="1">
      <c r="A293" s="222"/>
      <c r="B293" s="213">
        <f>IFERROR(VLOOKUP(A293,'Tổng,SUMMARY'!C:D,2,0),)</f>
        <v>0</v>
      </c>
      <c r="C293" s="344"/>
      <c r="D293" s="214"/>
      <c r="E293" s="351"/>
      <c r="F293" s="216"/>
    </row>
    <row r="294" spans="1:6" ht="21.75" customHeight="1">
      <c r="A294" s="222"/>
      <c r="B294" s="213">
        <f>IFERROR(VLOOKUP(A294,'Tổng,SUMMARY'!C:D,2,0),)</f>
        <v>0</v>
      </c>
      <c r="C294" s="344"/>
      <c r="D294" s="214"/>
      <c r="E294" s="351"/>
      <c r="F294" s="216"/>
    </row>
    <row r="295" spans="1:6" ht="21.75" customHeight="1">
      <c r="A295" s="222"/>
      <c r="B295" s="213">
        <f>IFERROR(VLOOKUP(A295,'Tổng,SUMMARY'!C:D,2,0),)</f>
        <v>0</v>
      </c>
      <c r="C295" s="344"/>
      <c r="D295" s="214"/>
      <c r="E295" s="351"/>
      <c r="F295" s="216"/>
    </row>
    <row r="296" spans="1:6" ht="21.75" customHeight="1">
      <c r="A296" s="212"/>
      <c r="B296" s="213">
        <f>IFERROR(VLOOKUP(A296,'Tổng,SUMMARY'!C:D,2,0),)</f>
        <v>0</v>
      </c>
      <c r="C296" s="344"/>
      <c r="D296" s="214"/>
      <c r="E296" s="351"/>
      <c r="F296" s="216"/>
    </row>
    <row r="297" spans="1:6" ht="21.75" customHeight="1">
      <c r="A297" s="222"/>
      <c r="B297" s="213">
        <f>IFERROR(VLOOKUP(A297,'Tổng,SUMMARY'!C:D,2,0),)</f>
        <v>0</v>
      </c>
      <c r="C297" s="344"/>
      <c r="D297" s="214"/>
      <c r="E297" s="351"/>
      <c r="F297" s="216"/>
    </row>
    <row r="298" spans="1:6" ht="21.75" customHeight="1">
      <c r="A298" s="222"/>
      <c r="B298" s="213">
        <f>IFERROR(VLOOKUP(A298,'Tổng,SUMMARY'!C:D,2,0),)</f>
        <v>0</v>
      </c>
      <c r="C298" s="344"/>
      <c r="D298" s="214"/>
      <c r="E298" s="351"/>
      <c r="F298" s="216"/>
    </row>
    <row r="299" spans="1:6" ht="21.75" customHeight="1">
      <c r="A299" s="222"/>
      <c r="B299" s="213">
        <f>IFERROR(VLOOKUP(A299,'Tổng,SUMMARY'!C:D,2,0),)</f>
        <v>0</v>
      </c>
      <c r="C299" s="344"/>
      <c r="D299" s="214"/>
      <c r="E299" s="351"/>
      <c r="F299" s="216"/>
    </row>
    <row r="300" spans="1:6" ht="21.75" customHeight="1">
      <c r="A300" s="218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18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18"/>
      <c r="B302" s="213">
        <f>IFERROR(VLOOKUP(A302,'Tổng,SUMMARY'!C:D,2,0),)</f>
        <v>0</v>
      </c>
      <c r="C302" s="344"/>
      <c r="D302" s="214"/>
      <c r="E302" s="351"/>
      <c r="F302" s="219"/>
    </row>
    <row r="303" spans="1:6" ht="21.75" customHeight="1">
      <c r="A303" s="218"/>
      <c r="B303" s="213">
        <f>IFERROR(VLOOKUP(A303,'Tổng,SUMMARY'!C:D,2,0),)</f>
        <v>0</v>
      </c>
      <c r="C303" s="344"/>
      <c r="D303" s="214"/>
      <c r="E303" s="351"/>
      <c r="F303" s="219"/>
    </row>
    <row r="304" spans="1:6" ht="21.75" customHeight="1">
      <c r="A304" s="218"/>
      <c r="B304" s="213">
        <f>IFERROR(VLOOKUP(A304,'Tổng,SUMMARY'!C:D,2,0),)</f>
        <v>0</v>
      </c>
      <c r="C304" s="344"/>
      <c r="D304" s="214"/>
      <c r="E304" s="351"/>
      <c r="F304" s="219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8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22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22"/>
      <c r="B308" s="213">
        <f>IFERROR(VLOOKUP(A308,'Tổng,SUMMARY'!C:D,2,0),)</f>
        <v>0</v>
      </c>
      <c r="C308" s="344"/>
      <c r="D308" s="214"/>
      <c r="E308" s="351"/>
      <c r="F308" s="216"/>
    </row>
    <row r="309" spans="1:6" ht="21.75" customHeight="1">
      <c r="A309" s="222"/>
      <c r="B309" s="213">
        <f>IFERROR(VLOOKUP(A309,'Tổng,SUMMARY'!C:D,2,0),)</f>
        <v>0</v>
      </c>
      <c r="C309" s="344"/>
      <c r="D309" s="214"/>
      <c r="E309" s="351"/>
      <c r="F309" s="216"/>
    </row>
    <row r="310" spans="1:6" ht="21.75" customHeight="1">
      <c r="A310" s="222"/>
      <c r="B310" s="213">
        <f>IFERROR(VLOOKUP(A310,'Tổng,SUMMARY'!C:D,2,0),)</f>
        <v>0</v>
      </c>
      <c r="C310" s="344"/>
      <c r="D310" s="214"/>
      <c r="E310" s="351"/>
      <c r="F310" s="216"/>
    </row>
    <row r="311" spans="1:6" ht="21.75" customHeight="1">
      <c r="A311" s="212"/>
      <c r="B311" s="213">
        <f>IFERROR(VLOOKUP(A311,'Tổng,SUMMARY'!C:D,2,0),)</f>
        <v>0</v>
      </c>
      <c r="C311" s="344"/>
      <c r="D311" s="214"/>
      <c r="E311" s="351"/>
      <c r="F311" s="216"/>
    </row>
    <row r="312" spans="1:6" ht="21.75" customHeight="1">
      <c r="A312" s="218"/>
      <c r="B312" s="213">
        <f>IFERROR(VLOOKUP(A312,'Tổng,SUMMARY'!C:D,2,0),)</f>
        <v>0</v>
      </c>
      <c r="C312" s="344"/>
      <c r="D312" s="214"/>
      <c r="E312" s="351"/>
      <c r="F312" s="216"/>
    </row>
    <row r="313" spans="1:6" ht="21.75" customHeight="1">
      <c r="A313" s="222"/>
      <c r="B313" s="213">
        <f>IFERROR(VLOOKUP(A313,'Tổng,SUMMARY'!C:D,2,0),)</f>
        <v>0</v>
      </c>
      <c r="C313" s="344"/>
      <c r="D313" s="214"/>
      <c r="E313" s="351"/>
      <c r="F313" s="216"/>
    </row>
    <row r="314" spans="1:6" ht="21.75" customHeight="1">
      <c r="A314" s="218"/>
      <c r="B314" s="213">
        <f>IFERROR(VLOOKUP(A314,'Tổng,SUMMARY'!C:D,2,0),)</f>
        <v>0</v>
      </c>
      <c r="C314" s="344"/>
      <c r="D314" s="214"/>
      <c r="E314" s="351"/>
      <c r="F314" s="219"/>
    </row>
    <row r="315" spans="1:6" ht="21.75" customHeight="1">
      <c r="A315" s="218"/>
      <c r="B315" s="213">
        <f>IFERROR(VLOOKUP(A315,'Tổng,SUMMARY'!C:D,2,0),)</f>
        <v>0</v>
      </c>
      <c r="C315" s="344"/>
      <c r="D315" s="214"/>
      <c r="E315" s="351"/>
      <c r="F315" s="219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351"/>
      <c r="F316" s="219"/>
    </row>
    <row r="317" spans="1:6" ht="21.75" customHeight="1">
      <c r="A317" s="220"/>
      <c r="B317" s="213">
        <f>IFERROR(VLOOKUP(A317,'Tổng,SUMMARY'!C:D,2,0),)</f>
        <v>0</v>
      </c>
      <c r="C317" s="344"/>
      <c r="D317" s="214"/>
      <c r="E317" s="215"/>
      <c r="F317" s="219"/>
    </row>
    <row r="318" spans="1:6" ht="21.75" customHeight="1">
      <c r="A318" s="220"/>
      <c r="B318" s="213">
        <f>IFERROR(VLOOKUP(A318,'Tổng,SUMMARY'!C:D,2,0),)</f>
        <v>0</v>
      </c>
      <c r="C318" s="344"/>
      <c r="D318" s="214"/>
      <c r="E318" s="215"/>
      <c r="F318" s="219"/>
    </row>
    <row r="319" spans="1:6" ht="21.75" customHeight="1">
      <c r="A319" s="220"/>
      <c r="B319" s="213">
        <f>IFERROR(VLOOKUP(A319,'Tổng,SUMMARY'!C:D,2,0),)</f>
        <v>0</v>
      </c>
      <c r="C319" s="344"/>
      <c r="D319" s="214"/>
      <c r="E319" s="215"/>
      <c r="F319" s="216"/>
    </row>
    <row r="320" spans="1:6" ht="21.75" customHeight="1">
      <c r="A320" s="220"/>
      <c r="B320" s="213">
        <f>IFERROR(VLOOKUP(A320,'Tổng,SUMMARY'!C:D,2,0),)</f>
        <v>0</v>
      </c>
      <c r="C320" s="344"/>
      <c r="D320" s="214"/>
      <c r="E320" s="215"/>
      <c r="F320" s="216"/>
    </row>
    <row r="321" spans="1:6" ht="21.75" customHeight="1">
      <c r="A321" s="222"/>
      <c r="B321" s="213">
        <f>IFERROR(VLOOKUP(A321,'Tổng,SUMMARY'!C:D,2,0),)</f>
        <v>0</v>
      </c>
      <c r="C321" s="344"/>
      <c r="D321" s="214"/>
      <c r="E321" s="215"/>
      <c r="F321" s="216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6"/>
    </row>
    <row r="323" spans="1:6" ht="21.75" customHeight="1">
      <c r="A323" s="222"/>
      <c r="B323" s="213">
        <f>IFERROR(VLOOKUP(A323,'Tổng,SUMMARY'!C:D,2,0),)</f>
        <v>0</v>
      </c>
      <c r="C323" s="344"/>
      <c r="D323" s="214"/>
      <c r="E323" s="351"/>
      <c r="F323" s="216"/>
    </row>
    <row r="324" spans="1:6" ht="21.75" customHeight="1">
      <c r="A324" s="222"/>
      <c r="B324" s="213">
        <f>IFERROR(VLOOKUP(A324,'Tổng,SUMMARY'!C:D,2,0),)</f>
        <v>0</v>
      </c>
      <c r="C324" s="344"/>
      <c r="D324" s="214"/>
      <c r="E324" s="351"/>
      <c r="F324" s="216"/>
    </row>
    <row r="325" spans="1:6" ht="21.75" customHeight="1">
      <c r="A325" s="222"/>
      <c r="B325" s="213">
        <f>IFERROR(VLOOKUP(A325,'Tổng,SUMMARY'!C:D,2,0),)</f>
        <v>0</v>
      </c>
      <c r="C325" s="344"/>
      <c r="D325" s="214"/>
      <c r="E325" s="351"/>
      <c r="F325" s="216"/>
    </row>
    <row r="326" spans="1:6" ht="21.75" customHeight="1">
      <c r="A326" s="222"/>
      <c r="B326" s="213">
        <f>IFERROR(VLOOKUP(A326,'Tổng,SUMMARY'!C:D,2,0),)</f>
        <v>0</v>
      </c>
      <c r="C326" s="344"/>
      <c r="D326" s="214"/>
      <c r="E326" s="351"/>
      <c r="F326" s="216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351"/>
      <c r="F327" s="216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9"/>
    </row>
    <row r="331" spans="1:6" ht="21.75" customHeight="1">
      <c r="A331" s="218"/>
      <c r="B331" s="213">
        <f>IFERROR(VLOOKUP(A331,'Tổng,SUMMARY'!C:D,2,0),)</f>
        <v>0</v>
      </c>
      <c r="C331" s="344"/>
      <c r="D331" s="214"/>
      <c r="E331" s="351"/>
      <c r="F331" s="219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9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6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6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6"/>
    </row>
    <row r="336" spans="1:6" ht="21.75" customHeight="1">
      <c r="A336" s="222"/>
      <c r="B336" s="213">
        <f>IFERROR(VLOOKUP(A336,'Tổng,SUMMARY'!C:D,2,0),)</f>
        <v>0</v>
      </c>
      <c r="C336" s="344"/>
      <c r="D336" s="214"/>
      <c r="E336" s="351"/>
      <c r="F336" s="216"/>
    </row>
    <row r="337" spans="1:6" ht="21.75" customHeight="1">
      <c r="A337" s="222"/>
      <c r="B337" s="213">
        <f>IFERROR(VLOOKUP(A337,'Tổng,SUMMARY'!C:D,2,0),)</f>
        <v>0</v>
      </c>
      <c r="C337" s="344"/>
      <c r="D337" s="214"/>
      <c r="E337" s="351"/>
      <c r="F337" s="216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9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9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9"/>
    </row>
    <row r="341" spans="1:6" ht="21.75" customHeight="1">
      <c r="A341" s="218"/>
      <c r="B341" s="213">
        <f>IFERROR(VLOOKUP(A341,'Tổng,SUMMARY'!C:D,2,0),)</f>
        <v>0</v>
      </c>
      <c r="C341" s="344"/>
      <c r="D341" s="214"/>
      <c r="E341" s="351"/>
      <c r="F341" s="219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6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6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6"/>
    </row>
    <row r="347" spans="1:6" ht="21.75" customHeight="1">
      <c r="A347" s="222"/>
      <c r="B347" s="213">
        <f>IFERROR(VLOOKUP(A347,'Tổng,SUMMARY'!C:D,2,0),)</f>
        <v>0</v>
      </c>
      <c r="C347" s="344"/>
      <c r="D347" s="214"/>
      <c r="E347" s="351"/>
      <c r="F347" s="216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13">
        <f>IFERROR(VLOOKUP(A349,'Tổng,SUMMARY'!C:D,2,0),)</f>
        <v>0</v>
      </c>
      <c r="C349" s="344"/>
      <c r="D349" s="214"/>
      <c r="E349" s="351"/>
      <c r="F349" s="216"/>
    </row>
    <row r="350" spans="1:6" ht="21.75" customHeight="1">
      <c r="A350" s="222"/>
      <c r="B350" s="213">
        <f>IFERROR(VLOOKUP(A350,'Tổng,SUMMARY'!C:D,2,0),)</f>
        <v>0</v>
      </c>
      <c r="C350" s="344"/>
      <c r="D350" s="214"/>
      <c r="E350" s="351"/>
      <c r="F350" s="216"/>
    </row>
    <row r="351" spans="1:6" ht="21.75" customHeight="1">
      <c r="A351" s="222"/>
      <c r="B351" s="213">
        <f>IFERROR(VLOOKUP(A351,'Tổng,SUMMARY'!C:D,2,0),)</f>
        <v>0</v>
      </c>
      <c r="C351" s="344"/>
      <c r="D351" s="214"/>
      <c r="E351" s="351"/>
      <c r="F351" s="216"/>
    </row>
    <row r="352" spans="1:6" ht="21.75" customHeight="1">
      <c r="A352" s="222"/>
      <c r="B352" s="213">
        <f>IFERROR(VLOOKUP(A352,'Tổng,SUMMARY'!C:D,2,0),)</f>
        <v>0</v>
      </c>
      <c r="C352" s="344"/>
      <c r="D352" s="214"/>
      <c r="E352" s="351"/>
      <c r="F352" s="216"/>
    </row>
    <row r="353" spans="1:6" ht="21.75" customHeight="1">
      <c r="A353" s="222"/>
      <c r="B353" s="213">
        <f>IFERROR(VLOOKUP(A353,'Tổng,SUMMARY'!C:D,2,0),)</f>
        <v>0</v>
      </c>
      <c r="C353" s="344"/>
      <c r="D353" s="214"/>
      <c r="E353" s="351"/>
      <c r="F353" s="216"/>
    </row>
    <row r="354" spans="1:6" ht="21.75" customHeight="1">
      <c r="A354" s="222"/>
      <c r="B354" s="224"/>
      <c r="C354" s="344"/>
      <c r="D354" s="214"/>
      <c r="E354" s="351"/>
      <c r="F354" s="216"/>
    </row>
    <row r="355" spans="1:6" ht="21.75" customHeight="1">
      <c r="A355" s="222"/>
      <c r="B355" s="224"/>
      <c r="C355" s="344"/>
      <c r="D355" s="214"/>
      <c r="E355" s="351"/>
      <c r="F355" s="216"/>
    </row>
    <row r="356" spans="1:6" ht="21.75" customHeight="1">
      <c r="A356" s="222"/>
      <c r="B356" s="224"/>
      <c r="C356" s="344"/>
      <c r="D356" s="214"/>
      <c r="E356" s="351"/>
      <c r="F356" s="216"/>
    </row>
    <row r="357" spans="1:6" ht="21.75" customHeight="1">
      <c r="A357" s="222"/>
      <c r="B357" s="224"/>
      <c r="C357" s="344"/>
      <c r="D357" s="214"/>
      <c r="E357" s="351"/>
      <c r="F357" s="216"/>
    </row>
    <row r="358" spans="1:6" ht="21.75" customHeight="1">
      <c r="A358" s="222"/>
      <c r="B358" s="224"/>
      <c r="C358" s="344"/>
      <c r="D358" s="214"/>
      <c r="E358" s="351"/>
      <c r="F358" s="216"/>
    </row>
    <row r="359" spans="1:6" ht="21.75" customHeight="1">
      <c r="A359" s="222"/>
      <c r="B359" s="224"/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D436" s="21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D447" s="21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14"/>
      <c r="E532" s="351"/>
      <c r="F532" s="216"/>
    </row>
    <row r="533" spans="1:6" ht="21.75" customHeight="1">
      <c r="A533" s="222"/>
      <c r="B533" s="224"/>
      <c r="C533" s="344"/>
      <c r="D533" s="214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23"/>
      <c r="E537" s="351"/>
      <c r="F537" s="216"/>
    </row>
    <row r="538" spans="1:6" ht="21.75" customHeight="1">
      <c r="A538" s="222"/>
      <c r="B538" s="224"/>
      <c r="C538" s="344"/>
      <c r="D538" s="223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14"/>
      <c r="E543" s="351"/>
      <c r="F543" s="216"/>
    </row>
    <row r="544" spans="1:6" ht="21.75" customHeight="1">
      <c r="A544" s="222"/>
      <c r="B544" s="224"/>
      <c r="C544" s="344"/>
      <c r="D544" s="214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14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14"/>
      <c r="E657" s="351"/>
      <c r="F657" s="216"/>
    </row>
    <row r="658" spans="1:6" ht="21.75" customHeight="1">
      <c r="A658" s="222"/>
      <c r="B658" s="224"/>
      <c r="C658" s="344"/>
      <c r="D658" s="214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23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23"/>
      <c r="E662" s="351"/>
      <c r="F662" s="216"/>
    </row>
    <row r="663" spans="1:6" ht="21.75" customHeight="1">
      <c r="A663" s="222"/>
      <c r="B663" s="224"/>
      <c r="C663" s="344"/>
      <c r="D663" s="223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14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14"/>
      <c r="E668" s="351"/>
      <c r="F668" s="216"/>
    </row>
    <row r="669" spans="1:6" ht="21.75" customHeight="1">
      <c r="A669" s="222"/>
      <c r="B669" s="224"/>
      <c r="C669" s="344"/>
      <c r="D669" s="214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2"/>
      <c r="B780" s="224"/>
      <c r="C780" s="344"/>
      <c r="D780" s="214"/>
      <c r="E780" s="351"/>
      <c r="F780" s="216"/>
    </row>
    <row r="781" spans="1:6" ht="21.75" customHeight="1">
      <c r="A781" s="222"/>
      <c r="B781" s="224"/>
      <c r="C781" s="344"/>
      <c r="D781" s="214"/>
      <c r="E781" s="351"/>
      <c r="F781" s="216"/>
    </row>
    <row r="782" spans="1:6" ht="21.75" customHeight="1">
      <c r="A782" s="222"/>
      <c r="B782" s="224"/>
      <c r="C782" s="344"/>
      <c r="D782" s="214"/>
      <c r="E782" s="351"/>
      <c r="F782" s="216"/>
    </row>
    <row r="783" spans="1:6" ht="21.75" customHeight="1">
      <c r="A783" s="222"/>
      <c r="B783" s="224"/>
      <c r="C783" s="344"/>
      <c r="D783" s="214"/>
      <c r="E783" s="351"/>
      <c r="F783" s="216"/>
    </row>
    <row r="784" spans="1:6" ht="21.75" customHeight="1">
      <c r="A784" s="222"/>
      <c r="B784" s="224"/>
      <c r="C784" s="344"/>
      <c r="D784" s="214"/>
      <c r="E784" s="351"/>
      <c r="F784" s="216"/>
    </row>
    <row r="785" spans="1:6" ht="21.75" customHeight="1">
      <c r="A785" s="226"/>
      <c r="B785" s="224"/>
      <c r="C785" s="344"/>
      <c r="D785" s="214"/>
      <c r="E785" s="351"/>
      <c r="F785" s="216"/>
    </row>
    <row r="786" spans="1:6" ht="21.75" customHeight="1">
      <c r="A786" s="226"/>
      <c r="B786" s="224"/>
      <c r="C786" s="344"/>
      <c r="D786" s="214"/>
      <c r="E786" s="351"/>
      <c r="F786" s="216"/>
    </row>
    <row r="787" spans="1:6" ht="21.75" customHeight="1">
      <c r="A787" s="226"/>
      <c r="B787" s="224"/>
      <c r="C787" s="344"/>
      <c r="D787" s="214"/>
      <c r="E787" s="351"/>
      <c r="F787" s="216"/>
    </row>
    <row r="788" spans="1:6" ht="21.75" customHeight="1">
      <c r="A788" s="226"/>
      <c r="B788" s="224"/>
      <c r="C788" s="344"/>
      <c r="D788" s="214"/>
      <c r="E788" s="351"/>
      <c r="F788" s="216"/>
    </row>
    <row r="789" spans="1:6" ht="21.75" customHeight="1">
      <c r="A789" s="226"/>
      <c r="B789" s="224"/>
      <c r="C789" s="344"/>
      <c r="D789" s="214"/>
      <c r="E789" s="351"/>
      <c r="F789" s="216"/>
    </row>
    <row r="790" spans="1:6" ht="21.75" customHeight="1">
      <c r="A790" s="226"/>
      <c r="B790" s="224"/>
      <c r="C790" s="344"/>
      <c r="D790" s="214"/>
      <c r="E790" s="351"/>
      <c r="F790" s="216"/>
    </row>
    <row r="791" spans="1:6" ht="21.75" customHeight="1">
      <c r="A791" s="222"/>
      <c r="B791" s="224"/>
      <c r="C791" s="344"/>
      <c r="D791" s="214"/>
      <c r="E791" s="351"/>
      <c r="F791" s="216"/>
    </row>
    <row r="792" spans="1:6" ht="21.75" customHeight="1">
      <c r="A792" s="222"/>
      <c r="B792" s="224"/>
      <c r="C792" s="344"/>
      <c r="D792" s="214"/>
      <c r="E792" s="351"/>
      <c r="F792" s="216"/>
    </row>
    <row r="793" spans="1:6" ht="21.75" customHeight="1">
      <c r="A793" s="222"/>
      <c r="B793" s="224"/>
      <c r="C793" s="344"/>
      <c r="D793" s="214"/>
      <c r="E793" s="351"/>
      <c r="F793" s="216"/>
    </row>
    <row r="794" spans="1:6" ht="21.75" customHeight="1">
      <c r="A794" s="222"/>
      <c r="B794" s="224"/>
      <c r="C794" s="344"/>
      <c r="D794" s="214"/>
      <c r="E794" s="351"/>
      <c r="F794" s="216"/>
    </row>
    <row r="795" spans="1:6" ht="21.75" customHeight="1">
      <c r="A795" s="222"/>
      <c r="B795" s="224"/>
      <c r="C795" s="344"/>
      <c r="D795" s="214"/>
      <c r="E795" s="351"/>
      <c r="F795" s="216"/>
    </row>
    <row r="796" spans="1:6" ht="21.75" customHeight="1">
      <c r="A796" s="222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  <c r="F823" s="216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  <c r="F834" s="216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14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2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23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7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14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2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14"/>
      <c r="E903" s="351"/>
      <c r="F903" s="216"/>
    </row>
    <row r="904" spans="1:6" ht="21.75" customHeight="1">
      <c r="A904" s="222"/>
      <c r="B904" s="224"/>
      <c r="C904" s="344"/>
      <c r="D904" s="214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28"/>
      <c r="E908" s="351"/>
      <c r="F908" s="216"/>
    </row>
    <row r="909" spans="1:6" ht="21.75" customHeight="1">
      <c r="A909" s="222"/>
      <c r="B909" s="224"/>
      <c r="C909" s="344"/>
      <c r="D909" s="228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14"/>
      <c r="E914" s="351"/>
      <c r="F914" s="216"/>
    </row>
    <row r="915" spans="1:6" ht="21.75" customHeight="1">
      <c r="A915" s="222"/>
      <c r="B915" s="224"/>
      <c r="C915" s="344"/>
      <c r="D915" s="214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14"/>
      <c r="E949" s="351"/>
      <c r="F949" s="216"/>
    </row>
    <row r="950" spans="1:6" ht="21.75" customHeight="1">
      <c r="A950" s="222"/>
      <c r="B950" s="224"/>
      <c r="C950" s="344"/>
      <c r="D950" s="214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29"/>
      <c r="E954" s="351"/>
      <c r="F954" s="216"/>
    </row>
    <row r="955" spans="1:6" ht="21.75" customHeight="1">
      <c r="A955" s="222"/>
      <c r="B955" s="224"/>
      <c r="C955" s="344"/>
      <c r="D955" s="229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14"/>
      <c r="E960" s="351"/>
      <c r="F960" s="216"/>
    </row>
    <row r="961" spans="1:6" ht="21.75" customHeight="1">
      <c r="A961" s="222"/>
      <c r="B961" s="224"/>
      <c r="C961" s="344"/>
      <c r="D961" s="214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1"/>
      <c r="F967" s="216"/>
    </row>
    <row r="968" spans="1:6" ht="21.75" customHeight="1">
      <c r="A968" s="222"/>
      <c r="B968" s="224"/>
      <c r="C968" s="344"/>
      <c r="D968" s="214"/>
      <c r="E968" s="351"/>
      <c r="F968" s="216"/>
    </row>
    <row r="969" spans="1:6" ht="21.75" customHeight="1">
      <c r="A969" s="222"/>
      <c r="B969" s="224"/>
      <c r="C969" s="344"/>
      <c r="D969" s="214"/>
      <c r="E969" s="351"/>
      <c r="F969" s="216"/>
    </row>
    <row r="970" spans="1:6" ht="21.75" customHeight="1">
      <c r="A970" s="222"/>
      <c r="B970" s="224"/>
      <c r="C970" s="344"/>
      <c r="D970" s="214"/>
      <c r="E970" s="351"/>
      <c r="F970" s="216"/>
    </row>
    <row r="971" spans="1:6" ht="21.75" customHeight="1">
      <c r="A971" s="222"/>
      <c r="B971" s="224"/>
      <c r="C971" s="344"/>
      <c r="D971" s="214"/>
      <c r="E971" s="351"/>
      <c r="F971" s="216"/>
    </row>
    <row r="972" spans="1:6" ht="21.75" customHeight="1">
      <c r="A972" s="222"/>
      <c r="B972" s="224"/>
      <c r="C972" s="344"/>
      <c r="D972" s="214"/>
      <c r="E972" s="353"/>
      <c r="F972" s="216"/>
    </row>
    <row r="973" spans="1:6" ht="21.75" customHeight="1">
      <c r="A973" s="222"/>
      <c r="B973" s="224"/>
      <c r="C973" s="344"/>
      <c r="D973" s="214"/>
      <c r="E973" s="353"/>
      <c r="F973" s="216"/>
    </row>
    <row r="974" spans="1:6" ht="21.75" customHeight="1">
      <c r="A974" s="222"/>
      <c r="B974" s="224"/>
      <c r="C974" s="344"/>
      <c r="D974" s="214"/>
      <c r="E974" s="353"/>
      <c r="F974" s="216"/>
    </row>
    <row r="975" spans="1:6" ht="21.75" customHeight="1">
      <c r="A975" s="222"/>
      <c r="B975" s="224"/>
      <c r="C975" s="344"/>
      <c r="D975" s="214"/>
      <c r="E975" s="353"/>
      <c r="F975" s="216"/>
    </row>
    <row r="976" spans="1:6" ht="21.75" customHeight="1">
      <c r="A976" s="222"/>
      <c r="B976" s="224"/>
      <c r="C976" s="344"/>
      <c r="D976" s="214"/>
      <c r="E976" s="353"/>
      <c r="F976" s="216"/>
    </row>
    <row r="977" spans="1:6" ht="21.75" customHeight="1">
      <c r="A977" s="222"/>
      <c r="B977" s="224"/>
      <c r="C977" s="344"/>
      <c r="D977" s="214"/>
      <c r="E977" s="353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3"/>
      <c r="F984" s="216"/>
    </row>
    <row r="985" spans="1:6" ht="21.75" customHeight="1">
      <c r="A985" s="222"/>
      <c r="B985" s="224"/>
      <c r="C985" s="344"/>
      <c r="D985" s="214"/>
      <c r="E985" s="353"/>
      <c r="F985" s="216"/>
    </row>
    <row r="986" spans="1:6" ht="21.75" customHeight="1">
      <c r="A986" s="222"/>
      <c r="B986" s="224"/>
      <c r="C986" s="344"/>
      <c r="D986" s="214"/>
      <c r="E986" s="353"/>
      <c r="F986" s="216"/>
    </row>
    <row r="987" spans="1:6" ht="21.75" customHeight="1">
      <c r="A987" s="222"/>
      <c r="B987" s="224"/>
      <c r="C987" s="344"/>
      <c r="D987" s="214"/>
      <c r="E987" s="353"/>
      <c r="F987" s="216"/>
    </row>
    <row r="988" spans="1:6" ht="21.75" customHeight="1">
      <c r="A988" s="222"/>
      <c r="B988" s="224"/>
      <c r="C988" s="344"/>
      <c r="D988" s="214"/>
      <c r="E988" s="353"/>
      <c r="F988" s="216"/>
    </row>
    <row r="989" spans="1:6" ht="21.75" customHeight="1">
      <c r="A989" s="222"/>
      <c r="B989" s="224"/>
      <c r="C989" s="344"/>
      <c r="D989" s="214"/>
      <c r="E989" s="351"/>
      <c r="F989" s="216"/>
    </row>
    <row r="990" spans="1:6" ht="21.75" customHeight="1">
      <c r="A990" s="222"/>
      <c r="B990" s="224"/>
      <c r="C990" s="344"/>
      <c r="D990" s="214"/>
      <c r="E990" s="351"/>
      <c r="F990" s="216"/>
    </row>
    <row r="991" spans="1:6" ht="21.75" customHeight="1">
      <c r="A991" s="222"/>
      <c r="B991" s="224"/>
      <c r="C991" s="344"/>
      <c r="D991" s="214"/>
      <c r="E991" s="351"/>
      <c r="F991" s="216"/>
    </row>
    <row r="992" spans="1:6" ht="21.75" customHeight="1">
      <c r="A992" s="222"/>
      <c r="B992" s="224"/>
      <c r="C992" s="344"/>
      <c r="D992" s="214"/>
      <c r="E992" s="351"/>
      <c r="F992" s="216"/>
    </row>
    <row r="993" spans="1:6" ht="21.75" customHeight="1">
      <c r="A993" s="222"/>
      <c r="B993" s="224"/>
      <c r="C993" s="344"/>
      <c r="D993" s="214"/>
      <c r="E993" s="351"/>
      <c r="F993" s="216"/>
    </row>
    <row r="994" spans="1:6" ht="21.75" customHeight="1">
      <c r="A994" s="222"/>
      <c r="B994" s="224"/>
      <c r="C994" s="344"/>
      <c r="D994" s="214"/>
      <c r="E994" s="351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s="201" customFormat="1" ht="21.75" customHeight="1">
      <c r="A997" s="222"/>
      <c r="B997" s="224"/>
      <c r="C997" s="344"/>
      <c r="D997" s="214"/>
      <c r="E997" s="351"/>
      <c r="F997" s="216"/>
    </row>
    <row r="998" spans="1:6" s="201" customFormat="1" ht="21.75" customHeight="1">
      <c r="A998" s="222"/>
      <c r="B998" s="224"/>
      <c r="C998" s="344"/>
      <c r="D998" s="214"/>
      <c r="E998" s="351"/>
      <c r="F998" s="216"/>
    </row>
    <row r="999" spans="1:6" s="201" customFormat="1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ht="21.75" customHeight="1">
      <c r="A1003" s="222"/>
      <c r="B1003" s="224"/>
      <c r="C1003" s="344"/>
      <c r="D1003" s="214"/>
      <c r="E1003" s="351"/>
      <c r="F1003" s="216"/>
    </row>
    <row r="1004" spans="1:6" ht="21.75" customHeight="1">
      <c r="A1004" s="222"/>
      <c r="B1004" s="224"/>
      <c r="C1004" s="344"/>
      <c r="D1004" s="214"/>
      <c r="E1004" s="351"/>
      <c r="F1004" s="216"/>
    </row>
    <row r="1005" spans="1:6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14"/>
      <c r="E1149" s="351"/>
      <c r="F1149" s="216"/>
    </row>
    <row r="1150" spans="1:6" ht="21.75" customHeight="1">
      <c r="A1150" s="222"/>
      <c r="B1150" s="224"/>
      <c r="C1150" s="344"/>
      <c r="D1150" s="214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30"/>
      <c r="E1154" s="351"/>
      <c r="F1154" s="216"/>
    </row>
    <row r="1155" spans="1:6" ht="21.75" customHeight="1">
      <c r="A1155" s="222"/>
      <c r="B1155" s="224"/>
      <c r="C1155" s="344"/>
      <c r="D1155" s="230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14"/>
      <c r="E1160" s="351"/>
      <c r="F1160" s="216"/>
    </row>
    <row r="1161" spans="1:6" ht="21.75" customHeight="1">
      <c r="A1161" s="222"/>
      <c r="B1161" s="224"/>
      <c r="C1161" s="344"/>
      <c r="D1161" s="214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16"/>
    </row>
    <row r="1235" spans="1:6" ht="21.75" customHeight="1">
      <c r="A1235" s="222"/>
      <c r="B1235" s="224"/>
      <c r="C1235" s="344"/>
      <c r="D1235" s="214"/>
      <c r="E1235" s="351"/>
      <c r="F1235" s="216"/>
    </row>
    <row r="1236" spans="1:6" ht="21.75" customHeight="1">
      <c r="A1236" s="222"/>
      <c r="B1236" s="224"/>
      <c r="C1236" s="344"/>
      <c r="D1236" s="214"/>
      <c r="E1236" s="351"/>
      <c r="F1236" s="216"/>
    </row>
    <row r="1237" spans="1:6" ht="21.75" customHeight="1">
      <c r="A1237" s="222"/>
      <c r="B1237" s="224"/>
      <c r="C1237" s="344"/>
      <c r="D1237" s="214"/>
      <c r="E1237" s="351"/>
      <c r="F1237" s="216"/>
    </row>
    <row r="1238" spans="1:6" ht="21.75" customHeight="1">
      <c r="A1238" s="222"/>
      <c r="B1238" s="224"/>
      <c r="C1238" s="344"/>
      <c r="D1238" s="214"/>
      <c r="E1238" s="351"/>
      <c r="F1238" s="216"/>
    </row>
    <row r="1239" spans="1:6" ht="21.75" customHeight="1">
      <c r="A1239" s="222"/>
      <c r="B1239" s="224"/>
      <c r="C1239" s="344"/>
      <c r="D1239" s="214"/>
      <c r="E1239" s="351"/>
      <c r="F1239" s="231"/>
    </row>
    <row r="1240" spans="1:6" ht="21.75" customHeight="1">
      <c r="A1240" s="222"/>
      <c r="B1240" s="224"/>
      <c r="C1240" s="344"/>
      <c r="D1240" s="214"/>
      <c r="E1240" s="351"/>
      <c r="F1240" s="231"/>
    </row>
    <row r="1241" spans="1:6" ht="21.75" customHeight="1">
      <c r="A1241" s="222"/>
      <c r="B1241" s="224"/>
      <c r="C1241" s="344"/>
      <c r="D1241" s="214"/>
      <c r="E1241" s="351"/>
      <c r="F1241" s="231"/>
    </row>
    <row r="1242" spans="1:6" ht="21.75" customHeight="1">
      <c r="A1242" s="222"/>
      <c r="B1242" s="224"/>
      <c r="C1242" s="344"/>
      <c r="D1242" s="214"/>
      <c r="E1242" s="351"/>
      <c r="F1242" s="231"/>
    </row>
    <row r="1243" spans="1:6" ht="21.75" customHeight="1">
      <c r="A1243" s="222"/>
      <c r="B1243" s="224"/>
      <c r="C1243" s="344"/>
      <c r="D1243" s="214"/>
      <c r="E1243" s="351"/>
      <c r="F1243" s="231"/>
    </row>
    <row r="1244" spans="1:6" ht="21.75" customHeight="1">
      <c r="A1244" s="222"/>
      <c r="B1244" s="224"/>
      <c r="C1244" s="344"/>
      <c r="D1244" s="214"/>
      <c r="E1244" s="351"/>
      <c r="F1244" s="231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1"/>
    </row>
    <row r="1260" spans="1:6" ht="21.75" customHeight="1">
      <c r="A1260" s="222"/>
      <c r="B1260" s="224"/>
      <c r="C1260" s="344"/>
      <c r="D1260" s="214"/>
      <c r="E1260" s="351"/>
      <c r="F1260" s="231"/>
    </row>
    <row r="1261" spans="1:6" ht="21.75" customHeight="1">
      <c r="A1261" s="222"/>
      <c r="B1261" s="224"/>
      <c r="C1261" s="344"/>
      <c r="D1261" s="214"/>
      <c r="E1261" s="351"/>
      <c r="F1261" s="231"/>
    </row>
    <row r="1262" spans="1:6" ht="21.75" customHeight="1">
      <c r="A1262" s="222"/>
      <c r="B1262" s="224"/>
      <c r="C1262" s="344"/>
      <c r="D1262" s="214"/>
      <c r="E1262" s="351"/>
      <c r="F1262" s="231"/>
    </row>
    <row r="1263" spans="1:6" ht="21.75" customHeight="1">
      <c r="A1263" s="222"/>
      <c r="B1263" s="224"/>
      <c r="C1263" s="344"/>
      <c r="D1263" s="214"/>
      <c r="E1263" s="351"/>
      <c r="F1263" s="231"/>
    </row>
    <row r="1264" spans="1:6" ht="21.75" customHeight="1">
      <c r="A1264" s="222"/>
      <c r="B1264" s="224"/>
      <c r="C1264" s="344"/>
      <c r="D1264" s="214"/>
      <c r="E1264" s="351"/>
      <c r="F1264" s="232"/>
    </row>
    <row r="1265" spans="1:6" ht="21.75" customHeight="1">
      <c r="A1265" s="233"/>
      <c r="B1265" s="224"/>
      <c r="C1265" s="344"/>
      <c r="D1265" s="214"/>
      <c r="E1265" s="351"/>
      <c r="F1265" s="232"/>
    </row>
    <row r="1266" spans="1:6" ht="21.75" customHeight="1">
      <c r="A1266" s="233"/>
      <c r="B1266" s="224"/>
      <c r="C1266" s="344"/>
      <c r="D1266" s="214"/>
      <c r="E1266" s="351"/>
      <c r="F1266" s="232"/>
    </row>
    <row r="1267" spans="1:6" ht="21.75" customHeight="1">
      <c r="A1267" s="233"/>
      <c r="B1267" s="224"/>
      <c r="C1267" s="344"/>
      <c r="D1267" s="214"/>
      <c r="E1267" s="351"/>
      <c r="F1267" s="232"/>
    </row>
    <row r="1268" spans="1:6" ht="21.75" customHeight="1">
      <c r="A1268" s="233"/>
      <c r="B1268" s="224"/>
      <c r="C1268" s="344"/>
      <c r="D1268" s="214"/>
      <c r="E1268" s="351"/>
      <c r="F1268" s="232"/>
    </row>
    <row r="1269" spans="1:6" ht="21.75" customHeight="1">
      <c r="A1269" s="233"/>
      <c r="B1269" s="224"/>
      <c r="C1269" s="344"/>
      <c r="D1269" s="214"/>
      <c r="E1269" s="351"/>
      <c r="F1269" s="232"/>
    </row>
    <row r="1270" spans="1:6" ht="21.75" customHeight="1">
      <c r="A1270" s="233"/>
      <c r="B1270" s="224"/>
      <c r="C1270" s="344"/>
      <c r="D1270" s="214"/>
      <c r="E1270" s="351"/>
      <c r="F1270" s="232"/>
    </row>
    <row r="1271" spans="1:6" ht="21.75" customHeight="1">
      <c r="A1271" s="233"/>
      <c r="B1271" s="224"/>
      <c r="C1271" s="344"/>
      <c r="D1271" s="214"/>
      <c r="E1271" s="351"/>
      <c r="F1271" s="232"/>
    </row>
    <row r="1272" spans="1:6" ht="21.75" customHeight="1">
      <c r="A1272" s="233"/>
      <c r="B1272" s="224"/>
      <c r="C1272" s="344"/>
      <c r="D1272" s="214"/>
      <c r="E1272" s="351"/>
      <c r="F1272" s="232"/>
    </row>
    <row r="1273" spans="1:6" ht="21.75" customHeight="1">
      <c r="A1273" s="233"/>
      <c r="B1273" s="224"/>
      <c r="C1273" s="344"/>
      <c r="D1273" s="214"/>
      <c r="E1273" s="351"/>
      <c r="F1273" s="232"/>
    </row>
    <row r="1274" spans="1:6" ht="21.75" customHeight="1">
      <c r="A1274" s="233"/>
      <c r="B1274" s="224"/>
      <c r="C1274" s="345"/>
      <c r="D1274" s="214"/>
      <c r="E1274" s="351"/>
      <c r="F1274" s="232"/>
    </row>
    <row r="1275" spans="1:6" ht="21.75" customHeight="1">
      <c r="A1275" s="233"/>
      <c r="B1275" s="224"/>
      <c r="C1275" s="345"/>
      <c r="D1275" s="214"/>
      <c r="E1275" s="351"/>
      <c r="F1275" s="232"/>
    </row>
    <row r="1276" spans="1:6" ht="21.75" customHeight="1">
      <c r="A1276" s="233"/>
      <c r="B1276" s="224"/>
      <c r="C1276" s="345"/>
      <c r="D1276" s="214"/>
      <c r="E1276" s="351"/>
      <c r="F1276" s="232"/>
    </row>
    <row r="1277" spans="1:6" ht="21.75" customHeight="1">
      <c r="A1277" s="233"/>
      <c r="B1277" s="224"/>
      <c r="C1277" s="345"/>
      <c r="D1277" s="214"/>
      <c r="E1277" s="351"/>
      <c r="F1277" s="232"/>
    </row>
    <row r="1278" spans="1:6" ht="21.75" customHeight="1">
      <c r="A1278" s="233"/>
      <c r="B1278" s="224"/>
      <c r="C1278" s="345"/>
      <c r="D1278" s="214"/>
      <c r="E1278" s="351"/>
      <c r="F1278" s="232"/>
    </row>
    <row r="1279" spans="1:6" ht="21.75" customHeight="1">
      <c r="A1279" s="233"/>
      <c r="B1279" s="224"/>
      <c r="C1279" s="345"/>
      <c r="D1279" s="214"/>
      <c r="E1279" s="351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34"/>
      <c r="E1280" s="354"/>
      <c r="F1280" s="236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351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351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351"/>
      <c r="F1283" s="232"/>
    </row>
    <row r="1284" spans="1:6" ht="21.75" customHeight="1">
      <c r="A1284" s="233"/>
      <c r="B1284" s="213" t="e">
        <f>VLOOKUP(A1284,[1]Daily!$A$1:$C$65536,3,FALSE)</f>
        <v>#N/A</v>
      </c>
      <c r="C1284" s="344"/>
      <c r="D1284" s="214"/>
      <c r="E1284" s="351"/>
      <c r="F1284" s="232"/>
    </row>
    <row r="1285" spans="1:6" ht="21.75" customHeight="1">
      <c r="A1285" s="233"/>
      <c r="B1285" s="213" t="e">
        <f>VLOOKUP(A1285,[1]Daily!$A$1:$C$65536,3,FALSE)</f>
        <v>#N/A</v>
      </c>
      <c r="C1285" s="344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14"/>
      <c r="E1286" s="351"/>
      <c r="F1286" s="232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2"/>
    </row>
    <row r="1290" spans="1:6" ht="21.75" customHeight="1">
      <c r="A1290" s="233"/>
      <c r="B1290" s="213" t="e">
        <f>VLOOKUP(A1290,[1]Daily!$A$1:$C$65536,3,FALSE)</f>
        <v>#N/A</v>
      </c>
      <c r="C1290" s="344"/>
      <c r="D1290" s="214"/>
      <c r="E1290" s="351"/>
      <c r="F1290" s="232"/>
    </row>
    <row r="1291" spans="1:6" ht="21.75" customHeight="1">
      <c r="A1291" s="233"/>
      <c r="B1291" s="213" t="e">
        <f>VLOOKUP(A1291,[1]Daily!$A$1:$C$65536,3,FALSE)</f>
        <v>#N/A</v>
      </c>
      <c r="C1291" s="344"/>
      <c r="D1291" s="214"/>
      <c r="E1291" s="351"/>
      <c r="F1291" s="232"/>
    </row>
    <row r="1292" spans="1:6" ht="21.75" customHeight="1">
      <c r="A1292" s="233"/>
      <c r="B1292" s="213" t="e">
        <f>VLOOKUP(A1292,[1]Daily!$A$1:$C$65536,3,FALSE)</f>
        <v>#N/A</v>
      </c>
      <c r="C1292" s="344"/>
      <c r="D1292" s="214"/>
      <c r="E1292" s="351"/>
      <c r="F1292" s="232"/>
    </row>
    <row r="1293" spans="1:6" ht="21.75" customHeight="1">
      <c r="A1293" s="233"/>
      <c r="B1293" s="213" t="e">
        <f>VLOOKUP(A1293,[1]Daily!$A$1:$C$65536,3,FALSE)</f>
        <v>#N/A</v>
      </c>
      <c r="C1293" s="344"/>
      <c r="D1293" s="214"/>
      <c r="E1293" s="351"/>
      <c r="F1293" s="232"/>
    </row>
    <row r="1294" spans="1:6" ht="21.75" customHeight="1">
      <c r="A1294" s="233"/>
      <c r="B1294" s="213" t="e">
        <f>VLOOKUP(A1294,[1]Daily!$A$1:$C$65536,3,FALSE)</f>
        <v>#N/A</v>
      </c>
      <c r="C1294" s="344"/>
      <c r="D1294" s="214"/>
      <c r="E1294" s="351"/>
      <c r="F1294" s="237"/>
    </row>
  </sheetData>
  <autoFilter ref="A5:U353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66" activePane="bottomLeft" state="frozen"/>
      <selection pane="bottomLeft" activeCell="E87" sqref="E87:E88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515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4" t="s">
        <v>509</v>
      </c>
      <c r="B4" s="395" t="s">
        <v>510</v>
      </c>
      <c r="C4" s="396" t="s">
        <v>511</v>
      </c>
      <c r="D4" s="397" t="s">
        <v>512</v>
      </c>
      <c r="E4" s="210" t="s">
        <v>513</v>
      </c>
      <c r="F4" s="398" t="s">
        <v>514</v>
      </c>
      <c r="H4" s="209"/>
    </row>
    <row r="5" spans="1:9" ht="21.75" customHeight="1">
      <c r="A5" s="394"/>
      <c r="B5" s="395"/>
      <c r="C5" s="396"/>
      <c r="D5" s="397"/>
      <c r="E5" s="211">
        <f>+SUBTOTAL(9,E6:E894)</f>
        <v>253830</v>
      </c>
      <c r="F5" s="398"/>
      <c r="H5" s="209"/>
    </row>
    <row r="6" spans="1:9" ht="21.75" customHeight="1">
      <c r="A6" s="212" t="s">
        <v>1133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1134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1136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1138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1139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1087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1140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1080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1126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1104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1141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1142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1143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1129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1081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1126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1231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1233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1234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1235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1112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1189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1105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813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1089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1023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1088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2" t="s">
        <v>1216</v>
      </c>
      <c r="B34" s="213" t="str">
        <f>IFERROR(VLOOKUP(A34,'Tổng,SUMMARY'!C:D,2,0),)</f>
        <v>KS-881047</v>
      </c>
      <c r="C34" s="343">
        <v>46301</v>
      </c>
      <c r="D34" s="214"/>
      <c r="E34" s="215">
        <v>2000</v>
      </c>
      <c r="F34" s="219"/>
    </row>
    <row r="35" spans="1:6" ht="21.75" customHeight="1">
      <c r="A35" s="218" t="s">
        <v>949</v>
      </c>
      <c r="B35" s="213" t="str">
        <f>IFERROR(VLOOKUP(A35,'Tổng,SUMMARY'!C:D,2,0),)</f>
        <v>KS-8809</v>
      </c>
      <c r="C35" s="343">
        <v>46301</v>
      </c>
      <c r="D35" s="214"/>
      <c r="E35" s="215">
        <v>3000</v>
      </c>
      <c r="F35" s="219"/>
    </row>
    <row r="36" spans="1:6" ht="21.75" customHeight="1">
      <c r="A36" s="218" t="s">
        <v>1271</v>
      </c>
      <c r="B36" s="213" t="str">
        <f>IFERROR(VLOOKUP(A36,'Tổng,SUMMARY'!C:D,2,0),)</f>
        <v>KS-880624</v>
      </c>
      <c r="C36" s="343">
        <v>46301</v>
      </c>
      <c r="D36" s="214"/>
      <c r="E36" s="215">
        <v>300</v>
      </c>
      <c r="F36" s="219"/>
    </row>
    <row r="37" spans="1:6" ht="21.75" customHeight="1">
      <c r="A37" s="212" t="s">
        <v>1273</v>
      </c>
      <c r="B37" s="213" t="str">
        <f>IFERROR(VLOOKUP(A37,'Tổng,SUMMARY'!C:D,2,0),)</f>
        <v>KS-870996</v>
      </c>
      <c r="C37" s="343">
        <v>46301</v>
      </c>
      <c r="D37" s="214"/>
      <c r="E37" s="215">
        <v>7000</v>
      </c>
      <c r="F37" s="219"/>
    </row>
    <row r="38" spans="1:6" ht="21.75" customHeight="1">
      <c r="A38" s="218" t="s">
        <v>1112</v>
      </c>
      <c r="B38" s="213" t="str">
        <f>IFERROR(VLOOKUP(A38,'Tổng,SUMMARY'!C:D,2,0),)</f>
        <v>KS-880944</v>
      </c>
      <c r="C38" s="343">
        <v>46302</v>
      </c>
      <c r="D38" s="214"/>
      <c r="E38" s="215">
        <v>7200</v>
      </c>
      <c r="F38" s="219"/>
    </row>
    <row r="39" spans="1:6" ht="21.75" customHeight="1">
      <c r="A39" s="212" t="s">
        <v>1105</v>
      </c>
      <c r="B39" s="213" t="str">
        <f>IFERROR(VLOOKUP(A39,'Tổng,SUMMARY'!C:D,2,0),)</f>
        <v>KS-880753</v>
      </c>
      <c r="C39" s="343">
        <v>46302</v>
      </c>
      <c r="D39" s="214"/>
      <c r="E39" s="215">
        <v>10800</v>
      </c>
      <c r="F39" s="219"/>
    </row>
    <row r="40" spans="1:6" ht="21.75" customHeight="1">
      <c r="A40" s="212" t="s">
        <v>1089</v>
      </c>
      <c r="B40" s="213" t="str">
        <f>IFERROR(VLOOKUP(A40,'Tổng,SUMMARY'!C:D,2,0),)</f>
        <v>KS-881362</v>
      </c>
      <c r="C40" s="343">
        <v>46302</v>
      </c>
      <c r="D40" s="214"/>
      <c r="E40" s="215">
        <v>3600</v>
      </c>
      <c r="F40" s="219"/>
    </row>
    <row r="41" spans="1:6" ht="21.75" customHeight="1">
      <c r="A41" s="212" t="s">
        <v>914</v>
      </c>
      <c r="B41" s="213" t="str">
        <f>IFERROR(VLOOKUP(A41,'Tổng,SUMMARY'!C:D,2,0),)</f>
        <v>KS-871382</v>
      </c>
      <c r="C41" s="343">
        <v>46302</v>
      </c>
      <c r="D41" s="214"/>
      <c r="E41" s="215">
        <v>3600</v>
      </c>
      <c r="F41" s="219"/>
    </row>
    <row r="42" spans="1:6" ht="21.75" customHeight="1">
      <c r="A42" s="212" t="s">
        <v>1088</v>
      </c>
      <c r="B42" s="213" t="str">
        <f>IFERROR(VLOOKUP(A42,'Tổng,SUMMARY'!C:D,2,0),)</f>
        <v>KS-881462</v>
      </c>
      <c r="C42" s="343">
        <v>46302</v>
      </c>
      <c r="D42" s="214"/>
      <c r="E42" s="215">
        <v>3600</v>
      </c>
      <c r="F42" s="219"/>
    </row>
    <row r="43" spans="1:6" ht="21.75" customHeight="1">
      <c r="A43" s="218" t="s">
        <v>1091</v>
      </c>
      <c r="B43" s="213" t="str">
        <f>IFERROR(VLOOKUP(A43,'Tổng,SUMMARY'!C:D,2,0),)</f>
        <v>KS-880374</v>
      </c>
      <c r="C43" s="343">
        <v>46302</v>
      </c>
      <c r="D43" s="214"/>
      <c r="E43" s="215">
        <v>7200</v>
      </c>
      <c r="F43" s="219"/>
    </row>
    <row r="44" spans="1:6" ht="21.75" customHeight="1">
      <c r="A44" s="212" t="s">
        <v>1277</v>
      </c>
      <c r="B44" s="213" t="str">
        <f>IFERROR(VLOOKUP(A44,'Tổng,SUMMARY'!C:D,2,0),)</f>
        <v>KS-871056</v>
      </c>
      <c r="C44" s="343">
        <v>46302</v>
      </c>
      <c r="D44" s="214"/>
      <c r="E44" s="215">
        <v>1000</v>
      </c>
      <c r="F44" s="219"/>
    </row>
    <row r="45" spans="1:6" ht="21.75" customHeight="1">
      <c r="A45" s="212" t="s">
        <v>1348</v>
      </c>
      <c r="B45" s="213" t="str">
        <f>IFERROR(VLOOKUP(A45,'Tổng,SUMMARY'!C:D,2,0),)</f>
        <v>KS-890209</v>
      </c>
      <c r="C45" s="343">
        <v>46303</v>
      </c>
      <c r="D45" s="214"/>
      <c r="E45" s="215">
        <v>270</v>
      </c>
      <c r="F45" s="219"/>
    </row>
    <row r="46" spans="1:6" ht="21.75" customHeight="1">
      <c r="A46" s="212" t="s">
        <v>1350</v>
      </c>
      <c r="B46" s="213" t="str">
        <f>IFERROR(VLOOKUP(A46,'Tổng,SUMMARY'!C:D,2,0),)</f>
        <v>KS-881483</v>
      </c>
      <c r="C46" s="343">
        <v>46303</v>
      </c>
      <c r="D46" s="214"/>
      <c r="E46" s="215">
        <v>3000</v>
      </c>
      <c r="F46" s="219"/>
    </row>
    <row r="47" spans="1:6" ht="21.75" customHeight="1">
      <c r="A47" s="212" t="s">
        <v>1351</v>
      </c>
      <c r="B47" s="213" t="str">
        <f>IFERROR(VLOOKUP(A47,'Tổng,SUMMARY'!C:D,2,0),)</f>
        <v>KS-890209</v>
      </c>
      <c r="C47" s="343">
        <v>46303</v>
      </c>
      <c r="D47" s="214"/>
      <c r="E47" s="215">
        <v>1320</v>
      </c>
      <c r="F47" s="219"/>
    </row>
    <row r="48" spans="1:6" ht="21.75" customHeight="1">
      <c r="A48" s="212" t="s">
        <v>1352</v>
      </c>
      <c r="B48" s="213" t="str">
        <f>IFERROR(VLOOKUP(A48,'Tổng,SUMMARY'!C:D,2,0),)</f>
        <v>KS-870582</v>
      </c>
      <c r="C48" s="343">
        <v>46303</v>
      </c>
      <c r="D48" s="214"/>
      <c r="E48" s="215">
        <v>100</v>
      </c>
      <c r="F48" s="219"/>
    </row>
    <row r="49" spans="1:6" ht="21.75" customHeight="1">
      <c r="A49" s="212" t="s">
        <v>1277</v>
      </c>
      <c r="B49" s="213" t="str">
        <f>IFERROR(VLOOKUP(A49,'Tổng,SUMMARY'!C:D,2,0),)</f>
        <v>KS-871056</v>
      </c>
      <c r="C49" s="343">
        <v>46303</v>
      </c>
      <c r="D49" s="214"/>
      <c r="E49" s="215">
        <v>1000</v>
      </c>
      <c r="F49" s="219"/>
    </row>
    <row r="50" spans="1:6" ht="21.75" customHeight="1">
      <c r="A50" s="218" t="s">
        <v>1353</v>
      </c>
      <c r="B50" s="213" t="str">
        <f>IFERROR(VLOOKUP(A50,'Tổng,SUMMARY'!C:D,2,0),)</f>
        <v>KS-89069</v>
      </c>
      <c r="C50" s="343">
        <v>46303</v>
      </c>
      <c r="D50" s="214"/>
      <c r="E50" s="215">
        <v>600</v>
      </c>
      <c r="F50" s="219"/>
    </row>
    <row r="51" spans="1:6" ht="21.75" customHeight="1">
      <c r="A51" s="212" t="s">
        <v>1355</v>
      </c>
      <c r="B51" s="213" t="str">
        <f>IFERROR(VLOOKUP(A51,'Tổng,SUMMARY'!C:D,2,0),)</f>
        <v>KS-881608</v>
      </c>
      <c r="C51" s="343">
        <v>46303</v>
      </c>
      <c r="D51" s="214"/>
      <c r="E51" s="215">
        <v>200</v>
      </c>
      <c r="F51" s="219"/>
    </row>
    <row r="52" spans="1:6" ht="21.75" customHeight="1">
      <c r="A52" s="218" t="s">
        <v>1356</v>
      </c>
      <c r="B52" s="213" t="str">
        <f>IFERROR(VLOOKUP(A52,'Tổng,SUMMARY'!C:D,2,0),)</f>
        <v>KS-881300</v>
      </c>
      <c r="C52" s="343">
        <v>46303</v>
      </c>
      <c r="D52" s="214"/>
      <c r="E52" s="215">
        <v>4000</v>
      </c>
      <c r="F52" s="219"/>
    </row>
    <row r="53" spans="1:6" ht="21.75" customHeight="1">
      <c r="A53" s="212" t="s">
        <v>1358</v>
      </c>
      <c r="B53" s="213" t="str">
        <f>IFERROR(VLOOKUP(A53,'Tổng,SUMMARY'!C:D,2,0),)</f>
        <v>KS-881487</v>
      </c>
      <c r="C53" s="343">
        <v>46303</v>
      </c>
      <c r="D53" s="214"/>
      <c r="E53" s="215">
        <v>1000</v>
      </c>
      <c r="F53" s="219"/>
    </row>
    <row r="54" spans="1:6" ht="21.75" customHeight="1">
      <c r="A54" s="212" t="s">
        <v>1360</v>
      </c>
      <c r="B54" s="213" t="str">
        <f>IFERROR(VLOOKUP(A54,'Tổng,SUMMARY'!C:D,2,0),)</f>
        <v>KS-881047</v>
      </c>
      <c r="C54" s="343">
        <v>46303</v>
      </c>
      <c r="D54" s="214"/>
      <c r="E54" s="215">
        <v>2000</v>
      </c>
      <c r="F54" s="219"/>
    </row>
    <row r="55" spans="1:6" ht="21.75" customHeight="1">
      <c r="A55" s="218" t="s">
        <v>1362</v>
      </c>
      <c r="B55" s="213" t="str">
        <f>IFERROR(VLOOKUP(A55,'Tổng,SUMMARY'!C:D,2,0),)</f>
        <v>KS-880959</v>
      </c>
      <c r="C55" s="343">
        <v>46303</v>
      </c>
      <c r="D55" s="214"/>
      <c r="E55" s="215">
        <v>10000</v>
      </c>
      <c r="F55" s="219"/>
    </row>
    <row r="56" spans="1:6" ht="21.75" customHeight="1">
      <c r="A56" s="218" t="s">
        <v>1177</v>
      </c>
      <c r="B56" s="213" t="str">
        <f>IFERROR(VLOOKUP(A56,'Tổng,SUMMARY'!C:D,2,0),)</f>
        <v>KS-880372</v>
      </c>
      <c r="C56" s="343">
        <v>46303</v>
      </c>
      <c r="D56" s="214"/>
      <c r="E56" s="215">
        <v>10000</v>
      </c>
      <c r="F56" s="219"/>
    </row>
    <row r="57" spans="1:6" ht="21.75" customHeight="1">
      <c r="A57" s="218" t="s">
        <v>1262</v>
      </c>
      <c r="B57" s="213" t="str">
        <f>IFERROR(VLOOKUP(A57,'Tổng,SUMMARY'!C:D,2,0),)</f>
        <v>KS-880754</v>
      </c>
      <c r="C57" s="343">
        <v>46303</v>
      </c>
      <c r="D57" s="214"/>
      <c r="E57" s="215">
        <v>900</v>
      </c>
      <c r="F57" s="219"/>
    </row>
    <row r="58" spans="1:6" ht="21.75" customHeight="1">
      <c r="A58" s="218" t="s">
        <v>1364</v>
      </c>
      <c r="B58" s="213" t="str">
        <f>IFERROR(VLOOKUP(A58,'Tổng,SUMMARY'!C:D,2,0),)</f>
        <v>KS-880400</v>
      </c>
      <c r="C58" s="343">
        <v>46303</v>
      </c>
      <c r="D58" s="214"/>
      <c r="E58" s="215">
        <v>400</v>
      </c>
      <c r="F58" s="219"/>
    </row>
    <row r="59" spans="1:6" ht="21.75" customHeight="1">
      <c r="A59" s="212" t="s">
        <v>1280</v>
      </c>
      <c r="B59" s="213" t="str">
        <f>IFERROR(VLOOKUP(A59,'Tổng,SUMMARY'!C:D,2,0),)</f>
        <v>KS-871056</v>
      </c>
      <c r="C59" s="343">
        <v>46303</v>
      </c>
      <c r="D59" s="214"/>
      <c r="E59" s="215">
        <v>1000</v>
      </c>
      <c r="F59" s="219"/>
    </row>
    <row r="60" spans="1:6" ht="21.75" customHeight="1">
      <c r="A60" s="212" t="s">
        <v>1365</v>
      </c>
      <c r="B60" s="213" t="str">
        <f>IFERROR(VLOOKUP(A60,'Tổng,SUMMARY'!C:D,2,0),)</f>
        <v>KS-870247</v>
      </c>
      <c r="C60" s="343">
        <v>46303</v>
      </c>
      <c r="D60" s="214"/>
      <c r="E60" s="215">
        <v>1400</v>
      </c>
      <c r="F60" s="219"/>
    </row>
    <row r="61" spans="1:6" ht="21.75" customHeight="1">
      <c r="A61" s="212" t="s">
        <v>1367</v>
      </c>
      <c r="B61" s="213" t="str">
        <f>IFERROR(VLOOKUP(A61,'Tổng,SUMMARY'!C:D,2,0),)</f>
        <v>KS-881057</v>
      </c>
      <c r="C61" s="343">
        <v>46303</v>
      </c>
      <c r="D61" s="214"/>
      <c r="E61" s="215">
        <v>2400</v>
      </c>
      <c r="F61" s="219"/>
    </row>
    <row r="62" spans="1:6" ht="21.75" customHeight="1">
      <c r="A62" s="212" t="s">
        <v>1368</v>
      </c>
      <c r="B62" s="213" t="str">
        <f>IFERROR(VLOOKUP(A62,'Tổng,SUMMARY'!C:D,2,0),)</f>
        <v>KS-870197</v>
      </c>
      <c r="C62" s="343">
        <v>46303</v>
      </c>
      <c r="D62" s="214"/>
      <c r="E62" s="212">
        <v>1500</v>
      </c>
      <c r="F62" s="219"/>
    </row>
    <row r="63" spans="1:6" ht="21.75" customHeight="1">
      <c r="A63" s="212" t="s">
        <v>1369</v>
      </c>
      <c r="B63" s="213" t="str">
        <f>IFERROR(VLOOKUP(A63,'Tổng,SUMMARY'!C:D,2,0),)</f>
        <v>KS-871270</v>
      </c>
      <c r="C63" s="343">
        <v>46303</v>
      </c>
      <c r="D63" s="214"/>
      <c r="E63" s="215">
        <v>500</v>
      </c>
      <c r="F63" s="219"/>
    </row>
    <row r="64" spans="1:6" ht="21.75" customHeight="1">
      <c r="A64" s="218" t="s">
        <v>1419</v>
      </c>
      <c r="B64" s="213" t="str">
        <f>IFERROR(VLOOKUP(A64,'Tổng,SUMMARY'!C:D,2,0),)</f>
        <v>KS-870317</v>
      </c>
      <c r="C64" s="343">
        <v>46304</v>
      </c>
      <c r="D64" s="214"/>
      <c r="E64" s="215">
        <v>400</v>
      </c>
      <c r="F64" s="219"/>
    </row>
    <row r="65" spans="1:6" ht="21.75" customHeight="1">
      <c r="A65" s="212" t="s">
        <v>1420</v>
      </c>
      <c r="B65" s="213" t="str">
        <f>IFERROR(VLOOKUP(A65,'Tổng,SUMMARY'!C:D,2,0),)</f>
        <v>KS-880120</v>
      </c>
      <c r="C65" s="343">
        <v>46304</v>
      </c>
      <c r="D65" s="214"/>
      <c r="E65" s="215">
        <v>300</v>
      </c>
      <c r="F65" s="219"/>
    </row>
    <row r="66" spans="1:6" ht="21.75" customHeight="1">
      <c r="A66" s="218" t="s">
        <v>1421</v>
      </c>
      <c r="B66" s="213" t="str">
        <f>IFERROR(VLOOKUP(A66,'Tổng,SUMMARY'!C:D,2,0),)</f>
        <v>KS-880355</v>
      </c>
      <c r="C66" s="343">
        <v>46304</v>
      </c>
      <c r="D66" s="214"/>
      <c r="E66" s="215">
        <v>300</v>
      </c>
      <c r="F66" s="219"/>
    </row>
    <row r="67" spans="1:6" ht="21.75" customHeight="1">
      <c r="A67" s="212" t="s">
        <v>1422</v>
      </c>
      <c r="B67" s="213" t="str">
        <f>IFERROR(VLOOKUP(A67,'Tổng,SUMMARY'!C:D,2,0),)</f>
        <v>KS-8809</v>
      </c>
      <c r="C67" s="343">
        <v>46304</v>
      </c>
      <c r="D67" s="214"/>
      <c r="E67" s="215">
        <v>1500</v>
      </c>
      <c r="F67" s="219"/>
    </row>
    <row r="68" spans="1:6" ht="21.75" customHeight="1">
      <c r="A68" s="212" t="s">
        <v>1423</v>
      </c>
      <c r="B68" s="213" t="str">
        <f>IFERROR(VLOOKUP(A68,'Tổng,SUMMARY'!C:D,2,0),)</f>
        <v>KS-88188</v>
      </c>
      <c r="C68" s="343">
        <v>46304</v>
      </c>
      <c r="D68" s="214"/>
      <c r="E68" s="215">
        <v>13600</v>
      </c>
      <c r="F68" s="219"/>
    </row>
    <row r="69" spans="1:6" ht="21.75" customHeight="1">
      <c r="A69" s="212" t="s">
        <v>1424</v>
      </c>
      <c r="B69" s="213" t="str">
        <f>IFERROR(VLOOKUP(A69,'Tổng,SUMMARY'!C:D,2,0),)</f>
        <v>KS-880104</v>
      </c>
      <c r="C69" s="343">
        <v>46304</v>
      </c>
      <c r="D69" s="214"/>
      <c r="E69" s="215">
        <v>1000</v>
      </c>
      <c r="F69" s="219"/>
    </row>
    <row r="70" spans="1:6" ht="21.75" customHeight="1">
      <c r="A70" s="218" t="s">
        <v>1425</v>
      </c>
      <c r="B70" s="213" t="str">
        <f>IFERROR(VLOOKUP(A70,'Tổng,SUMMARY'!C:D,2,0),)</f>
        <v>KS-880754</v>
      </c>
      <c r="C70" s="343">
        <v>46304</v>
      </c>
      <c r="D70" s="214"/>
      <c r="E70" s="215">
        <v>1000</v>
      </c>
      <c r="F70" s="219"/>
    </row>
    <row r="71" spans="1:6" ht="21.75" customHeight="1">
      <c r="A71" s="218" t="s">
        <v>1426</v>
      </c>
      <c r="B71" s="213" t="str">
        <f>IFERROR(VLOOKUP(A71,'Tổng,SUMMARY'!C:D,2,0),)</f>
        <v>KS-870247</v>
      </c>
      <c r="C71" s="343">
        <v>46304</v>
      </c>
      <c r="D71" s="214"/>
      <c r="E71" s="215">
        <v>400</v>
      </c>
      <c r="F71" s="219"/>
    </row>
    <row r="72" spans="1:6" ht="21.75" customHeight="1">
      <c r="A72" s="212" t="s">
        <v>1427</v>
      </c>
      <c r="B72" s="213" t="str">
        <f>IFERROR(VLOOKUP(A72,'Tổng,SUMMARY'!C:D,2,0),)</f>
        <v>KS-881232</v>
      </c>
      <c r="C72" s="343">
        <v>46304</v>
      </c>
      <c r="D72" s="343"/>
      <c r="E72" s="215">
        <v>100</v>
      </c>
      <c r="F72" s="219"/>
    </row>
    <row r="73" spans="1:6" ht="21.75" customHeight="1">
      <c r="A73" s="220" t="s">
        <v>1428</v>
      </c>
      <c r="B73" s="213" t="str">
        <f>IFERROR(VLOOKUP(A73,'Tổng,SUMMARY'!C:D,2,0),)</f>
        <v>KS-870953</v>
      </c>
      <c r="C73" s="343">
        <v>46304</v>
      </c>
      <c r="D73" s="214"/>
      <c r="E73" s="215">
        <v>200</v>
      </c>
      <c r="F73" s="219"/>
    </row>
    <row r="74" spans="1:6" ht="21.75" customHeight="1">
      <c r="A74" s="212" t="s">
        <v>1430</v>
      </c>
      <c r="B74" s="213" t="str">
        <f>IFERROR(VLOOKUP(A74,'Tổng,SUMMARY'!C:D,2,0),)</f>
        <v>KS-881163</v>
      </c>
      <c r="C74" s="343">
        <v>46304</v>
      </c>
      <c r="D74" s="214"/>
      <c r="E74" s="215">
        <v>1000</v>
      </c>
      <c r="F74" s="219"/>
    </row>
    <row r="75" spans="1:6" ht="21.75" customHeight="1">
      <c r="A75" s="212" t="s">
        <v>1423</v>
      </c>
      <c r="B75" s="213" t="str">
        <f>IFERROR(VLOOKUP(A75,'Tổng,SUMMARY'!C:D,2,0),)</f>
        <v>KS-88188</v>
      </c>
      <c r="C75" s="343">
        <v>46304</v>
      </c>
      <c r="D75" s="214"/>
      <c r="E75" s="215">
        <v>200</v>
      </c>
      <c r="F75" s="219"/>
    </row>
    <row r="76" spans="1:6" ht="21.75" customHeight="1">
      <c r="A76" s="218" t="s">
        <v>1432</v>
      </c>
      <c r="B76" s="213" t="str">
        <f>IFERROR(VLOOKUP(A76,'Tổng,SUMMARY'!C:D,2,0),)</f>
        <v>KS-880957</v>
      </c>
      <c r="C76" s="343">
        <v>46304</v>
      </c>
      <c r="D76" s="214"/>
      <c r="E76" s="215">
        <v>300</v>
      </c>
      <c r="F76" s="219"/>
    </row>
    <row r="77" spans="1:6" ht="21.75" customHeight="1">
      <c r="A77" s="218" t="s">
        <v>1112</v>
      </c>
      <c r="B77" s="213" t="str">
        <f>IFERROR(VLOOKUP(A77,'Tổng,SUMMARY'!C:D,2,0),)</f>
        <v>KS-880944</v>
      </c>
      <c r="C77" s="343">
        <v>46305</v>
      </c>
      <c r="D77" s="214"/>
      <c r="E77" s="215">
        <v>7200</v>
      </c>
      <c r="F77" s="219"/>
    </row>
    <row r="78" spans="1:6" ht="21.75" customHeight="1">
      <c r="A78" s="212" t="s">
        <v>75</v>
      </c>
      <c r="B78" s="213" t="str">
        <f>IFERROR(VLOOKUP(A78,'Tổng,SUMMARY'!C:D,2,0),)</f>
        <v>KS-881512</v>
      </c>
      <c r="C78" s="343">
        <v>46305</v>
      </c>
      <c r="D78" s="214"/>
      <c r="E78" s="215">
        <v>3600</v>
      </c>
      <c r="F78" s="219"/>
    </row>
    <row r="79" spans="1:6" ht="21.75" customHeight="1">
      <c r="A79" s="212" t="s">
        <v>1105</v>
      </c>
      <c r="B79" s="213" t="str">
        <f>IFERROR(VLOOKUP(A79,'Tổng,SUMMARY'!C:D,2,0),)</f>
        <v>KS-880753</v>
      </c>
      <c r="C79" s="343">
        <v>46305</v>
      </c>
      <c r="D79" s="214"/>
      <c r="E79" s="215">
        <v>7200</v>
      </c>
      <c r="F79" s="219"/>
    </row>
    <row r="80" spans="1:6" ht="21.75" customHeight="1">
      <c r="A80" s="218" t="s">
        <v>813</v>
      </c>
      <c r="B80" s="213" t="str">
        <f>IFERROR(VLOOKUP(A80,'Tổng,SUMMARY'!C:D,2,0),)</f>
        <v>KS-881041</v>
      </c>
      <c r="C80" s="343">
        <v>46305</v>
      </c>
      <c r="D80" s="214"/>
      <c r="E80" s="215">
        <v>3600</v>
      </c>
      <c r="F80" s="219"/>
    </row>
    <row r="81" spans="1:6" ht="21.75" customHeight="1">
      <c r="A81" s="212" t="s">
        <v>1089</v>
      </c>
      <c r="B81" s="213" t="str">
        <f>IFERROR(VLOOKUP(A81,'Tổng,SUMMARY'!C:D,2,0),)</f>
        <v>KS-881362</v>
      </c>
      <c r="C81" s="343">
        <v>46305</v>
      </c>
      <c r="D81" s="214"/>
      <c r="E81" s="215">
        <v>3600</v>
      </c>
      <c r="F81" s="219"/>
    </row>
    <row r="82" spans="1:6" ht="21.75" customHeight="1">
      <c r="A82" s="212" t="s">
        <v>1480</v>
      </c>
      <c r="B82" s="213" t="str">
        <f>IFERROR(VLOOKUP(A82,'Tổng,SUMMARY'!C:D,2,0),)</f>
        <v>KS-89069</v>
      </c>
      <c r="C82" s="343">
        <v>46305</v>
      </c>
      <c r="D82" s="214"/>
      <c r="E82" s="215">
        <v>2160</v>
      </c>
      <c r="F82" s="219"/>
    </row>
    <row r="83" spans="1:6" ht="21.75" customHeight="1">
      <c r="A83" s="212" t="s">
        <v>1481</v>
      </c>
      <c r="B83" s="213" t="str">
        <f>IFERROR(VLOOKUP(A83,'Tổng,SUMMARY'!C:D,2,0),)</f>
        <v>KS-871382</v>
      </c>
      <c r="C83" s="343">
        <v>46305</v>
      </c>
      <c r="D83" s="214"/>
      <c r="E83" s="215">
        <v>3600</v>
      </c>
      <c r="F83" s="219"/>
    </row>
    <row r="84" spans="1:6" ht="21.75" customHeight="1">
      <c r="A84" s="212" t="s">
        <v>1482</v>
      </c>
      <c r="B84" s="213" t="str">
        <f>IFERROR(VLOOKUP(A84,'Tổng,SUMMARY'!C:D,2,0),)</f>
        <v>KS-881462</v>
      </c>
      <c r="C84" s="343">
        <v>46305</v>
      </c>
      <c r="D84" s="214"/>
      <c r="E84" s="215">
        <v>7200</v>
      </c>
      <c r="F84" s="219"/>
    </row>
    <row r="85" spans="1:6" ht="21.75" customHeight="1">
      <c r="A85" s="212" t="s">
        <v>1483</v>
      </c>
      <c r="B85" s="213" t="str">
        <f>IFERROR(VLOOKUP(A85,'Tổng,SUMMARY'!C:D,2,0),)</f>
        <v>KS-880374</v>
      </c>
      <c r="C85" s="343">
        <v>46305</v>
      </c>
      <c r="D85" s="214"/>
      <c r="E85" s="215">
        <v>7200</v>
      </c>
      <c r="F85" s="219"/>
    </row>
    <row r="86" spans="1:6" ht="21.75" customHeight="1">
      <c r="A86" s="218" t="s">
        <v>1485</v>
      </c>
      <c r="B86" s="213" t="str">
        <f>IFERROR(VLOOKUP(A86,'Tổng,SUMMARY'!C:D,2,0),)</f>
        <v>KS-881080</v>
      </c>
      <c r="C86" s="343">
        <v>46307</v>
      </c>
      <c r="D86" s="214"/>
      <c r="E86" s="215">
        <v>1100</v>
      </c>
      <c r="F86" s="219"/>
    </row>
    <row r="87" spans="1:6" ht="21.75" customHeight="1">
      <c r="A87" s="212" t="s">
        <v>1502</v>
      </c>
      <c r="B87" s="213" t="str">
        <f>IFERROR(VLOOKUP(A87,'Tổng,SUMMARY'!C:D,2,0),)</f>
        <v>KS-880566</v>
      </c>
      <c r="C87" s="343">
        <v>46307</v>
      </c>
      <c r="D87" s="214"/>
      <c r="E87" s="351">
        <v>100</v>
      </c>
      <c r="F87" s="219"/>
    </row>
    <row r="88" spans="1:6" ht="21.75" customHeight="1">
      <c r="A88" s="218" t="s">
        <v>1504</v>
      </c>
      <c r="B88" s="213" t="str">
        <f>IFERROR(VLOOKUP(A88,'Tổng,SUMMARY'!C:D,2,0),)</f>
        <v>KS-871270</v>
      </c>
      <c r="C88" s="343">
        <v>46307</v>
      </c>
      <c r="D88" s="214"/>
      <c r="E88" s="351">
        <v>300</v>
      </c>
      <c r="F88" s="219"/>
    </row>
    <row r="89" spans="1:6" ht="21.75" customHeight="1">
      <c r="A89" s="218"/>
      <c r="B89" s="213">
        <f>IFERROR(VLOOKUP(A89,'Tổng,SUMMARY'!C:D,2,0),)</f>
        <v>0</v>
      </c>
      <c r="C89" s="343"/>
      <c r="D89" s="214"/>
      <c r="E89" s="215"/>
      <c r="F89" s="219"/>
    </row>
    <row r="90" spans="1:6" ht="21.75" customHeight="1">
      <c r="A90" s="218"/>
      <c r="B90" s="213">
        <f>IFERROR(VLOOKUP(A90,'Tổng,SUMMARY'!C:D,2,0),)</f>
        <v>0</v>
      </c>
      <c r="C90" s="343"/>
      <c r="D90" s="214"/>
      <c r="E90" s="215"/>
      <c r="F90" s="219"/>
    </row>
    <row r="91" spans="1:6" ht="21.75" customHeight="1">
      <c r="A91" s="222"/>
      <c r="B91" s="213">
        <f>IFERROR(VLOOKUP(A91,'Tổng,SUMMARY'!C:D,2,0),)</f>
        <v>0</v>
      </c>
      <c r="C91" s="343"/>
      <c r="D91" s="214"/>
      <c r="E91" s="215"/>
      <c r="F91" s="219"/>
    </row>
    <row r="92" spans="1:6" ht="21.75" customHeight="1">
      <c r="A92" s="212"/>
      <c r="B92" s="213">
        <f>IFERROR(VLOOKUP(A92,'Tổng,SUMMARY'!C:D,2,0),)</f>
        <v>0</v>
      </c>
      <c r="C92" s="343"/>
      <c r="D92" s="214"/>
      <c r="E92" s="215"/>
      <c r="F92" s="219"/>
    </row>
    <row r="93" spans="1:6" ht="21.75" customHeight="1">
      <c r="A93" s="212"/>
      <c r="B93" s="213">
        <f>IFERROR(VLOOKUP(A93,'Tổng,SUMMARY'!C:D,2,0),)</f>
        <v>0</v>
      </c>
      <c r="C93" s="343"/>
      <c r="D93" s="214"/>
      <c r="E93" s="215"/>
      <c r="F93" s="219"/>
    </row>
    <row r="94" spans="1:6" ht="21.75" customHeight="1">
      <c r="A94" s="212"/>
      <c r="B94" s="213">
        <f>IFERROR(VLOOKUP(A94,'Tổng,SUMMARY'!C:D,2,0),)</f>
        <v>0</v>
      </c>
      <c r="C94" s="343"/>
      <c r="D94" s="214"/>
      <c r="E94" s="215"/>
      <c r="F94" s="219"/>
    </row>
    <row r="95" spans="1:6" ht="21.75" customHeight="1">
      <c r="A95" s="212"/>
      <c r="B95" s="213">
        <f>IFERROR(VLOOKUP(A95,'Tổng,SUMMARY'!C:D,2,0),)</f>
        <v>0</v>
      </c>
      <c r="C95" s="343"/>
      <c r="D95" s="214"/>
      <c r="E95" s="215"/>
      <c r="F95" s="219"/>
    </row>
    <row r="96" spans="1:6" ht="21.75" customHeight="1">
      <c r="A96" s="218"/>
      <c r="B96" s="213">
        <f>IFERROR(VLOOKUP(A96,'Tổng,SUMMARY'!C:D,2,0),)</f>
        <v>0</v>
      </c>
      <c r="C96" s="343"/>
      <c r="D96" s="214"/>
      <c r="E96" s="215"/>
      <c r="F96" s="219"/>
    </row>
    <row r="97" spans="1:6" ht="21.75" customHeight="1">
      <c r="A97" s="218"/>
      <c r="B97" s="213">
        <f>IFERROR(VLOOKUP(A97,'Tổng,SUMMARY'!C:D,2,0),)</f>
        <v>0</v>
      </c>
      <c r="C97" s="343"/>
      <c r="D97" s="214"/>
      <c r="E97" s="215"/>
      <c r="F97" s="219"/>
    </row>
    <row r="98" spans="1:6" ht="21.75" customHeight="1">
      <c r="A98" s="212"/>
      <c r="B98" s="213">
        <f>IFERROR(VLOOKUP(A98,'Tổng,SUMMARY'!C:D,2,0),)</f>
        <v>0</v>
      </c>
      <c r="C98" s="343"/>
      <c r="D98" s="214"/>
      <c r="E98" s="215"/>
      <c r="F98" s="219"/>
    </row>
    <row r="99" spans="1:6" ht="21.75" customHeight="1">
      <c r="A99" s="212"/>
      <c r="B99" s="213">
        <f>IFERROR(VLOOKUP(A99,'Tổng,SUMMARY'!C:D,2,0),)</f>
        <v>0</v>
      </c>
      <c r="C99" s="343"/>
      <c r="D99" s="214"/>
      <c r="E99" s="215"/>
      <c r="F99" s="219"/>
    </row>
    <row r="100" spans="1:6" ht="21.75" customHeight="1">
      <c r="A100" s="212"/>
      <c r="B100" s="213">
        <f>IFERROR(VLOOKUP(A100,'Tổng,SUMMARY'!C:D,2,0),)</f>
        <v>0</v>
      </c>
      <c r="C100" s="343"/>
      <c r="D100" s="214"/>
      <c r="E100" s="215"/>
      <c r="F100" s="219"/>
    </row>
    <row r="101" spans="1:6" ht="21.75" customHeight="1">
      <c r="A101" s="212"/>
      <c r="B101" s="213">
        <f>IFERROR(VLOOKUP(A101,'Tổng,SUMMARY'!C:D,2,0),)</f>
        <v>0</v>
      </c>
      <c r="C101" s="343"/>
      <c r="D101" s="214"/>
      <c r="E101" s="215"/>
      <c r="F101" s="219"/>
    </row>
    <row r="102" spans="1:6" ht="21.75" customHeight="1">
      <c r="A102" s="212"/>
      <c r="B102" s="213">
        <f>IFERROR(VLOOKUP(A102,'Tổng,SUMMARY'!C:D,2,0),)</f>
        <v>0</v>
      </c>
      <c r="C102" s="343"/>
      <c r="D102" s="214"/>
      <c r="E102" s="215"/>
      <c r="F102" s="219"/>
    </row>
    <row r="103" spans="1:6" ht="21.75" customHeight="1">
      <c r="A103" s="220"/>
      <c r="B103" s="213">
        <f>IFERROR(VLOOKUP(A103,'Tổng,SUMMARY'!C:D,2,0),)</f>
        <v>0</v>
      </c>
      <c r="C103" s="343"/>
      <c r="D103" s="214"/>
      <c r="E103" s="215"/>
      <c r="F103" s="219"/>
    </row>
    <row r="104" spans="1:6" ht="21.75" customHeight="1">
      <c r="A104" s="218"/>
      <c r="B104" s="213">
        <f>IFERROR(VLOOKUP(A104,'Tổng,SUMMARY'!C:D,2,0),)</f>
        <v>0</v>
      </c>
      <c r="C104" s="343"/>
      <c r="D104" s="214"/>
      <c r="E104" s="215"/>
      <c r="F104" s="219"/>
    </row>
    <row r="105" spans="1:6" ht="21.75" customHeight="1">
      <c r="A105" s="220"/>
      <c r="B105" s="213">
        <f>IFERROR(VLOOKUP(A105,'Tổng,SUMMARY'!C:D,2,0),)</f>
        <v>0</v>
      </c>
      <c r="C105" s="343"/>
      <c r="D105" s="214"/>
      <c r="E105" s="215"/>
      <c r="F105" s="219"/>
    </row>
    <row r="106" spans="1:6" ht="21.75" customHeight="1">
      <c r="A106" s="212"/>
      <c r="B106" s="213">
        <f>IFERROR(VLOOKUP(A106,'Tổng,SUMMARY'!C:D,2,0),)</f>
        <v>0</v>
      </c>
      <c r="C106" s="343"/>
      <c r="D106" s="214"/>
      <c r="E106" s="215"/>
      <c r="F106" s="219"/>
    </row>
    <row r="107" spans="1:6" ht="21.75" customHeight="1">
      <c r="A107" s="218"/>
      <c r="B107" s="213">
        <f>IFERROR(VLOOKUP(A107,'Tổng,SUMMARY'!C:D,2,0),)</f>
        <v>0</v>
      </c>
      <c r="C107" s="343"/>
      <c r="D107" s="214"/>
      <c r="E107" s="215"/>
      <c r="F107" s="219"/>
    </row>
    <row r="108" spans="1:6" ht="21.75" customHeight="1">
      <c r="A108" s="218"/>
      <c r="B108" s="213">
        <f>IFERROR(VLOOKUP(A108,'Tổng,SUMMARY'!C:D,2,0),)</f>
        <v>0</v>
      </c>
      <c r="C108" s="343"/>
      <c r="D108" s="214"/>
      <c r="E108" s="215"/>
      <c r="F108" s="219"/>
    </row>
    <row r="109" spans="1:6" ht="21.75" customHeight="1">
      <c r="A109" s="218"/>
      <c r="B109" s="213">
        <f>IFERROR(VLOOKUP(A109,'Tổng,SUMMARY'!C:D,2,0),)</f>
        <v>0</v>
      </c>
      <c r="C109" s="343"/>
      <c r="D109" s="214"/>
      <c r="E109" s="215"/>
      <c r="F109" s="219"/>
    </row>
    <row r="110" spans="1:6" ht="21.75" customHeight="1">
      <c r="A110" s="222"/>
      <c r="B110" s="213">
        <f>IFERROR(VLOOKUP(A110,'Tổng,SUMMARY'!C:D,2,0),)</f>
        <v>0</v>
      </c>
      <c r="C110" s="343"/>
      <c r="D110" s="214"/>
      <c r="E110" s="215"/>
      <c r="F110" s="219"/>
    </row>
    <row r="111" spans="1:6" ht="21.75" customHeight="1">
      <c r="A111" s="218"/>
      <c r="B111" s="213">
        <f>IFERROR(VLOOKUP(A111,'Tổng,SUMMARY'!C:D,2,0),)</f>
        <v>0</v>
      </c>
      <c r="C111" s="343"/>
      <c r="D111" s="214"/>
      <c r="E111" s="215"/>
      <c r="F111" s="219"/>
    </row>
    <row r="112" spans="1:6" ht="21.75" customHeight="1">
      <c r="A112" s="218"/>
      <c r="B112" s="213">
        <f>IFERROR(VLOOKUP(A112,'Tổng,SUMMARY'!C:D,2,0),)</f>
        <v>0</v>
      </c>
      <c r="C112" s="343"/>
      <c r="D112" s="214"/>
      <c r="E112" s="215"/>
      <c r="F112" s="219"/>
    </row>
    <row r="113" spans="1:6" ht="21.75" customHeight="1">
      <c r="A113" s="220"/>
      <c r="B113" s="213">
        <f>IFERROR(VLOOKUP(A113,'Tổng,SUMMARY'!C:D,2,0),)</f>
        <v>0</v>
      </c>
      <c r="C113" s="343"/>
      <c r="D113" s="214"/>
      <c r="E113" s="215"/>
      <c r="F113" s="219"/>
    </row>
    <row r="114" spans="1:6" ht="21.75" customHeight="1">
      <c r="A114" s="220"/>
      <c r="B114" s="213">
        <f>IFERROR(VLOOKUP(A114,'Tổng,SUMMARY'!C:D,2,0),)</f>
        <v>0</v>
      </c>
      <c r="C114" s="343"/>
      <c r="D114" s="214"/>
      <c r="E114" s="215"/>
      <c r="F114" s="219"/>
    </row>
    <row r="115" spans="1:6" ht="21.75" customHeight="1">
      <c r="A115" s="220"/>
      <c r="B115" s="213">
        <f>IFERROR(VLOOKUP(A115,'Tổng,SUMMARY'!C:D,2,0),)</f>
        <v>0</v>
      </c>
      <c r="C115" s="343"/>
      <c r="D115" s="214"/>
      <c r="E115" s="215"/>
      <c r="F115" s="219"/>
    </row>
    <row r="116" spans="1:6" ht="21.75" customHeight="1">
      <c r="A116" s="220"/>
      <c r="B116" s="213">
        <f>IFERROR(VLOOKUP(A116,'Tổng,SUMMARY'!C:D,2,0),)</f>
        <v>0</v>
      </c>
      <c r="C116" s="343"/>
      <c r="D116" s="214"/>
      <c r="E116" s="215"/>
      <c r="F116" s="219"/>
    </row>
    <row r="117" spans="1:6" ht="21.75" customHeight="1">
      <c r="A117" s="220"/>
      <c r="B117" s="213">
        <f>IFERROR(VLOOKUP(A117,'Tổng,SUMMARY'!C:D,2,0),)</f>
        <v>0</v>
      </c>
      <c r="C117" s="343"/>
      <c r="D117" s="214"/>
      <c r="E117" s="215"/>
      <c r="F117" s="219"/>
    </row>
    <row r="118" spans="1:6" ht="21.75" customHeight="1">
      <c r="A118" s="220"/>
      <c r="B118" s="213">
        <f>IFERROR(VLOOKUP(A118,'Tổng,SUMMARY'!C:D,2,0),)</f>
        <v>0</v>
      </c>
      <c r="C118" s="343"/>
      <c r="D118" s="214"/>
      <c r="E118" s="215"/>
      <c r="F118" s="219"/>
    </row>
    <row r="119" spans="1:6" ht="21.75" customHeight="1">
      <c r="A119" s="222"/>
      <c r="B119" s="213">
        <f>IFERROR(VLOOKUP(A119,'Tổng,SUMMARY'!C:D,2,0),)</f>
        <v>0</v>
      </c>
      <c r="C119" s="343"/>
      <c r="D119" s="214"/>
      <c r="E119" s="215"/>
      <c r="F119" s="219"/>
    </row>
    <row r="120" spans="1:6" ht="21.75" customHeight="1">
      <c r="A120" s="212"/>
      <c r="B120" s="213">
        <f>IFERROR(VLOOKUP(A120,'Tổng,SUMMARY'!C:D,2,0),)</f>
        <v>0</v>
      </c>
      <c r="C120" s="343"/>
      <c r="D120" s="214"/>
      <c r="E120" s="215"/>
      <c r="F120" s="219"/>
    </row>
    <row r="121" spans="1:6" ht="21.75" customHeight="1">
      <c r="A121" s="220"/>
      <c r="B121" s="213">
        <f>IFERROR(VLOOKUP(A121,'Tổng,SUMMARY'!C:D,2,0),)</f>
        <v>0</v>
      </c>
      <c r="C121" s="344"/>
      <c r="D121" s="214"/>
      <c r="E121" s="215"/>
      <c r="F121" s="219"/>
    </row>
    <row r="122" spans="1:6" ht="21.75" customHeight="1">
      <c r="A122" s="220"/>
      <c r="B122" s="213">
        <f>IFERROR(VLOOKUP(A122,'Tổng,SUMMARY'!C:D,2,0),)</f>
        <v>0</v>
      </c>
      <c r="C122" s="344"/>
      <c r="D122" s="214"/>
      <c r="E122" s="215"/>
      <c r="F122" s="219"/>
    </row>
    <row r="123" spans="1:6" ht="21.75" customHeight="1">
      <c r="A123" s="220"/>
      <c r="B123" s="213">
        <f>IFERROR(VLOOKUP(A123,'Tổng,SUMMARY'!C:D,2,0),)</f>
        <v>0</v>
      </c>
      <c r="C123" s="344"/>
      <c r="D123" s="214"/>
      <c r="E123" s="215"/>
      <c r="F123" s="219"/>
    </row>
    <row r="124" spans="1:6" ht="21.75" customHeight="1">
      <c r="A124" s="220"/>
      <c r="B124" s="213">
        <f>IFERROR(VLOOKUP(A124,'Tổng,SUMMARY'!C:D,2,0),)</f>
        <v>0</v>
      </c>
      <c r="C124" s="344"/>
      <c r="D124" s="214"/>
      <c r="E124" s="215"/>
      <c r="F124" s="219"/>
    </row>
    <row r="125" spans="1:6" ht="21.75" customHeight="1">
      <c r="A125" s="220"/>
      <c r="B125" s="213">
        <f>IFERROR(VLOOKUP(A125,'Tổng,SUMMARY'!C:D,2,0),)</f>
        <v>0</v>
      </c>
      <c r="C125" s="344"/>
      <c r="D125" s="214"/>
      <c r="E125" s="215"/>
      <c r="F125" s="219"/>
    </row>
    <row r="126" spans="1:6" ht="21.75" customHeight="1">
      <c r="A126" s="212"/>
      <c r="B126" s="213">
        <f>IFERROR(VLOOKUP(A126,'Tổng,SUMMARY'!C:D,2,0),)</f>
        <v>0</v>
      </c>
      <c r="C126" s="344"/>
      <c r="D126" s="214"/>
      <c r="E126" s="215"/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230" activePane="bottomLeft" state="frozen"/>
      <selection pane="bottomLeft" activeCell="M237" sqref="M237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399" t="s">
        <v>1151</v>
      </c>
      <c r="C1" s="400"/>
      <c r="D1" s="401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105"/>
      <c r="T1" s="106"/>
    </row>
    <row r="2" spans="1:38" ht="20.25" customHeight="1">
      <c r="B2" s="402">
        <v>46307</v>
      </c>
      <c r="C2" s="402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09" t="s">
        <v>516</v>
      </c>
      <c r="C3" s="411" t="s">
        <v>517</v>
      </c>
      <c r="D3" s="420" t="s">
        <v>518</v>
      </c>
      <c r="E3" s="411" t="s">
        <v>519</v>
      </c>
      <c r="F3" s="411" t="s">
        <v>520</v>
      </c>
      <c r="G3" s="411" t="s">
        <v>521</v>
      </c>
      <c r="H3" s="427" t="s">
        <v>522</v>
      </c>
      <c r="I3" s="427" t="s">
        <v>523</v>
      </c>
      <c r="J3" s="429" t="s">
        <v>1209</v>
      </c>
      <c r="K3" s="413" t="s">
        <v>524</v>
      </c>
      <c r="L3" s="403" t="s">
        <v>525</v>
      </c>
      <c r="M3" s="404"/>
      <c r="N3" s="404"/>
      <c r="O3" s="404"/>
      <c r="P3" s="405"/>
      <c r="Q3" s="415" t="s">
        <v>526</v>
      </c>
      <c r="R3" s="417"/>
      <c r="S3" s="422" t="s">
        <v>527</v>
      </c>
      <c r="T3" s="424"/>
      <c r="U3" s="110"/>
    </row>
    <row r="4" spans="1:38" s="91" customFormat="1" ht="42.75" customHeight="1">
      <c r="A4" s="96"/>
      <c r="B4" s="410"/>
      <c r="C4" s="412"/>
      <c r="D4" s="421"/>
      <c r="E4" s="412"/>
      <c r="F4" s="412"/>
      <c r="G4" s="412"/>
      <c r="H4" s="428"/>
      <c r="I4" s="428"/>
      <c r="J4" s="430"/>
      <c r="K4" s="414"/>
      <c r="L4" s="111" t="s">
        <v>528</v>
      </c>
      <c r="M4" s="111" t="s">
        <v>529</v>
      </c>
      <c r="N4" s="111" t="s">
        <v>530</v>
      </c>
      <c r="O4" s="111" t="s">
        <v>531</v>
      </c>
      <c r="P4" s="112"/>
      <c r="Q4" s="416"/>
      <c r="R4" s="418"/>
      <c r="S4" s="423"/>
      <c r="T4" s="424"/>
      <c r="U4" s="113"/>
      <c r="V4" s="425"/>
      <c r="W4" s="91" t="s">
        <v>532</v>
      </c>
    </row>
    <row r="5" spans="1:38" s="91" customFormat="1" ht="25.5" hidden="1" customHeight="1">
      <c r="A5" s="96"/>
      <c r="B5" s="114" t="s">
        <v>533</v>
      </c>
      <c r="C5" s="115" t="s">
        <v>169</v>
      </c>
      <c r="D5" s="116" t="s">
        <v>170</v>
      </c>
      <c r="E5" s="115"/>
      <c r="F5" s="117">
        <v>125140</v>
      </c>
      <c r="G5" s="115" t="s">
        <v>534</v>
      </c>
      <c r="H5" s="336" t="s">
        <v>535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25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533</v>
      </c>
      <c r="C6" s="115" t="s">
        <v>243</v>
      </c>
      <c r="D6" s="116" t="s">
        <v>244</v>
      </c>
      <c r="E6" s="115" t="s">
        <v>536</v>
      </c>
      <c r="F6" s="117" t="s">
        <v>537</v>
      </c>
      <c r="G6" s="115" t="s">
        <v>534</v>
      </c>
      <c r="H6" s="336" t="s">
        <v>538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533</v>
      </c>
      <c r="C7" s="115" t="s">
        <v>1144</v>
      </c>
      <c r="D7" s="116" t="s">
        <v>50</v>
      </c>
      <c r="E7" s="115" t="s">
        <v>539</v>
      </c>
      <c r="F7" s="117" t="s">
        <v>540</v>
      </c>
      <c r="G7" s="115" t="s">
        <v>534</v>
      </c>
      <c r="H7" s="336" t="s">
        <v>538</v>
      </c>
      <c r="I7" s="336" t="s">
        <v>541</v>
      </c>
      <c r="J7" s="130">
        <v>0</v>
      </c>
      <c r="K7" s="119">
        <f>+SUMIF('Nhập kho  입'!A:A,C7,'Nhập kho  입'!E:E)</f>
        <v>10500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10500</v>
      </c>
      <c r="R7" s="125"/>
      <c r="S7" s="125"/>
      <c r="T7" s="126">
        <f t="shared" si="0"/>
        <v>-10500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533</v>
      </c>
      <c r="C8" s="115" t="s">
        <v>902</v>
      </c>
      <c r="D8" s="134" t="s">
        <v>50</v>
      </c>
      <c r="E8" s="115" t="s">
        <v>542</v>
      </c>
      <c r="F8" s="117" t="s">
        <v>540</v>
      </c>
      <c r="G8" s="115" t="s">
        <v>534</v>
      </c>
      <c r="H8" s="336" t="s">
        <v>538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533</v>
      </c>
      <c r="C9" s="115" t="s">
        <v>338</v>
      </c>
      <c r="D9" s="134" t="s">
        <v>339</v>
      </c>
      <c r="E9" s="115" t="s">
        <v>543</v>
      </c>
      <c r="F9" s="117">
        <v>120150</v>
      </c>
      <c r="G9" s="115" t="s">
        <v>534</v>
      </c>
      <c r="H9" s="336" t="s">
        <v>544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533</v>
      </c>
      <c r="C10" s="115" t="s">
        <v>423</v>
      </c>
      <c r="D10" s="134" t="s">
        <v>424</v>
      </c>
      <c r="E10" s="115" t="s">
        <v>542</v>
      </c>
      <c r="F10" s="117"/>
      <c r="G10" s="115" t="s">
        <v>534</v>
      </c>
      <c r="H10" s="336" t="s">
        <v>538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533</v>
      </c>
      <c r="C11" s="115" t="s">
        <v>354</v>
      </c>
      <c r="D11" s="134" t="s">
        <v>355</v>
      </c>
      <c r="E11" s="115" t="s">
        <v>545</v>
      </c>
      <c r="F11" s="115" t="s">
        <v>537</v>
      </c>
      <c r="G11" s="115" t="s">
        <v>534</v>
      </c>
      <c r="H11" s="336" t="s">
        <v>546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533</v>
      </c>
      <c r="C12" s="115" t="s">
        <v>861</v>
      </c>
      <c r="D12" s="134" t="s">
        <v>859</v>
      </c>
      <c r="E12" s="115" t="s">
        <v>547</v>
      </c>
      <c r="F12" s="115" t="s">
        <v>548</v>
      </c>
      <c r="G12" s="115" t="s">
        <v>549</v>
      </c>
      <c r="H12" s="336" t="s">
        <v>550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533</v>
      </c>
      <c r="C13" s="115" t="s">
        <v>869</v>
      </c>
      <c r="D13" s="116" t="s">
        <v>178</v>
      </c>
      <c r="E13" s="115" t="s">
        <v>551</v>
      </c>
      <c r="F13" s="117" t="s">
        <v>540</v>
      </c>
      <c r="G13" s="115" t="s">
        <v>549</v>
      </c>
      <c r="H13" s="336" t="s">
        <v>552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0</v>
      </c>
      <c r="M13" s="121"/>
      <c r="N13" s="131"/>
      <c r="O13" s="123">
        <v>0</v>
      </c>
      <c r="P13" s="123"/>
      <c r="Q13" s="132">
        <f t="shared" si="1"/>
        <v>4700</v>
      </c>
      <c r="R13" s="125">
        <f>200+3500</f>
        <v>3700</v>
      </c>
      <c r="S13" s="125"/>
      <c r="T13" s="126">
        <f t="shared" si="0"/>
        <v>-1000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533</v>
      </c>
      <c r="C14" s="137" t="s">
        <v>1175</v>
      </c>
      <c r="D14" s="138" t="s">
        <v>297</v>
      </c>
      <c r="E14" s="115" t="s">
        <v>553</v>
      </c>
      <c r="F14" s="137" t="s">
        <v>537</v>
      </c>
      <c r="G14" s="137" t="s">
        <v>534</v>
      </c>
      <c r="H14" s="336" t="s">
        <v>544</v>
      </c>
      <c r="I14" s="137"/>
      <c r="J14" s="130">
        <v>0</v>
      </c>
      <c r="K14" s="119">
        <f>+SUMIF('Nhập kho  입'!A:A,C14,'Nhập kho  입'!E:E)</f>
        <v>8400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8400</v>
      </c>
      <c r="R14" s="125"/>
      <c r="S14" s="125"/>
      <c r="T14" s="126">
        <f t="shared" si="0"/>
        <v>-8400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533</v>
      </c>
      <c r="C15" s="115" t="s">
        <v>279</v>
      </c>
      <c r="D15" s="134" t="s">
        <v>280</v>
      </c>
      <c r="E15" s="115" t="s">
        <v>542</v>
      </c>
      <c r="F15" s="117" t="s">
        <v>537</v>
      </c>
      <c r="G15" s="115" t="s">
        <v>534</v>
      </c>
      <c r="H15" s="336" t="s">
        <v>552</v>
      </c>
      <c r="I15" s="115"/>
      <c r="J15" s="130">
        <v>2400</v>
      </c>
      <c r="K15" s="119">
        <f>+SUMIF('Nhập kho  입'!A:A,C15,'Nhập kho  입'!E:E)</f>
        <v>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2400</v>
      </c>
      <c r="R15" s="125">
        <f>39*50+9*50</f>
        <v>2400</v>
      </c>
      <c r="S15" s="125"/>
      <c r="T15" s="126">
        <f t="shared" si="0"/>
        <v>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533</v>
      </c>
      <c r="C16" s="115" t="s">
        <v>281</v>
      </c>
      <c r="D16" s="134" t="s">
        <v>280</v>
      </c>
      <c r="E16" s="115" t="s">
        <v>554</v>
      </c>
      <c r="F16" s="117"/>
      <c r="G16" s="115" t="s">
        <v>534</v>
      </c>
      <c r="H16" s="336" t="s">
        <v>552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533</v>
      </c>
      <c r="C17" s="115" t="s">
        <v>282</v>
      </c>
      <c r="D17" s="116" t="s">
        <v>280</v>
      </c>
      <c r="E17" s="115"/>
      <c r="F17" s="117"/>
      <c r="G17" s="115" t="s">
        <v>534</v>
      </c>
      <c r="H17" s="336" t="s">
        <v>552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533</v>
      </c>
      <c r="C18" s="115" t="s">
        <v>918</v>
      </c>
      <c r="D18" s="116" t="s">
        <v>919</v>
      </c>
      <c r="E18" s="115" t="s">
        <v>555</v>
      </c>
      <c r="F18" s="115">
        <v>125150</v>
      </c>
      <c r="G18" s="115" t="s">
        <v>534</v>
      </c>
      <c r="H18" s="336" t="s">
        <v>552</v>
      </c>
      <c r="I18" s="336" t="s">
        <v>556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533</v>
      </c>
      <c r="C19" s="115" t="s">
        <v>895</v>
      </c>
      <c r="D19" s="134" t="s">
        <v>893</v>
      </c>
      <c r="E19" s="115" t="s">
        <v>557</v>
      </c>
      <c r="F19" s="117" t="s">
        <v>537</v>
      </c>
      <c r="G19" s="115" t="s">
        <v>534</v>
      </c>
      <c r="H19" s="336" t="s">
        <v>552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533</v>
      </c>
      <c r="C20" s="115" t="s">
        <v>230</v>
      </c>
      <c r="D20" s="134" t="s">
        <v>231</v>
      </c>
      <c r="E20" s="115"/>
      <c r="F20" s="117" t="s">
        <v>558</v>
      </c>
      <c r="G20" s="115" t="s">
        <v>534</v>
      </c>
      <c r="H20" s="336" t="s">
        <v>544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533</v>
      </c>
      <c r="C21" s="115" t="s">
        <v>1174</v>
      </c>
      <c r="D21" s="116" t="s">
        <v>47</v>
      </c>
      <c r="E21" s="115" t="s">
        <v>559</v>
      </c>
      <c r="F21" s="115" t="s">
        <v>540</v>
      </c>
      <c r="G21" s="115" t="s">
        <v>534</v>
      </c>
      <c r="H21" s="336" t="s">
        <v>552</v>
      </c>
      <c r="I21" s="336" t="s">
        <v>541</v>
      </c>
      <c r="J21" s="130">
        <v>750</v>
      </c>
      <c r="K21" s="119">
        <f>+SUMIF('Nhập kho  입'!A:A,C21,'Nhập kho  입'!E:E)</f>
        <v>2850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3600</v>
      </c>
      <c r="R21" s="125">
        <f>15*50</f>
        <v>750</v>
      </c>
      <c r="S21" s="125"/>
      <c r="T21" s="126">
        <f t="shared" si="0"/>
        <v>-2850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533</v>
      </c>
      <c r="C22" s="115" t="s">
        <v>1107</v>
      </c>
      <c r="D22" s="134" t="s">
        <v>47</v>
      </c>
      <c r="E22" s="115" t="s">
        <v>560</v>
      </c>
      <c r="F22" s="117" t="s">
        <v>540</v>
      </c>
      <c r="G22" s="115" t="s">
        <v>534</v>
      </c>
      <c r="H22" s="336" t="s">
        <v>552</v>
      </c>
      <c r="I22" s="115"/>
      <c r="J22" s="130">
        <v>1750</v>
      </c>
      <c r="K22" s="119">
        <f>+SUMIF('Nhập kho  입'!A:A,C22,'Nhập kho  입'!E:E)</f>
        <v>3600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5350</v>
      </c>
      <c r="R22" s="125">
        <f>35*50</f>
        <v>1750</v>
      </c>
      <c r="S22" s="125"/>
      <c r="T22" s="126">
        <f t="shared" si="0"/>
        <v>-3600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533</v>
      </c>
      <c r="C23" s="115" t="s">
        <v>790</v>
      </c>
      <c r="D23" s="134" t="s">
        <v>265</v>
      </c>
      <c r="E23" s="115" t="s">
        <v>561</v>
      </c>
      <c r="F23" s="117" t="s">
        <v>537</v>
      </c>
      <c r="G23" s="115" t="s">
        <v>562</v>
      </c>
      <c r="H23" s="336" t="s">
        <v>546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533</v>
      </c>
      <c r="C24" s="115" t="s">
        <v>266</v>
      </c>
      <c r="D24" s="134" t="s">
        <v>265</v>
      </c>
      <c r="E24" s="115" t="s">
        <v>563</v>
      </c>
      <c r="F24" s="115" t="s">
        <v>537</v>
      </c>
      <c r="G24" s="115" t="s">
        <v>562</v>
      </c>
      <c r="H24" s="336" t="s">
        <v>552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533</v>
      </c>
      <c r="C25" s="115" t="s">
        <v>259</v>
      </c>
      <c r="D25" s="134" t="s">
        <v>260</v>
      </c>
      <c r="E25" s="115" t="s">
        <v>564</v>
      </c>
      <c r="F25" s="115" t="s">
        <v>537</v>
      </c>
      <c r="G25" s="115" t="s">
        <v>562</v>
      </c>
      <c r="H25" s="336" t="s">
        <v>552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533</v>
      </c>
      <c r="C26" s="115" t="s">
        <v>261</v>
      </c>
      <c r="D26" s="116" t="s">
        <v>260</v>
      </c>
      <c r="E26" s="115"/>
      <c r="F26" s="117" t="s">
        <v>540</v>
      </c>
      <c r="G26" s="140" t="s">
        <v>562</v>
      </c>
      <c r="H26" s="336" t="s">
        <v>552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533</v>
      </c>
      <c r="C27" s="140" t="s">
        <v>1368</v>
      </c>
      <c r="D27" s="141" t="s">
        <v>419</v>
      </c>
      <c r="E27" s="115" t="s">
        <v>561</v>
      </c>
      <c r="F27" s="115"/>
      <c r="G27" s="115" t="s">
        <v>562</v>
      </c>
      <c r="H27" s="336" t="s">
        <v>552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1500</v>
      </c>
      <c r="M27" s="121"/>
      <c r="N27" s="131"/>
      <c r="O27" s="123">
        <v>0</v>
      </c>
      <c r="P27" s="123"/>
      <c r="Q27" s="132">
        <f t="shared" si="1"/>
        <v>1400</v>
      </c>
      <c r="R27" s="125">
        <f>56*50</f>
        <v>2800</v>
      </c>
      <c r="S27" s="125"/>
      <c r="T27" s="126">
        <f t="shared" si="0"/>
        <v>1400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533</v>
      </c>
      <c r="C28" s="140" t="s">
        <v>220</v>
      </c>
      <c r="D28" s="141" t="s">
        <v>221</v>
      </c>
      <c r="E28" s="115" t="s">
        <v>565</v>
      </c>
      <c r="F28" s="115" t="s">
        <v>540</v>
      </c>
      <c r="G28" s="115" t="s">
        <v>549</v>
      </c>
      <c r="H28" s="336" t="s">
        <v>552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533</v>
      </c>
      <c r="C29" s="140" t="s">
        <v>827</v>
      </c>
      <c r="D29" s="141" t="s">
        <v>233</v>
      </c>
      <c r="E29" s="115" t="s">
        <v>566</v>
      </c>
      <c r="F29" s="115" t="s">
        <v>537</v>
      </c>
      <c r="G29" s="115" t="s">
        <v>534</v>
      </c>
      <c r="H29" s="336" t="s">
        <v>552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533</v>
      </c>
      <c r="C30" s="140" t="s">
        <v>234</v>
      </c>
      <c r="D30" s="141" t="s">
        <v>233</v>
      </c>
      <c r="E30" s="115" t="s">
        <v>567</v>
      </c>
      <c r="F30" s="115"/>
      <c r="G30" s="115" t="s">
        <v>534</v>
      </c>
      <c r="H30" s="336" t="s">
        <v>552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customHeight="1">
      <c r="A31" s="96"/>
      <c r="B31" s="114" t="s">
        <v>533</v>
      </c>
      <c r="C31" s="140" t="s">
        <v>1354</v>
      </c>
      <c r="D31" s="141" t="s">
        <v>1305</v>
      </c>
      <c r="E31" s="115" t="s">
        <v>1307</v>
      </c>
      <c r="F31" s="142" t="s">
        <v>540</v>
      </c>
      <c r="G31" s="140" t="s">
        <v>534</v>
      </c>
      <c r="H31" s="336" t="s">
        <v>552</v>
      </c>
      <c r="I31" s="115"/>
      <c r="J31" s="130">
        <v>0</v>
      </c>
      <c r="K31" s="119">
        <f>+SUMIF('Nhập kho  입'!A:A,C31,'Nhập kho  입'!E:E)</f>
        <v>500</v>
      </c>
      <c r="L31" s="120">
        <f>+SUMIF(' Xuất kho 출'!A:A,C31,' Xuất kho 출'!E:E)</f>
        <v>200</v>
      </c>
      <c r="M31" s="121"/>
      <c r="N31" s="131"/>
      <c r="O31" s="123">
        <v>0</v>
      </c>
      <c r="P31" s="123"/>
      <c r="Q31" s="132">
        <f t="shared" si="1"/>
        <v>300</v>
      </c>
      <c r="R31" s="125"/>
      <c r="S31" s="135"/>
      <c r="T31" s="126">
        <f t="shared" si="0"/>
        <v>-300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533</v>
      </c>
      <c r="C32" s="140" t="s">
        <v>350</v>
      </c>
      <c r="D32" s="141" t="s">
        <v>351</v>
      </c>
      <c r="E32" s="115" t="s">
        <v>566</v>
      </c>
      <c r="F32" s="142"/>
      <c r="G32" s="115" t="s">
        <v>534</v>
      </c>
      <c r="H32" s="336" t="s">
        <v>552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533</v>
      </c>
      <c r="C33" s="140" t="s">
        <v>1287</v>
      </c>
      <c r="D33" s="141" t="s">
        <v>228</v>
      </c>
      <c r="E33" s="115" t="s">
        <v>568</v>
      </c>
      <c r="F33" s="142" t="s">
        <v>537</v>
      </c>
      <c r="G33" s="115" t="s">
        <v>562</v>
      </c>
      <c r="H33" s="336" t="s">
        <v>552</v>
      </c>
      <c r="I33" s="115"/>
      <c r="J33" s="130">
        <v>300</v>
      </c>
      <c r="K33" s="119">
        <f>+SUMIF('Nhập kho  입'!A:A,C33,'Nhập kho  입'!E:E)</f>
        <v>5200</v>
      </c>
      <c r="L33" s="120">
        <f>+SUMIF(' Xuất kho 출'!A:A,C33,' Xuất kho 출'!E:E)</f>
        <v>1800</v>
      </c>
      <c r="M33" s="121"/>
      <c r="N33" s="131"/>
      <c r="O33" s="123">
        <v>0</v>
      </c>
      <c r="P33" s="123"/>
      <c r="Q33" s="132">
        <f t="shared" si="1"/>
        <v>3700</v>
      </c>
      <c r="R33" s="125">
        <f>6*50</f>
        <v>300</v>
      </c>
      <c r="S33" s="135"/>
      <c r="T33" s="126">
        <f t="shared" si="0"/>
        <v>-3400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533</v>
      </c>
      <c r="C34" s="140" t="s">
        <v>229</v>
      </c>
      <c r="D34" s="141" t="s">
        <v>228</v>
      </c>
      <c r="E34" s="115" t="s">
        <v>551</v>
      </c>
      <c r="F34" s="142" t="s">
        <v>537</v>
      </c>
      <c r="G34" s="140" t="s">
        <v>562</v>
      </c>
      <c r="H34" s="336" t="s">
        <v>552</v>
      </c>
      <c r="I34" s="115"/>
      <c r="J34" s="130">
        <v>50</v>
      </c>
      <c r="K34" s="119">
        <f>+SUMIF('Nhập kho  입'!A:A,C34,'Nhập kho  입'!E:E)</f>
        <v>1100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1150</v>
      </c>
      <c r="R34" s="125">
        <v>50</v>
      </c>
      <c r="S34" s="135"/>
      <c r="T34" s="126">
        <f t="shared" si="0"/>
        <v>-1100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hidden="1" customHeight="1">
      <c r="A35" s="96"/>
      <c r="B35" s="114" t="s">
        <v>533</v>
      </c>
      <c r="C35" s="140" t="s">
        <v>988</v>
      </c>
      <c r="D35" s="141" t="s">
        <v>394</v>
      </c>
      <c r="E35" s="115" t="s">
        <v>561</v>
      </c>
      <c r="F35" s="142"/>
      <c r="G35" s="140"/>
      <c r="H35" s="336" t="s">
        <v>552</v>
      </c>
      <c r="I35" s="140"/>
      <c r="J35" s="130">
        <v>0</v>
      </c>
      <c r="K35" s="119">
        <f>+SUMIF('Nhập kho  입'!A:A,C35,'Nhập kho  입'!E:E)</f>
        <v>0</v>
      </c>
      <c r="L35" s="120">
        <f>+SUMIF(' Xuất kho 출'!A:A,C35,' Xuất kho 출'!E:E)</f>
        <v>0</v>
      </c>
      <c r="M35" s="121"/>
      <c r="N35" s="131"/>
      <c r="O35" s="123">
        <v>0</v>
      </c>
      <c r="P35" s="123"/>
      <c r="Q35" s="132">
        <f t="shared" si="1"/>
        <v>0</v>
      </c>
      <c r="R35" s="125">
        <v>50</v>
      </c>
      <c r="S35" s="125"/>
      <c r="T35" s="126">
        <f t="shared" si="0"/>
        <v>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533</v>
      </c>
      <c r="C36" s="140" t="s">
        <v>406</v>
      </c>
      <c r="D36" s="141" t="s">
        <v>394</v>
      </c>
      <c r="E36" s="115" t="s">
        <v>569</v>
      </c>
      <c r="F36" s="142"/>
      <c r="G36" s="140" t="s">
        <v>562</v>
      </c>
      <c r="H36" s="336" t="s">
        <v>552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533</v>
      </c>
      <c r="C37" s="140" t="s">
        <v>405</v>
      </c>
      <c r="D37" s="141" t="s">
        <v>394</v>
      </c>
      <c r="E37" s="115" t="s">
        <v>570</v>
      </c>
      <c r="F37" s="142"/>
      <c r="G37" s="140" t="s">
        <v>562</v>
      </c>
      <c r="H37" s="336" t="s">
        <v>552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533</v>
      </c>
      <c r="C38" s="140" t="s">
        <v>1135</v>
      </c>
      <c r="D38" s="141" t="s">
        <v>392</v>
      </c>
      <c r="E38" s="115" t="s">
        <v>566</v>
      </c>
      <c r="F38" s="140"/>
      <c r="G38" s="140" t="s">
        <v>534</v>
      </c>
      <c r="H38" s="336" t="s">
        <v>552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533</v>
      </c>
      <c r="C39" s="140" t="s">
        <v>316</v>
      </c>
      <c r="D39" s="141" t="s">
        <v>317</v>
      </c>
      <c r="E39" s="115" t="s">
        <v>564</v>
      </c>
      <c r="F39" s="140" t="s">
        <v>537</v>
      </c>
      <c r="G39" s="140" t="s">
        <v>562</v>
      </c>
      <c r="H39" s="336" t="s">
        <v>552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533</v>
      </c>
      <c r="C40" s="140" t="s">
        <v>952</v>
      </c>
      <c r="D40" s="141" t="s">
        <v>954</v>
      </c>
      <c r="E40" s="115" t="s">
        <v>571</v>
      </c>
      <c r="F40" s="140" t="s">
        <v>540</v>
      </c>
      <c r="G40" s="140" t="s">
        <v>534</v>
      </c>
      <c r="H40" s="336" t="s">
        <v>552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533</v>
      </c>
      <c r="C41" s="140" t="s">
        <v>319</v>
      </c>
      <c r="D41" s="141" t="s">
        <v>317</v>
      </c>
      <c r="E41" s="115" t="s">
        <v>561</v>
      </c>
      <c r="F41" s="140"/>
      <c r="G41" s="140" t="s">
        <v>534</v>
      </c>
      <c r="H41" s="336" t="s">
        <v>552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572</v>
      </c>
      <c r="B42" s="114" t="s">
        <v>533</v>
      </c>
      <c r="C42" s="140" t="s">
        <v>1132</v>
      </c>
      <c r="D42" s="141" t="s">
        <v>805</v>
      </c>
      <c r="E42" s="115" t="s">
        <v>566</v>
      </c>
      <c r="F42" s="140"/>
      <c r="G42" s="140" t="s">
        <v>534</v>
      </c>
      <c r="H42" s="336" t="s">
        <v>573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533</v>
      </c>
      <c r="C43" s="140" t="s">
        <v>159</v>
      </c>
      <c r="D43" s="141" t="s">
        <v>160</v>
      </c>
      <c r="E43" s="115"/>
      <c r="F43" s="140" t="s">
        <v>574</v>
      </c>
      <c r="G43" s="115" t="s">
        <v>562</v>
      </c>
      <c r="H43" s="336" t="s">
        <v>552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533</v>
      </c>
      <c r="C44" s="140" t="s">
        <v>187</v>
      </c>
      <c r="D44" s="141" t="s">
        <v>160</v>
      </c>
      <c r="E44" s="115"/>
      <c r="F44" s="140" t="s">
        <v>540</v>
      </c>
      <c r="G44" s="140" t="s">
        <v>562</v>
      </c>
      <c r="H44" s="336" t="s">
        <v>552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533</v>
      </c>
      <c r="C45" s="140" t="s">
        <v>834</v>
      </c>
      <c r="D45" s="141" t="s">
        <v>835</v>
      </c>
      <c r="E45" s="115" t="s">
        <v>575</v>
      </c>
      <c r="F45" s="140" t="s">
        <v>537</v>
      </c>
      <c r="G45" s="140" t="s">
        <v>562</v>
      </c>
      <c r="H45" s="336" t="s">
        <v>552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533</v>
      </c>
      <c r="C46" s="140" t="s">
        <v>445</v>
      </c>
      <c r="D46" s="141" t="s">
        <v>446</v>
      </c>
      <c r="E46" s="115" t="s">
        <v>576</v>
      </c>
      <c r="F46" s="140"/>
      <c r="G46" s="140" t="s">
        <v>534</v>
      </c>
      <c r="H46" s="336" t="s">
        <v>546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533</v>
      </c>
      <c r="C47" s="143" t="s">
        <v>378</v>
      </c>
      <c r="D47" s="144" t="s">
        <v>377</v>
      </c>
      <c r="E47" s="115" t="s">
        <v>577</v>
      </c>
      <c r="F47" s="140"/>
      <c r="G47" s="140" t="s">
        <v>534</v>
      </c>
      <c r="H47" s="336" t="s">
        <v>538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533</v>
      </c>
      <c r="C48" s="140" t="s">
        <v>376</v>
      </c>
      <c r="D48" s="141" t="s">
        <v>377</v>
      </c>
      <c r="E48" s="115" t="s">
        <v>576</v>
      </c>
      <c r="F48" s="140"/>
      <c r="G48" s="140" t="s">
        <v>534</v>
      </c>
      <c r="H48" s="336" t="s">
        <v>538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533</v>
      </c>
      <c r="C49" s="140" t="s">
        <v>342</v>
      </c>
      <c r="D49" s="141" t="s">
        <v>343</v>
      </c>
      <c r="E49" s="115"/>
      <c r="F49" s="140" t="s">
        <v>578</v>
      </c>
      <c r="G49" s="140" t="s">
        <v>534</v>
      </c>
      <c r="H49" s="336" t="s">
        <v>552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533</v>
      </c>
      <c r="C50" s="140" t="s">
        <v>987</v>
      </c>
      <c r="D50" s="141" t="s">
        <v>353</v>
      </c>
      <c r="E50" s="115" t="s">
        <v>566</v>
      </c>
      <c r="F50" s="142"/>
      <c r="G50" s="140" t="s">
        <v>534</v>
      </c>
      <c r="H50" s="336" t="s">
        <v>552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900</v>
      </c>
      <c r="M50" s="121"/>
      <c r="N50" s="131"/>
      <c r="O50" s="123">
        <v>0</v>
      </c>
      <c r="P50" s="119"/>
      <c r="Q50" s="132">
        <f t="shared" si="1"/>
        <v>4000</v>
      </c>
      <c r="R50" s="125">
        <f>32*50+44*50+350+17*50</f>
        <v>5000</v>
      </c>
      <c r="S50" s="125"/>
      <c r="T50" s="126">
        <f t="shared" si="0"/>
        <v>1000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533</v>
      </c>
      <c r="C51" s="140" t="s">
        <v>155</v>
      </c>
      <c r="D51" s="141" t="s">
        <v>156</v>
      </c>
      <c r="E51" s="115" t="s">
        <v>536</v>
      </c>
      <c r="F51" s="140" t="s">
        <v>574</v>
      </c>
      <c r="G51" s="140" t="s">
        <v>562</v>
      </c>
      <c r="H51" s="336" t="s">
        <v>552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533</v>
      </c>
      <c r="C52" s="140" t="s">
        <v>222</v>
      </c>
      <c r="D52" s="141" t="s">
        <v>223</v>
      </c>
      <c r="E52" s="115" t="s">
        <v>536</v>
      </c>
      <c r="F52" s="140" t="s">
        <v>537</v>
      </c>
      <c r="G52" s="140" t="s">
        <v>562</v>
      </c>
      <c r="H52" s="336" t="s">
        <v>552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533</v>
      </c>
      <c r="C53" s="140" t="s">
        <v>422</v>
      </c>
      <c r="D53" s="141" t="s">
        <v>223</v>
      </c>
      <c r="E53" s="115" t="s">
        <v>579</v>
      </c>
      <c r="F53" s="140" t="s">
        <v>537</v>
      </c>
      <c r="G53" s="140" t="s">
        <v>562</v>
      </c>
      <c r="H53" s="336" t="s">
        <v>552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533</v>
      </c>
      <c r="C54" s="140" t="s">
        <v>137</v>
      </c>
      <c r="D54" s="141" t="s">
        <v>138</v>
      </c>
      <c r="E54" s="115"/>
      <c r="F54" s="140">
        <v>125140</v>
      </c>
      <c r="G54" s="140" t="s">
        <v>534</v>
      </c>
      <c r="H54" s="336" t="s">
        <v>552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533</v>
      </c>
      <c r="C55" s="140" t="s">
        <v>133</v>
      </c>
      <c r="D55" s="141" t="s">
        <v>134</v>
      </c>
      <c r="E55" s="115" t="s">
        <v>576</v>
      </c>
      <c r="F55" s="140">
        <v>125140</v>
      </c>
      <c r="G55" s="140" t="s">
        <v>534</v>
      </c>
      <c r="H55" s="336" t="s">
        <v>546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533</v>
      </c>
      <c r="C56" s="140" t="s">
        <v>327</v>
      </c>
      <c r="D56" s="141" t="s">
        <v>328</v>
      </c>
      <c r="E56" s="115" t="s">
        <v>580</v>
      </c>
      <c r="F56" s="140" t="s">
        <v>540</v>
      </c>
      <c r="G56" s="140" t="s">
        <v>534</v>
      </c>
      <c r="H56" s="336" t="s">
        <v>546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533</v>
      </c>
      <c r="C57" s="140" t="s">
        <v>1060</v>
      </c>
      <c r="D57" s="141" t="s">
        <v>783</v>
      </c>
      <c r="E57" s="115" t="s">
        <v>581</v>
      </c>
      <c r="F57" s="140" t="s">
        <v>537</v>
      </c>
      <c r="G57" s="140" t="s">
        <v>534</v>
      </c>
      <c r="H57" s="336" t="s">
        <v>546</v>
      </c>
      <c r="I57" s="140"/>
      <c r="J57" s="130">
        <v>350</v>
      </c>
      <c r="K57" s="119">
        <f>+SUMIF('Nhập kho  입'!A:A,C57,'Nhập kho  입'!E:E)</f>
        <v>2050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2400</v>
      </c>
      <c r="R57" s="125">
        <f>7*50</f>
        <v>350</v>
      </c>
      <c r="S57" s="135"/>
      <c r="T57" s="126">
        <f t="shared" si="0"/>
        <v>-2050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533</v>
      </c>
      <c r="C58" s="140" t="s">
        <v>112</v>
      </c>
      <c r="D58" s="141" t="s">
        <v>113</v>
      </c>
      <c r="E58" s="115" t="s">
        <v>582</v>
      </c>
      <c r="F58" s="140" t="s">
        <v>540</v>
      </c>
      <c r="G58" s="140" t="s">
        <v>549</v>
      </c>
      <c r="H58" s="336" t="s">
        <v>552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533</v>
      </c>
      <c r="C59" s="140" t="s">
        <v>167</v>
      </c>
      <c r="D59" s="141" t="s">
        <v>168</v>
      </c>
      <c r="E59" s="115"/>
      <c r="F59" s="140">
        <v>125140</v>
      </c>
      <c r="G59" s="140" t="s">
        <v>534</v>
      </c>
      <c r="H59" s="336" t="s">
        <v>552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533</v>
      </c>
      <c r="C60" s="140" t="s">
        <v>60</v>
      </c>
      <c r="D60" s="141" t="s">
        <v>61</v>
      </c>
      <c r="E60" s="115"/>
      <c r="F60" s="140">
        <v>125140</v>
      </c>
      <c r="G60" s="140" t="s">
        <v>534</v>
      </c>
      <c r="H60" s="336" t="s">
        <v>552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533</v>
      </c>
      <c r="C61" s="140" t="s">
        <v>204</v>
      </c>
      <c r="D61" s="141" t="s">
        <v>205</v>
      </c>
      <c r="E61" s="115"/>
      <c r="F61" s="140">
        <v>125140</v>
      </c>
      <c r="G61" s="140" t="s">
        <v>562</v>
      </c>
      <c r="H61" s="336" t="s">
        <v>546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533</v>
      </c>
      <c r="C62" s="140" t="s">
        <v>58</v>
      </c>
      <c r="D62" s="141" t="s">
        <v>59</v>
      </c>
      <c r="E62" s="115"/>
      <c r="F62" s="142">
        <v>125140</v>
      </c>
      <c r="G62" s="140" t="s">
        <v>534</v>
      </c>
      <c r="H62" s="336" t="s">
        <v>552</v>
      </c>
      <c r="I62" s="337" t="s">
        <v>541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533</v>
      </c>
      <c r="C63" s="140" t="s">
        <v>52</v>
      </c>
      <c r="D63" s="141" t="s">
        <v>53</v>
      </c>
      <c r="E63" s="115"/>
      <c r="F63" s="142">
        <v>125140</v>
      </c>
      <c r="G63" s="140" t="s">
        <v>534</v>
      </c>
      <c r="H63" s="336" t="s">
        <v>552</v>
      </c>
      <c r="I63" s="337" t="s">
        <v>541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533</v>
      </c>
      <c r="C64" s="140" t="s">
        <v>183</v>
      </c>
      <c r="D64" s="141" t="s">
        <v>184</v>
      </c>
      <c r="E64" s="115" t="s">
        <v>583</v>
      </c>
      <c r="F64" s="140"/>
      <c r="G64" s="140" t="s">
        <v>534</v>
      </c>
      <c r="H64" s="336" t="s">
        <v>552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533</v>
      </c>
      <c r="C65" s="140" t="s">
        <v>1001</v>
      </c>
      <c r="D65" s="141" t="s">
        <v>410</v>
      </c>
      <c r="E65" s="115" t="s">
        <v>542</v>
      </c>
      <c r="F65" s="140"/>
      <c r="G65" s="140" t="s">
        <v>562</v>
      </c>
      <c r="H65" s="336" t="s">
        <v>552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533</v>
      </c>
      <c r="C66" s="140" t="s">
        <v>245</v>
      </c>
      <c r="D66" s="141" t="s">
        <v>246</v>
      </c>
      <c r="E66" s="115" t="s">
        <v>542</v>
      </c>
      <c r="F66" s="140">
        <v>125150</v>
      </c>
      <c r="G66" s="140" t="s">
        <v>534</v>
      </c>
      <c r="H66" s="336" t="s">
        <v>552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533</v>
      </c>
      <c r="C67" s="140" t="s">
        <v>64</v>
      </c>
      <c r="D67" s="141" t="s">
        <v>65</v>
      </c>
      <c r="E67" s="115" t="s">
        <v>576</v>
      </c>
      <c r="F67" s="140">
        <v>125140</v>
      </c>
      <c r="G67" s="140" t="s">
        <v>562</v>
      </c>
      <c r="H67" s="336" t="s">
        <v>573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533</v>
      </c>
      <c r="C68" s="140" t="s">
        <v>1067</v>
      </c>
      <c r="D68" s="141" t="s">
        <v>1066</v>
      </c>
      <c r="E68" s="115" t="s">
        <v>583</v>
      </c>
      <c r="F68" s="140" t="s">
        <v>578</v>
      </c>
      <c r="G68" s="140" t="s">
        <v>562</v>
      </c>
      <c r="H68" s="336" t="s">
        <v>552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533</v>
      </c>
      <c r="C69" s="140" t="s">
        <v>1352</v>
      </c>
      <c r="D69" s="141" t="s">
        <v>466</v>
      </c>
      <c r="E69" s="115" t="s">
        <v>566</v>
      </c>
      <c r="F69" s="140"/>
      <c r="G69" s="140" t="s">
        <v>562</v>
      </c>
      <c r="H69" s="336" t="s">
        <v>552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100</v>
      </c>
      <c r="M69" s="121"/>
      <c r="N69" s="131"/>
      <c r="O69" s="123">
        <v>0</v>
      </c>
      <c r="P69" s="119"/>
      <c r="Q69" s="132">
        <f t="shared" si="1"/>
        <v>1050</v>
      </c>
      <c r="R69" s="125">
        <f>23*50</f>
        <v>1150</v>
      </c>
      <c r="S69" s="135"/>
      <c r="T69" s="126">
        <f t="shared" si="0"/>
        <v>100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533</v>
      </c>
      <c r="C70" s="140" t="s">
        <v>277</v>
      </c>
      <c r="D70" s="141" t="s">
        <v>278</v>
      </c>
      <c r="E70" s="115" t="s">
        <v>584</v>
      </c>
      <c r="F70" s="140">
        <v>125150</v>
      </c>
      <c r="G70" s="140" t="s">
        <v>562</v>
      </c>
      <c r="H70" s="336" t="s">
        <v>552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533</v>
      </c>
      <c r="C71" s="140" t="s">
        <v>218</v>
      </c>
      <c r="D71" s="141" t="s">
        <v>219</v>
      </c>
      <c r="E71" s="115" t="s">
        <v>576</v>
      </c>
      <c r="F71" s="140">
        <v>125140</v>
      </c>
      <c r="G71" s="140" t="s">
        <v>562</v>
      </c>
      <c r="H71" s="336" t="s">
        <v>552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533</v>
      </c>
      <c r="C72" s="140" t="s">
        <v>307</v>
      </c>
      <c r="D72" s="141" t="s">
        <v>219</v>
      </c>
      <c r="E72" s="115"/>
      <c r="F72" s="140">
        <v>125140</v>
      </c>
      <c r="G72" s="140" t="s">
        <v>562</v>
      </c>
      <c r="H72" s="336" t="s">
        <v>546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533</v>
      </c>
      <c r="C73" s="140" t="s">
        <v>135</v>
      </c>
      <c r="D73" s="141" t="s">
        <v>136</v>
      </c>
      <c r="E73" s="115" t="s">
        <v>576</v>
      </c>
      <c r="F73" s="142">
        <v>125140</v>
      </c>
      <c r="G73" s="140" t="s">
        <v>562</v>
      </c>
      <c r="H73" s="336" t="s">
        <v>552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533</v>
      </c>
      <c r="C74" s="140" t="s">
        <v>129</v>
      </c>
      <c r="D74" s="141" t="s">
        <v>130</v>
      </c>
      <c r="E74" s="115" t="s">
        <v>576</v>
      </c>
      <c r="F74" s="142">
        <v>125140</v>
      </c>
      <c r="G74" s="140" t="s">
        <v>562</v>
      </c>
      <c r="H74" s="336" t="s">
        <v>552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533</v>
      </c>
      <c r="C75" s="140" t="s">
        <v>62</v>
      </c>
      <c r="D75" s="141" t="s">
        <v>63</v>
      </c>
      <c r="E75" s="115"/>
      <c r="F75" s="142">
        <v>125140</v>
      </c>
      <c r="G75" s="140" t="s">
        <v>562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533</v>
      </c>
      <c r="C76" s="140" t="s">
        <v>110</v>
      </c>
      <c r="D76" s="141" t="s">
        <v>111</v>
      </c>
      <c r="E76" s="115"/>
      <c r="F76" s="142">
        <v>125140</v>
      </c>
      <c r="G76" s="140" t="s">
        <v>562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533</v>
      </c>
      <c r="C77" s="140" t="s">
        <v>292</v>
      </c>
      <c r="D77" s="141" t="s">
        <v>293</v>
      </c>
      <c r="E77" s="115" t="s">
        <v>564</v>
      </c>
      <c r="F77" s="142">
        <v>125150</v>
      </c>
      <c r="G77" s="140" t="s">
        <v>562</v>
      </c>
      <c r="H77" s="336" t="s">
        <v>552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533</v>
      </c>
      <c r="C78" s="140" t="s">
        <v>931</v>
      </c>
      <c r="D78" s="141" t="s">
        <v>468</v>
      </c>
      <c r="E78" s="115" t="s">
        <v>561</v>
      </c>
      <c r="F78" s="142"/>
      <c r="G78" s="140" t="s">
        <v>562</v>
      </c>
      <c r="H78" s="336" t="s">
        <v>552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533</v>
      </c>
      <c r="C79" s="140" t="s">
        <v>372</v>
      </c>
      <c r="D79" s="141" t="s">
        <v>373</v>
      </c>
      <c r="E79" s="115"/>
      <c r="F79" s="140"/>
      <c r="G79" s="140" t="s">
        <v>534</v>
      </c>
      <c r="H79" s="336" t="s">
        <v>552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533</v>
      </c>
      <c r="C80" s="140" t="s">
        <v>21</v>
      </c>
      <c r="D80" s="141" t="s">
        <v>22</v>
      </c>
      <c r="E80" s="115" t="s">
        <v>565</v>
      </c>
      <c r="F80" s="140">
        <v>125150</v>
      </c>
      <c r="G80" s="140" t="s">
        <v>562</v>
      </c>
      <c r="H80" s="336" t="s">
        <v>552</v>
      </c>
      <c r="I80" s="337" t="s">
        <v>541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533</v>
      </c>
      <c r="C81" s="140" t="s">
        <v>427</v>
      </c>
      <c r="D81" s="141" t="s">
        <v>428</v>
      </c>
      <c r="E81" s="115" t="s">
        <v>542</v>
      </c>
      <c r="F81" s="140"/>
      <c r="G81" s="140" t="s">
        <v>562</v>
      </c>
      <c r="H81" s="336" t="s">
        <v>552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533</v>
      </c>
      <c r="C82" s="140" t="s">
        <v>411</v>
      </c>
      <c r="D82" s="141" t="s">
        <v>412</v>
      </c>
      <c r="E82" s="115" t="s">
        <v>579</v>
      </c>
      <c r="F82" s="140"/>
      <c r="G82" s="140" t="s">
        <v>562</v>
      </c>
      <c r="H82" s="336" t="s">
        <v>552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533</v>
      </c>
      <c r="C83" s="140" t="s">
        <v>71</v>
      </c>
      <c r="D83" s="141" t="s">
        <v>72</v>
      </c>
      <c r="E83" s="115" t="s">
        <v>585</v>
      </c>
      <c r="F83" s="140" t="s">
        <v>537</v>
      </c>
      <c r="G83" s="140" t="s">
        <v>562</v>
      </c>
      <c r="H83" s="336" t="s">
        <v>552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533</v>
      </c>
      <c r="C84" s="143" t="s">
        <v>389</v>
      </c>
      <c r="D84" s="144" t="s">
        <v>390</v>
      </c>
      <c r="E84" s="115" t="s">
        <v>586</v>
      </c>
      <c r="F84" s="140"/>
      <c r="G84" s="140" t="s">
        <v>562</v>
      </c>
      <c r="H84" s="336" t="s">
        <v>552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533</v>
      </c>
      <c r="C85" s="140" t="s">
        <v>449</v>
      </c>
      <c r="D85" s="141" t="s">
        <v>450</v>
      </c>
      <c r="E85" s="115" t="s">
        <v>587</v>
      </c>
      <c r="F85" s="140"/>
      <c r="G85" s="143" t="s">
        <v>534</v>
      </c>
      <c r="H85" s="336" t="s">
        <v>552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533</v>
      </c>
      <c r="C86" s="140" t="s">
        <v>451</v>
      </c>
      <c r="D86" s="141" t="s">
        <v>450</v>
      </c>
      <c r="E86" s="115" t="s">
        <v>566</v>
      </c>
      <c r="F86" s="140"/>
      <c r="G86" s="140" t="s">
        <v>534</v>
      </c>
      <c r="H86" s="336" t="s">
        <v>552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533</v>
      </c>
      <c r="C87" s="140" t="s">
        <v>139</v>
      </c>
      <c r="D87" s="141" t="s">
        <v>140</v>
      </c>
      <c r="E87" s="115"/>
      <c r="F87" s="140">
        <v>125150</v>
      </c>
      <c r="G87" s="140" t="s">
        <v>562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533</v>
      </c>
      <c r="C88" s="137" t="s">
        <v>1428</v>
      </c>
      <c r="D88" s="141" t="s">
        <v>10</v>
      </c>
      <c r="E88" s="115" t="s">
        <v>588</v>
      </c>
      <c r="F88" s="140">
        <v>125140</v>
      </c>
      <c r="G88" s="140" t="s">
        <v>534</v>
      </c>
      <c r="H88" s="336" t="s">
        <v>552</v>
      </c>
      <c r="I88" s="337" t="s">
        <v>556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200</v>
      </c>
      <c r="M88" s="121"/>
      <c r="N88" s="131"/>
      <c r="O88" s="123">
        <v>0</v>
      </c>
      <c r="P88" s="119"/>
      <c r="Q88" s="132">
        <f t="shared" si="3"/>
        <v>750</v>
      </c>
      <c r="R88" s="125">
        <f>22*50</f>
        <v>1100</v>
      </c>
      <c r="S88" s="135"/>
      <c r="T88" s="126">
        <f t="shared" si="2"/>
        <v>350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533</v>
      </c>
      <c r="C89" s="143" t="s">
        <v>87</v>
      </c>
      <c r="D89" s="144" t="s">
        <v>88</v>
      </c>
      <c r="E89" s="115"/>
      <c r="F89" s="140" t="s">
        <v>574</v>
      </c>
      <c r="G89" s="143" t="s">
        <v>562</v>
      </c>
      <c r="H89" s="336" t="s">
        <v>552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533</v>
      </c>
      <c r="C90" s="143" t="s">
        <v>1212</v>
      </c>
      <c r="D90" s="144" t="s">
        <v>850</v>
      </c>
      <c r="E90" s="115" t="s">
        <v>585</v>
      </c>
      <c r="F90" s="143" t="s">
        <v>589</v>
      </c>
      <c r="G90" s="143" t="s">
        <v>590</v>
      </c>
      <c r="H90" s="336" t="s">
        <v>552</v>
      </c>
      <c r="I90" s="143"/>
      <c r="J90" s="130">
        <v>4050</v>
      </c>
      <c r="K90" s="119">
        <f>+SUMIF('Nhập kho  입'!A:A,C90,'Nhập kho  입'!E:E)</f>
        <v>5100</v>
      </c>
      <c r="L90" s="120">
        <f>+SUMIF(' Xuất kho 출'!A:A,C90,' Xuất kho 출'!E:E)</f>
        <v>7000</v>
      </c>
      <c r="M90" s="121"/>
      <c r="N90" s="131"/>
      <c r="O90" s="145">
        <v>0</v>
      </c>
      <c r="P90" s="146"/>
      <c r="Q90" s="132">
        <f t="shared" si="3"/>
        <v>2150</v>
      </c>
      <c r="R90" s="125">
        <f>22*25+52*25+90*25</f>
        <v>4100</v>
      </c>
      <c r="S90" s="125"/>
      <c r="T90" s="126">
        <f t="shared" si="2"/>
        <v>1950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533</v>
      </c>
      <c r="C91" s="137" t="s">
        <v>360</v>
      </c>
      <c r="D91" s="138" t="s">
        <v>361</v>
      </c>
      <c r="E91" s="115" t="s">
        <v>591</v>
      </c>
      <c r="F91" s="137"/>
      <c r="G91" s="137" t="s">
        <v>562</v>
      </c>
      <c r="H91" s="336" t="s">
        <v>546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533</v>
      </c>
      <c r="C92" s="137" t="s">
        <v>1280</v>
      </c>
      <c r="D92" s="138" t="s">
        <v>349</v>
      </c>
      <c r="E92" s="115" t="s">
        <v>561</v>
      </c>
      <c r="F92" s="137">
        <v>125150</v>
      </c>
      <c r="G92" s="137" t="s">
        <v>562</v>
      </c>
      <c r="H92" s="336" t="s">
        <v>552</v>
      </c>
      <c r="I92" s="137"/>
      <c r="J92" s="130">
        <v>1400</v>
      </c>
      <c r="K92" s="119">
        <f>+SUMIF('Nhập kho  입'!A:A,C92,'Nhập kho  입'!E:E)</f>
        <v>3500</v>
      </c>
      <c r="L92" s="120">
        <f>+SUMIF(' Xuất kho 출'!A:A,C92,' Xuất kho 출'!E:E)</f>
        <v>3000</v>
      </c>
      <c r="M92" s="121"/>
      <c r="N92" s="131"/>
      <c r="O92" s="145">
        <v>0</v>
      </c>
      <c r="P92" s="146"/>
      <c r="Q92" s="132">
        <f t="shared" si="3"/>
        <v>1900</v>
      </c>
      <c r="R92" s="125">
        <f>8*50+50+19*50</f>
        <v>1400</v>
      </c>
      <c r="S92" s="135"/>
      <c r="T92" s="126">
        <f t="shared" si="2"/>
        <v>-500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533</v>
      </c>
      <c r="C93" s="137" t="s">
        <v>336</v>
      </c>
      <c r="D93" s="138" t="s">
        <v>337</v>
      </c>
      <c r="E93" s="115" t="s">
        <v>585</v>
      </c>
      <c r="F93" s="143">
        <v>125150</v>
      </c>
      <c r="G93" s="137" t="s">
        <v>592</v>
      </c>
      <c r="H93" s="336" t="s">
        <v>552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533</v>
      </c>
      <c r="C94" s="137" t="s">
        <v>1503</v>
      </c>
      <c r="D94" s="138" t="s">
        <v>191</v>
      </c>
      <c r="E94" s="115" t="s">
        <v>561</v>
      </c>
      <c r="F94" s="142">
        <v>125150</v>
      </c>
      <c r="G94" s="140" t="s">
        <v>562</v>
      </c>
      <c r="H94" s="336" t="s">
        <v>552</v>
      </c>
      <c r="I94" s="148"/>
      <c r="J94" s="130">
        <v>50</v>
      </c>
      <c r="K94" s="119">
        <f>+SUMIF('Nhập kho  입'!A:A,C94,'Nhập kho  입'!E:E)</f>
        <v>4350</v>
      </c>
      <c r="L94" s="120">
        <f>+SUMIF(' Xuất kho 출'!A:A,C94,' Xuất kho 출'!E:E)</f>
        <v>3000</v>
      </c>
      <c r="M94" s="121"/>
      <c r="N94" s="131"/>
      <c r="O94" s="149"/>
      <c r="P94" s="150"/>
      <c r="Q94" s="132">
        <f t="shared" si="3"/>
        <v>1400</v>
      </c>
      <c r="R94" s="125">
        <v>50</v>
      </c>
      <c r="S94" s="135"/>
      <c r="T94" s="126">
        <f t="shared" si="2"/>
        <v>-1350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533</v>
      </c>
      <c r="C95" s="137" t="s">
        <v>175</v>
      </c>
      <c r="D95" s="138" t="s">
        <v>176</v>
      </c>
      <c r="E95" s="115"/>
      <c r="F95" s="142" t="s">
        <v>540</v>
      </c>
      <c r="G95" s="140" t="s">
        <v>562</v>
      </c>
      <c r="H95" s="336" t="s">
        <v>552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533</v>
      </c>
      <c r="C96" s="137" t="s">
        <v>407</v>
      </c>
      <c r="D96" s="138" t="s">
        <v>408</v>
      </c>
      <c r="E96" s="115" t="s">
        <v>542</v>
      </c>
      <c r="F96" s="140"/>
      <c r="G96" s="143" t="s">
        <v>562</v>
      </c>
      <c r="H96" s="336" t="s">
        <v>552</v>
      </c>
      <c r="I96" s="148"/>
      <c r="J96" s="130">
        <v>2400</v>
      </c>
      <c r="K96" s="119">
        <f>+SUMIF('Nhập kho  입'!A:A,C96,'Nhập kho  입'!E:E)</f>
        <v>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2400</v>
      </c>
      <c r="R96" s="125">
        <f>48*50</f>
        <v>2400</v>
      </c>
      <c r="S96" s="125"/>
      <c r="T96" s="126">
        <f t="shared" si="2"/>
        <v>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533</v>
      </c>
      <c r="C97" s="137" t="s">
        <v>425</v>
      </c>
      <c r="D97" s="138" t="s">
        <v>426</v>
      </c>
      <c r="E97" s="115" t="s">
        <v>576</v>
      </c>
      <c r="F97" s="143"/>
      <c r="G97" s="137" t="s">
        <v>562</v>
      </c>
      <c r="H97" s="336" t="s">
        <v>552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533</v>
      </c>
      <c r="C98" s="137" t="s">
        <v>883</v>
      </c>
      <c r="D98" s="138" t="s">
        <v>885</v>
      </c>
      <c r="E98" s="115" t="s">
        <v>585</v>
      </c>
      <c r="F98" s="143" t="s">
        <v>537</v>
      </c>
      <c r="G98" s="143" t="s">
        <v>562</v>
      </c>
      <c r="H98" s="336" t="s">
        <v>552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533</v>
      </c>
      <c r="C99" s="137" t="s">
        <v>247</v>
      </c>
      <c r="D99" s="138" t="s">
        <v>248</v>
      </c>
      <c r="E99" s="115" t="s">
        <v>591</v>
      </c>
      <c r="F99" s="143">
        <v>125140</v>
      </c>
      <c r="G99" s="140" t="s">
        <v>562</v>
      </c>
      <c r="H99" s="336" t="s">
        <v>552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533</v>
      </c>
      <c r="C100" s="137" t="s">
        <v>1207</v>
      </c>
      <c r="D100" s="138" t="s">
        <v>323</v>
      </c>
      <c r="E100" s="115" t="s">
        <v>591</v>
      </c>
      <c r="F100" s="143"/>
      <c r="G100" s="140" t="s">
        <v>562</v>
      </c>
      <c r="H100" s="336" t="s">
        <v>552</v>
      </c>
      <c r="I100" s="148"/>
      <c r="J100" s="130">
        <v>1250</v>
      </c>
      <c r="K100" s="119">
        <f>+SUMIF('Nhập kho  입'!A:A,C100,'Nhập kho  입'!E:E)</f>
        <v>10450</v>
      </c>
      <c r="L100" s="120">
        <f>+SUMIF(' Xuất kho 출'!A:A,C100,' Xuất kho 출'!E:E)</f>
        <v>7200</v>
      </c>
      <c r="M100" s="121">
        <v>3600</v>
      </c>
      <c r="N100" s="131"/>
      <c r="O100" s="149"/>
      <c r="P100" s="150"/>
      <c r="Q100" s="132">
        <f t="shared" si="3"/>
        <v>4500</v>
      </c>
      <c r="R100" s="125">
        <f>25*50</f>
        <v>1250</v>
      </c>
      <c r="S100" s="125"/>
      <c r="T100" s="126">
        <f t="shared" si="2"/>
        <v>-3250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533</v>
      </c>
      <c r="C101" s="137" t="s">
        <v>216</v>
      </c>
      <c r="D101" s="138" t="s">
        <v>217</v>
      </c>
      <c r="E101" s="115" t="s">
        <v>576</v>
      </c>
      <c r="F101" s="143">
        <v>125140</v>
      </c>
      <c r="G101" s="140" t="s">
        <v>562</v>
      </c>
      <c r="H101" s="336" t="s">
        <v>552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533</v>
      </c>
      <c r="C102" s="137" t="s">
        <v>787</v>
      </c>
      <c r="D102" s="138" t="s">
        <v>785</v>
      </c>
      <c r="E102" s="115" t="s">
        <v>593</v>
      </c>
      <c r="F102" s="143"/>
      <c r="G102" s="140" t="s">
        <v>562</v>
      </c>
      <c r="H102" s="336" t="s">
        <v>552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533</v>
      </c>
      <c r="C103" s="137" t="s">
        <v>367</v>
      </c>
      <c r="D103" s="138" t="s">
        <v>368</v>
      </c>
      <c r="E103" s="115"/>
      <c r="F103" s="143"/>
      <c r="G103" s="143" t="s">
        <v>562</v>
      </c>
      <c r="H103" s="336" t="s">
        <v>552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533</v>
      </c>
      <c r="C104" s="137" t="s">
        <v>369</v>
      </c>
      <c r="D104" s="138" t="s">
        <v>368</v>
      </c>
      <c r="E104" s="115" t="s">
        <v>594</v>
      </c>
      <c r="F104" s="140"/>
      <c r="G104" s="143" t="s">
        <v>562</v>
      </c>
      <c r="H104" s="336" t="s">
        <v>552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533</v>
      </c>
      <c r="C105" s="137" t="s">
        <v>477</v>
      </c>
      <c r="D105" s="138" t="s">
        <v>478</v>
      </c>
      <c r="E105" s="115" t="s">
        <v>595</v>
      </c>
      <c r="F105" s="142"/>
      <c r="G105" s="143" t="s">
        <v>562</v>
      </c>
      <c r="H105" s="336" t="s">
        <v>552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533</v>
      </c>
      <c r="C106" s="137" t="s">
        <v>420</v>
      </c>
      <c r="D106" s="138" t="s">
        <v>421</v>
      </c>
      <c r="E106" s="115"/>
      <c r="F106" s="143"/>
      <c r="G106" s="140" t="s">
        <v>562</v>
      </c>
      <c r="H106" s="336" t="s">
        <v>552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533</v>
      </c>
      <c r="C107" s="137" t="s">
        <v>439</v>
      </c>
      <c r="D107" s="138" t="s">
        <v>440</v>
      </c>
      <c r="E107" s="115" t="s">
        <v>596</v>
      </c>
      <c r="F107" s="143"/>
      <c r="G107" s="137" t="s">
        <v>534</v>
      </c>
      <c r="H107" s="336" t="s">
        <v>538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533</v>
      </c>
      <c r="C108" s="137" t="s">
        <v>912</v>
      </c>
      <c r="D108" s="138" t="s">
        <v>239</v>
      </c>
      <c r="E108" s="115" t="s">
        <v>566</v>
      </c>
      <c r="F108" s="143" t="s">
        <v>537</v>
      </c>
      <c r="G108" s="137" t="s">
        <v>562</v>
      </c>
      <c r="H108" s="336" t="s">
        <v>552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533</v>
      </c>
      <c r="C109" s="137" t="s">
        <v>240</v>
      </c>
      <c r="D109" s="138" t="s">
        <v>239</v>
      </c>
      <c r="E109" s="115" t="s">
        <v>587</v>
      </c>
      <c r="F109" s="143"/>
      <c r="G109" s="137"/>
      <c r="H109" s="336" t="s">
        <v>552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533</v>
      </c>
      <c r="C110" s="137" t="s">
        <v>41</v>
      </c>
      <c r="D110" s="138" t="s">
        <v>42</v>
      </c>
      <c r="E110" s="115"/>
      <c r="F110" s="143" t="s">
        <v>540</v>
      </c>
      <c r="G110" s="140" t="s">
        <v>562</v>
      </c>
      <c r="H110" s="336" t="s">
        <v>552</v>
      </c>
      <c r="I110" s="338" t="s">
        <v>541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533</v>
      </c>
      <c r="C111" s="137" t="s">
        <v>43</v>
      </c>
      <c r="D111" s="138" t="s">
        <v>42</v>
      </c>
      <c r="E111" s="115" t="s">
        <v>564</v>
      </c>
      <c r="F111" s="143" t="s">
        <v>537</v>
      </c>
      <c r="G111" s="140" t="s">
        <v>562</v>
      </c>
      <c r="H111" s="336" t="s">
        <v>552</v>
      </c>
      <c r="I111" s="338" t="s">
        <v>541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533</v>
      </c>
      <c r="C112" s="137" t="s">
        <v>798</v>
      </c>
      <c r="D112" s="138" t="s">
        <v>186</v>
      </c>
      <c r="E112" s="115" t="s">
        <v>568</v>
      </c>
      <c r="F112" s="143" t="s">
        <v>537</v>
      </c>
      <c r="G112" s="140" t="s">
        <v>534</v>
      </c>
      <c r="H112" s="336" t="s">
        <v>546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3000</v>
      </c>
      <c r="M112" s="121"/>
      <c r="N112" s="131"/>
      <c r="O112" s="149"/>
      <c r="P112" s="150"/>
      <c r="Q112" s="132">
        <f t="shared" si="3"/>
        <v>3300</v>
      </c>
      <c r="R112" s="125">
        <f>42*50</f>
        <v>2100</v>
      </c>
      <c r="S112" s="125"/>
      <c r="T112" s="126">
        <f t="shared" si="2"/>
        <v>-1200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533</v>
      </c>
      <c r="C113" s="137" t="s">
        <v>1189</v>
      </c>
      <c r="D113" s="138" t="s">
        <v>186</v>
      </c>
      <c r="E113" s="115" t="s">
        <v>543</v>
      </c>
      <c r="F113" s="142" t="s">
        <v>537</v>
      </c>
      <c r="G113" s="143" t="s">
        <v>534</v>
      </c>
      <c r="H113" s="336" t="s">
        <v>552</v>
      </c>
      <c r="I113" s="148"/>
      <c r="J113" s="130">
        <v>3750</v>
      </c>
      <c r="K113" s="119">
        <f>+SUMIF('Nhập kho  입'!A:A,C113,'Nhập kho  입'!E:E)</f>
        <v>6200</v>
      </c>
      <c r="L113" s="120">
        <f>+SUMIF(' Xuất kho 출'!A:A,C113,' Xuất kho 출'!E:E)</f>
        <v>2700</v>
      </c>
      <c r="M113" s="121"/>
      <c r="N113" s="131"/>
      <c r="O113" s="149"/>
      <c r="P113" s="150"/>
      <c r="Q113" s="132">
        <f t="shared" si="3"/>
        <v>7250</v>
      </c>
      <c r="R113" s="125">
        <f>350+65*50+150</f>
        <v>3750</v>
      </c>
      <c r="S113" s="125"/>
      <c r="T113" s="126">
        <f t="shared" si="2"/>
        <v>-3500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533</v>
      </c>
      <c r="C114" s="137" t="s">
        <v>206</v>
      </c>
      <c r="D114" s="138" t="s">
        <v>186</v>
      </c>
      <c r="E114" s="115" t="s">
        <v>597</v>
      </c>
      <c r="F114" s="143" t="s">
        <v>537</v>
      </c>
      <c r="G114" s="140" t="s">
        <v>534</v>
      </c>
      <c r="H114" s="336" t="s">
        <v>546</v>
      </c>
      <c r="I114" s="148"/>
      <c r="J114" s="130">
        <v>2300</v>
      </c>
      <c r="K114" s="119">
        <f>+SUMIF('Nhập kho  입'!A:A,C114,'Nhập kho  입'!E:E)</f>
        <v>2400</v>
      </c>
      <c r="L114" s="120">
        <f>+SUMIF(' Xuất kho 출'!A:A,C114,' Xuất kho 출'!E:E)</f>
        <v>0</v>
      </c>
      <c r="M114" s="121"/>
      <c r="N114" s="131"/>
      <c r="O114" s="149"/>
      <c r="P114" s="150"/>
      <c r="Q114" s="132">
        <f t="shared" si="3"/>
        <v>4700</v>
      </c>
      <c r="R114" s="125">
        <f>14*50+32*50</f>
        <v>2300</v>
      </c>
      <c r="S114" s="125"/>
      <c r="T114" s="126">
        <f t="shared" si="2"/>
        <v>-2400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533</v>
      </c>
      <c r="C115" s="137" t="s">
        <v>114</v>
      </c>
      <c r="D115" s="151" t="s">
        <v>115</v>
      </c>
      <c r="E115" s="115" t="s">
        <v>598</v>
      </c>
      <c r="F115" s="142" t="s">
        <v>540</v>
      </c>
      <c r="G115" s="143" t="s">
        <v>549</v>
      </c>
      <c r="H115" s="336" t="s">
        <v>552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533</v>
      </c>
      <c r="C116" s="137" t="s">
        <v>799</v>
      </c>
      <c r="D116" s="151" t="s">
        <v>212</v>
      </c>
      <c r="E116" s="115" t="s">
        <v>561</v>
      </c>
      <c r="F116" s="143" t="s">
        <v>540</v>
      </c>
      <c r="G116" s="143" t="s">
        <v>534</v>
      </c>
      <c r="H116" s="336" t="s">
        <v>546</v>
      </c>
      <c r="I116" s="148"/>
      <c r="J116" s="130">
        <v>2650</v>
      </c>
      <c r="K116" s="119">
        <f>+SUMIF('Nhập kho  입'!A:A,C116,'Nhập kho  입'!E:E)</f>
        <v>0</v>
      </c>
      <c r="L116" s="120">
        <f>+SUMIF(' Xuất kho 출'!A:A,C116,' Xuất kho 출'!E:E)</f>
        <v>300</v>
      </c>
      <c r="M116" s="121"/>
      <c r="N116" s="131"/>
      <c r="O116" s="149"/>
      <c r="P116" s="150"/>
      <c r="Q116" s="132">
        <f t="shared" si="3"/>
        <v>2350</v>
      </c>
      <c r="R116" s="125">
        <f>30*50+24*50</f>
        <v>2700</v>
      </c>
      <c r="S116" s="125"/>
      <c r="T116" s="126">
        <f t="shared" si="2"/>
        <v>350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533</v>
      </c>
      <c r="C117" s="137" t="s">
        <v>213</v>
      </c>
      <c r="D117" s="138" t="s">
        <v>212</v>
      </c>
      <c r="E117" s="115" t="s">
        <v>599</v>
      </c>
      <c r="F117" s="143" t="s">
        <v>537</v>
      </c>
      <c r="G117" s="140" t="s">
        <v>534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533</v>
      </c>
      <c r="C118" s="137" t="s">
        <v>151</v>
      </c>
      <c r="D118" s="138" t="s">
        <v>152</v>
      </c>
      <c r="E118" s="115" t="s">
        <v>539</v>
      </c>
      <c r="F118" s="142" t="s">
        <v>540</v>
      </c>
      <c r="G118" s="143" t="s">
        <v>534</v>
      </c>
      <c r="H118" s="336" t="s">
        <v>546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533</v>
      </c>
      <c r="C119" s="137" t="s">
        <v>89</v>
      </c>
      <c r="D119" s="138" t="s">
        <v>90</v>
      </c>
      <c r="E119" s="115" t="s">
        <v>542</v>
      </c>
      <c r="F119" s="142" t="s">
        <v>540</v>
      </c>
      <c r="G119" s="143" t="s">
        <v>562</v>
      </c>
      <c r="H119" s="336" t="s">
        <v>552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533</v>
      </c>
      <c r="C120" s="137" t="s">
        <v>1320</v>
      </c>
      <c r="D120" s="138" t="s">
        <v>74</v>
      </c>
      <c r="E120" s="115" t="s">
        <v>547</v>
      </c>
      <c r="F120" s="143" t="s">
        <v>540</v>
      </c>
      <c r="G120" s="140" t="s">
        <v>549</v>
      </c>
      <c r="H120" s="336" t="s">
        <v>552</v>
      </c>
      <c r="I120" s="148"/>
      <c r="J120" s="130">
        <v>11400</v>
      </c>
      <c r="K120" s="119">
        <f>+SUMIF('Nhập kho  입'!A:A,C120,'Nhập kho  입'!E:E)</f>
        <v>7900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19300</v>
      </c>
      <c r="R120" s="125">
        <f>3600+2800+3600+1100+300</f>
        <v>11400</v>
      </c>
      <c r="S120" s="135"/>
      <c r="T120" s="126">
        <f t="shared" si="2"/>
        <v>-7900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533</v>
      </c>
      <c r="C121" s="137" t="s">
        <v>887</v>
      </c>
      <c r="D121" s="138" t="s">
        <v>382</v>
      </c>
      <c r="E121" s="115" t="s">
        <v>888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533</v>
      </c>
      <c r="C122" s="137" t="s">
        <v>968</v>
      </c>
      <c r="D122" s="138" t="s">
        <v>258</v>
      </c>
      <c r="E122" s="115" t="s">
        <v>561</v>
      </c>
      <c r="F122" s="143"/>
      <c r="G122" s="140" t="s">
        <v>534</v>
      </c>
      <c r="H122" s="336" t="s">
        <v>552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533</v>
      </c>
      <c r="C123" s="137" t="s">
        <v>141</v>
      </c>
      <c r="D123" s="138" t="s">
        <v>142</v>
      </c>
      <c r="E123" s="115" t="s">
        <v>600</v>
      </c>
      <c r="F123" s="143" t="s">
        <v>540</v>
      </c>
      <c r="G123" s="143" t="s">
        <v>549</v>
      </c>
      <c r="H123" s="336" t="s">
        <v>552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533</v>
      </c>
      <c r="C124" s="137" t="s">
        <v>1421</v>
      </c>
      <c r="D124" s="138" t="s">
        <v>19</v>
      </c>
      <c r="E124" s="115" t="s">
        <v>601</v>
      </c>
      <c r="F124" s="143" t="s">
        <v>602</v>
      </c>
      <c r="G124" s="143" t="s">
        <v>534</v>
      </c>
      <c r="H124" s="336" t="s">
        <v>552</v>
      </c>
      <c r="I124" s="338" t="s">
        <v>556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300</v>
      </c>
      <c r="M124" s="121"/>
      <c r="N124" s="131"/>
      <c r="O124" s="149"/>
      <c r="P124" s="150"/>
      <c r="Q124" s="132">
        <f t="shared" si="3"/>
        <v>100</v>
      </c>
      <c r="R124" s="125">
        <f>250+150</f>
        <v>400</v>
      </c>
      <c r="S124" s="125"/>
      <c r="T124" s="126">
        <f t="shared" si="2"/>
        <v>300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533</v>
      </c>
      <c r="C125" s="137" t="s">
        <v>20</v>
      </c>
      <c r="D125" s="138" t="s">
        <v>19</v>
      </c>
      <c r="E125" s="115"/>
      <c r="F125" s="143" t="s">
        <v>540</v>
      </c>
      <c r="G125" s="143" t="s">
        <v>534</v>
      </c>
      <c r="H125" s="336" t="s">
        <v>552</v>
      </c>
      <c r="I125" s="338" t="s">
        <v>556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533</v>
      </c>
      <c r="C126" s="137" t="s">
        <v>1177</v>
      </c>
      <c r="D126" s="138" t="s">
        <v>210</v>
      </c>
      <c r="E126" s="115" t="s">
        <v>571</v>
      </c>
      <c r="F126" s="143" t="s">
        <v>537</v>
      </c>
      <c r="G126" s="143" t="s">
        <v>562</v>
      </c>
      <c r="H126" s="336" t="s">
        <v>552</v>
      </c>
      <c r="I126" s="148"/>
      <c r="J126" s="130">
        <v>20550</v>
      </c>
      <c r="K126" s="119">
        <f>+SUMIF('Nhập kho  입'!A:A,C126,'Nhập kho  입'!E:E)</f>
        <v>19200</v>
      </c>
      <c r="L126" s="120">
        <f>+SUMIF(' Xuất kho 출'!A:A,C126,' Xuất kho 출'!E:E)</f>
        <v>20000</v>
      </c>
      <c r="M126" s="121"/>
      <c r="N126" s="131"/>
      <c r="O126" s="149"/>
      <c r="P126" s="150"/>
      <c r="Q126" s="132">
        <f t="shared" si="3"/>
        <v>19750</v>
      </c>
      <c r="R126" s="125">
        <f>48*50+24*50+48*50+36*50+11*50+44*50+10000</f>
        <v>20550</v>
      </c>
      <c r="S126" s="125"/>
      <c r="T126" s="126">
        <f t="shared" si="2"/>
        <v>800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533</v>
      </c>
      <c r="C127" s="137" t="s">
        <v>300</v>
      </c>
      <c r="D127" s="138" t="s">
        <v>301</v>
      </c>
      <c r="E127" s="115" t="s">
        <v>603</v>
      </c>
      <c r="F127" s="143">
        <v>125150</v>
      </c>
      <c r="G127" s="143" t="s">
        <v>562</v>
      </c>
      <c r="H127" s="336" t="s">
        <v>552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533</v>
      </c>
      <c r="C128" s="137" t="s">
        <v>1139</v>
      </c>
      <c r="D128" s="138" t="s">
        <v>301</v>
      </c>
      <c r="E128" s="115" t="s">
        <v>564</v>
      </c>
      <c r="F128" s="339" t="s">
        <v>537</v>
      </c>
      <c r="G128" s="152" t="s">
        <v>534</v>
      </c>
      <c r="H128" s="336" t="s">
        <v>552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533</v>
      </c>
      <c r="C129" s="137" t="s">
        <v>1091</v>
      </c>
      <c r="D129" s="138" t="s">
        <v>486</v>
      </c>
      <c r="E129" s="115" t="s">
        <v>604</v>
      </c>
      <c r="F129" s="142"/>
      <c r="G129" s="152" t="s">
        <v>549</v>
      </c>
      <c r="H129" s="336" t="s">
        <v>573</v>
      </c>
      <c r="I129" s="148"/>
      <c r="J129" s="130">
        <v>3500</v>
      </c>
      <c r="K129" s="119">
        <f>+SUMIF('Nhập kho  입'!A:A,C129,'Nhập kho  입'!E:E)</f>
        <v>19900</v>
      </c>
      <c r="L129" s="120">
        <f>+SUMIF(' Xuất kho 출'!A:A,C129,' Xuất kho 출'!E:E)</f>
        <v>14400</v>
      </c>
      <c r="M129" s="121">
        <v>7200</v>
      </c>
      <c r="N129" s="131"/>
      <c r="O129" s="149"/>
      <c r="P129" s="150"/>
      <c r="Q129" s="132">
        <f t="shared" si="3"/>
        <v>9000</v>
      </c>
      <c r="R129" s="125">
        <f>100+2200+1200</f>
        <v>3500</v>
      </c>
      <c r="S129" s="125"/>
      <c r="T129" s="126">
        <f t="shared" si="2"/>
        <v>-5500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533</v>
      </c>
      <c r="C130" s="137" t="s">
        <v>365</v>
      </c>
      <c r="D130" s="138" t="s">
        <v>366</v>
      </c>
      <c r="E130" s="115"/>
      <c r="F130" s="142"/>
      <c r="G130" s="152"/>
      <c r="H130" s="336" t="s">
        <v>552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533</v>
      </c>
      <c r="C131" s="137" t="s">
        <v>320</v>
      </c>
      <c r="D131" s="138" t="s">
        <v>321</v>
      </c>
      <c r="E131" s="115" t="s">
        <v>542</v>
      </c>
      <c r="F131" s="143" t="s">
        <v>537</v>
      </c>
      <c r="G131" s="152" t="s">
        <v>541</v>
      </c>
      <c r="H131" s="336" t="s">
        <v>552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533</v>
      </c>
      <c r="C132" s="137" t="s">
        <v>882</v>
      </c>
      <c r="D132" s="138" t="s">
        <v>97</v>
      </c>
      <c r="E132" s="115" t="s">
        <v>605</v>
      </c>
      <c r="F132" s="143" t="s">
        <v>540</v>
      </c>
      <c r="G132" s="152" t="s">
        <v>549</v>
      </c>
      <c r="H132" s="336" t="s">
        <v>552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533</v>
      </c>
      <c r="C133" s="137" t="s">
        <v>1363</v>
      </c>
      <c r="D133" s="138" t="s">
        <v>273</v>
      </c>
      <c r="E133" s="115" t="s">
        <v>561</v>
      </c>
      <c r="F133" s="143">
        <v>125150</v>
      </c>
      <c r="G133" s="143" t="s">
        <v>534</v>
      </c>
      <c r="H133" s="336" t="s">
        <v>552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400</v>
      </c>
      <c r="M133" s="121"/>
      <c r="N133" s="131"/>
      <c r="O133" s="149"/>
      <c r="P133" s="150"/>
      <c r="Q133" s="132">
        <f t="shared" si="3"/>
        <v>400</v>
      </c>
      <c r="R133" s="125">
        <f>16*50</f>
        <v>800</v>
      </c>
      <c r="S133" s="125"/>
      <c r="T133" s="126">
        <f t="shared" si="2"/>
        <v>400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533</v>
      </c>
      <c r="C134" s="137" t="s">
        <v>181</v>
      </c>
      <c r="D134" s="138" t="s">
        <v>182</v>
      </c>
      <c r="E134" s="115"/>
      <c r="F134" s="143" t="s">
        <v>606</v>
      </c>
      <c r="G134" s="152" t="s">
        <v>534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533</v>
      </c>
      <c r="C135" s="137" t="s">
        <v>403</v>
      </c>
      <c r="D135" s="138" t="s">
        <v>404</v>
      </c>
      <c r="E135" s="115"/>
      <c r="F135" s="142"/>
      <c r="G135" s="152" t="s">
        <v>562</v>
      </c>
      <c r="H135" s="336" t="s">
        <v>552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533</v>
      </c>
      <c r="C136" s="137" t="s">
        <v>441</v>
      </c>
      <c r="D136" s="138" t="s">
        <v>442</v>
      </c>
      <c r="E136" s="115" t="s">
        <v>601</v>
      </c>
      <c r="F136" s="143"/>
      <c r="G136" s="152"/>
      <c r="H136" s="336" t="s">
        <v>546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533</v>
      </c>
      <c r="C137" s="137" t="s">
        <v>802</v>
      </c>
      <c r="D137" s="138" t="s">
        <v>295</v>
      </c>
      <c r="E137" s="115" t="s">
        <v>607</v>
      </c>
      <c r="F137" s="142" t="s">
        <v>537</v>
      </c>
      <c r="G137" s="152" t="s">
        <v>534</v>
      </c>
      <c r="H137" s="336" t="s">
        <v>546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533</v>
      </c>
      <c r="C138" s="137" t="s">
        <v>1310</v>
      </c>
      <c r="D138" s="138" t="s">
        <v>242</v>
      </c>
      <c r="E138" s="115" t="s">
        <v>608</v>
      </c>
      <c r="F138" s="142">
        <v>125140</v>
      </c>
      <c r="G138" s="143" t="s">
        <v>534</v>
      </c>
      <c r="H138" s="336" t="s">
        <v>552</v>
      </c>
      <c r="I138" s="148"/>
      <c r="J138" s="130">
        <v>1450</v>
      </c>
      <c r="K138" s="119">
        <f>+SUMIF('Nhập kho  입'!A:A,C138,'Nhập kho  입'!E:E)</f>
        <v>750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2200</v>
      </c>
      <c r="R138" s="125">
        <f>24*50+150+100</f>
        <v>1450</v>
      </c>
      <c r="S138" s="125"/>
      <c r="T138" s="126">
        <f t="shared" si="4"/>
        <v>-750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533</v>
      </c>
      <c r="C139" s="143" t="s">
        <v>198</v>
      </c>
      <c r="D139" s="138" t="s">
        <v>199</v>
      </c>
      <c r="E139" s="115" t="s">
        <v>609</v>
      </c>
      <c r="F139" s="142" t="s">
        <v>540</v>
      </c>
      <c r="G139" s="143" t="s">
        <v>549</v>
      </c>
      <c r="H139" s="336" t="s">
        <v>552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533</v>
      </c>
      <c r="C140" s="143" t="s">
        <v>30</v>
      </c>
      <c r="D140" s="138" t="s">
        <v>31</v>
      </c>
      <c r="E140" s="115"/>
      <c r="F140" s="142" t="s">
        <v>610</v>
      </c>
      <c r="G140" s="143" t="s">
        <v>534</v>
      </c>
      <c r="H140" s="336" t="s">
        <v>552</v>
      </c>
      <c r="I140" s="338" t="s">
        <v>541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533</v>
      </c>
      <c r="C141" s="143" t="s">
        <v>106</v>
      </c>
      <c r="D141" s="138" t="s">
        <v>107</v>
      </c>
      <c r="E141" s="115"/>
      <c r="F141" s="143" t="s">
        <v>540</v>
      </c>
      <c r="G141" s="143" t="s">
        <v>549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533</v>
      </c>
      <c r="C142" s="143" t="s">
        <v>83</v>
      </c>
      <c r="D142" s="138" t="s">
        <v>84</v>
      </c>
      <c r="E142" s="115"/>
      <c r="F142" s="143" t="s">
        <v>537</v>
      </c>
      <c r="G142" s="143" t="s">
        <v>534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533</v>
      </c>
      <c r="C143" s="143" t="s">
        <v>25</v>
      </c>
      <c r="D143" s="138" t="s">
        <v>26</v>
      </c>
      <c r="E143" s="115" t="s">
        <v>611</v>
      </c>
      <c r="F143" s="143">
        <v>125140</v>
      </c>
      <c r="G143" s="152" t="s">
        <v>534</v>
      </c>
      <c r="H143" s="336" t="s">
        <v>552</v>
      </c>
      <c r="I143" s="338" t="s">
        <v>541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533</v>
      </c>
      <c r="C144" s="143" t="s">
        <v>27</v>
      </c>
      <c r="D144" s="138" t="s">
        <v>26</v>
      </c>
      <c r="E144" s="115" t="s">
        <v>551</v>
      </c>
      <c r="F144" s="143">
        <v>125150</v>
      </c>
      <c r="G144" s="143" t="s">
        <v>534</v>
      </c>
      <c r="H144" s="336" t="s">
        <v>552</v>
      </c>
      <c r="I144" s="338" t="s">
        <v>541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533</v>
      </c>
      <c r="C145" s="143" t="s">
        <v>103</v>
      </c>
      <c r="D145" s="138" t="s">
        <v>104</v>
      </c>
      <c r="E145" s="115"/>
      <c r="F145" s="143" t="s">
        <v>540</v>
      </c>
      <c r="G145" s="143" t="s">
        <v>549</v>
      </c>
      <c r="H145" s="336" t="s">
        <v>552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533</v>
      </c>
      <c r="C146" s="143" t="s">
        <v>1501</v>
      </c>
      <c r="D146" s="138" t="s">
        <v>201</v>
      </c>
      <c r="E146" s="115" t="s">
        <v>568</v>
      </c>
      <c r="F146" s="142" t="s">
        <v>537</v>
      </c>
      <c r="G146" s="143" t="s">
        <v>562</v>
      </c>
      <c r="H146" s="336" t="s">
        <v>552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100</v>
      </c>
      <c r="M146" s="121"/>
      <c r="N146" s="131"/>
      <c r="O146" s="149"/>
      <c r="P146" s="150"/>
      <c r="Q146" s="132">
        <f t="shared" si="5"/>
        <v>1250</v>
      </c>
      <c r="R146" s="125">
        <f>27*50</f>
        <v>1350</v>
      </c>
      <c r="S146" s="125"/>
      <c r="T146" s="126">
        <f t="shared" si="4"/>
        <v>100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533</v>
      </c>
      <c r="C147" s="143" t="s">
        <v>416</v>
      </c>
      <c r="D147" s="138" t="s">
        <v>417</v>
      </c>
      <c r="E147" s="115" t="s">
        <v>542</v>
      </c>
      <c r="F147" s="143"/>
      <c r="G147" s="143" t="s">
        <v>562</v>
      </c>
      <c r="H147" s="336" t="s">
        <v>552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533</v>
      </c>
      <c r="C148" s="143" t="s">
        <v>127</v>
      </c>
      <c r="D148" s="138" t="s">
        <v>128</v>
      </c>
      <c r="E148" s="115" t="s">
        <v>591</v>
      </c>
      <c r="F148" s="143" t="s">
        <v>540</v>
      </c>
      <c r="G148" s="143" t="s">
        <v>534</v>
      </c>
      <c r="H148" s="336" t="s">
        <v>552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customHeight="1">
      <c r="A149" s="96"/>
      <c r="B149" s="147" t="s">
        <v>533</v>
      </c>
      <c r="C149" s="143" t="s">
        <v>1468</v>
      </c>
      <c r="D149" s="138" t="s">
        <v>99</v>
      </c>
      <c r="E149" s="115" t="s">
        <v>612</v>
      </c>
      <c r="F149" s="143" t="s">
        <v>540</v>
      </c>
      <c r="G149" s="152" t="s">
        <v>549</v>
      </c>
      <c r="H149" s="336" t="s">
        <v>552</v>
      </c>
      <c r="I149" s="148"/>
      <c r="J149" s="130">
        <v>0</v>
      </c>
      <c r="K149" s="119">
        <f>+SUMIF('Nhập kho  입'!A:A,C149,'Nhập kho  입'!E:E)</f>
        <v>300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300</v>
      </c>
      <c r="R149" s="125"/>
      <c r="S149" s="153"/>
      <c r="T149" s="126">
        <f t="shared" si="4"/>
        <v>-300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533</v>
      </c>
      <c r="C150" s="143" t="s">
        <v>28</v>
      </c>
      <c r="D150" s="138" t="s">
        <v>29</v>
      </c>
      <c r="E150" s="115" t="s">
        <v>613</v>
      </c>
      <c r="F150" s="142">
        <v>125150</v>
      </c>
      <c r="G150" s="152" t="s">
        <v>534</v>
      </c>
      <c r="H150" s="336" t="s">
        <v>552</v>
      </c>
      <c r="I150" s="338" t="s">
        <v>541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533</v>
      </c>
      <c r="C151" s="143" t="s">
        <v>1408</v>
      </c>
      <c r="D151" s="138" t="s">
        <v>92</v>
      </c>
      <c r="E151" s="115" t="s">
        <v>614</v>
      </c>
      <c r="F151" s="143" t="s">
        <v>540</v>
      </c>
      <c r="G151" s="152" t="s">
        <v>549</v>
      </c>
      <c r="H151" s="336" t="s">
        <v>546</v>
      </c>
      <c r="I151" s="148"/>
      <c r="J151" s="130">
        <v>100</v>
      </c>
      <c r="K151" s="119">
        <f>+SUMIF('Nhập kho  입'!A:A,C151,'Nhập kho  입'!E:E)</f>
        <v>6800</v>
      </c>
      <c r="L151" s="120">
        <f>+SUMIF(' Xuất kho 출'!A:A,C151,' Xuất kho 출'!E:E)</f>
        <v>300</v>
      </c>
      <c r="M151" s="121">
        <v>5000</v>
      </c>
      <c r="N151" s="131"/>
      <c r="O151" s="149"/>
      <c r="P151" s="150"/>
      <c r="Q151" s="132">
        <f t="shared" si="5"/>
        <v>6600</v>
      </c>
      <c r="R151" s="125">
        <v>100</v>
      </c>
      <c r="S151" s="125"/>
      <c r="T151" s="126">
        <f t="shared" si="4"/>
        <v>-6500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533</v>
      </c>
      <c r="C152" s="143" t="s">
        <v>93</v>
      </c>
      <c r="D152" s="138" t="s">
        <v>92</v>
      </c>
      <c r="E152" s="115"/>
      <c r="F152" s="142" t="s">
        <v>578</v>
      </c>
      <c r="G152" s="152"/>
      <c r="H152" s="336" t="s">
        <v>546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533</v>
      </c>
      <c r="C153" s="143" t="s">
        <v>989</v>
      </c>
      <c r="D153" s="138" t="s">
        <v>380</v>
      </c>
      <c r="E153" s="115" t="s">
        <v>568</v>
      </c>
      <c r="F153" s="142"/>
      <c r="G153" s="152" t="s">
        <v>534</v>
      </c>
      <c r="H153" s="336" t="s">
        <v>552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533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533</v>
      </c>
      <c r="C155" s="143" t="s">
        <v>454</v>
      </c>
      <c r="D155" s="138" t="s">
        <v>455</v>
      </c>
      <c r="E155" s="115" t="s">
        <v>587</v>
      </c>
      <c r="F155" s="142"/>
      <c r="G155" s="143"/>
      <c r="H155" s="336" t="s">
        <v>552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533</v>
      </c>
      <c r="C156" s="143" t="s">
        <v>991</v>
      </c>
      <c r="D156" s="138" t="s">
        <v>263</v>
      </c>
      <c r="E156" s="115" t="s">
        <v>542</v>
      </c>
      <c r="F156" s="143">
        <v>125150</v>
      </c>
      <c r="G156" s="152" t="s">
        <v>562</v>
      </c>
      <c r="H156" s="336" t="s">
        <v>552</v>
      </c>
      <c r="I156" s="148"/>
      <c r="J156" s="130">
        <v>1050</v>
      </c>
      <c r="K156" s="119">
        <f>+SUMIF('Nhập kho  입'!A:A,C156,'Nhập kho  입'!E:E)</f>
        <v>2400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3450</v>
      </c>
      <c r="R156" s="125">
        <f>20*50+50</f>
        <v>1050</v>
      </c>
      <c r="S156" s="125"/>
      <c r="T156" s="126">
        <f t="shared" si="4"/>
        <v>-2400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533</v>
      </c>
      <c r="C157" s="143" t="s">
        <v>800</v>
      </c>
      <c r="D157" s="138" t="s">
        <v>325</v>
      </c>
      <c r="E157" s="115" t="s">
        <v>601</v>
      </c>
      <c r="F157" s="143" t="s">
        <v>615</v>
      </c>
      <c r="G157" s="152" t="s">
        <v>541</v>
      </c>
      <c r="H157" s="336" t="s">
        <v>552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533</v>
      </c>
      <c r="C158" s="143" t="s">
        <v>326</v>
      </c>
      <c r="D158" s="138" t="s">
        <v>325</v>
      </c>
      <c r="E158" s="115" t="s">
        <v>616</v>
      </c>
      <c r="F158" s="143"/>
      <c r="G158" s="152" t="s">
        <v>541</v>
      </c>
      <c r="H158" s="336" t="s">
        <v>552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533</v>
      </c>
      <c r="C159" s="143" t="s">
        <v>1105</v>
      </c>
      <c r="D159" s="138" t="s">
        <v>459</v>
      </c>
      <c r="E159" s="115" t="s">
        <v>591</v>
      </c>
      <c r="F159" s="143"/>
      <c r="G159" s="152" t="s">
        <v>534</v>
      </c>
      <c r="H159" s="336" t="s">
        <v>552</v>
      </c>
      <c r="I159" s="148"/>
      <c r="J159" s="130">
        <v>10800</v>
      </c>
      <c r="K159" s="119">
        <f>+SUMIF('Nhập kho  입'!A:A,C159,'Nhập kho  입'!E:E)</f>
        <v>21600</v>
      </c>
      <c r="L159" s="120">
        <f>+SUMIF(' Xuất kho 출'!A:A,C159,' Xuất kho 출'!E:E)</f>
        <v>25200</v>
      </c>
      <c r="M159" s="121">
        <v>7200</v>
      </c>
      <c r="N159" s="131"/>
      <c r="O159" s="149"/>
      <c r="P159" s="150"/>
      <c r="Q159" s="132">
        <f t="shared" si="5"/>
        <v>7200</v>
      </c>
      <c r="R159" s="125">
        <f>3600+7200</f>
        <v>10800</v>
      </c>
      <c r="S159" s="125"/>
      <c r="T159" s="126">
        <f t="shared" si="4"/>
        <v>3600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customHeight="1">
      <c r="A160" s="96"/>
      <c r="B160" s="147" t="s">
        <v>533</v>
      </c>
      <c r="C160" s="143" t="s">
        <v>1262</v>
      </c>
      <c r="D160" s="138" t="s">
        <v>37</v>
      </c>
      <c r="E160" s="115" t="s">
        <v>571</v>
      </c>
      <c r="F160" s="143" t="s">
        <v>537</v>
      </c>
      <c r="G160" s="143" t="s">
        <v>562</v>
      </c>
      <c r="H160" s="336" t="s">
        <v>552</v>
      </c>
      <c r="I160" s="338" t="s">
        <v>541</v>
      </c>
      <c r="J160" s="130">
        <v>0</v>
      </c>
      <c r="K160" s="119">
        <f>+SUMIF('Nhập kho  입'!A:A,C160,'Nhập kho  입'!E:E)</f>
        <v>8000</v>
      </c>
      <c r="L160" s="120">
        <f>+SUMIF(' Xuất kho 출'!A:A,C160,' Xuất kho 출'!E:E)</f>
        <v>1900</v>
      </c>
      <c r="M160" s="121"/>
      <c r="N160" s="131"/>
      <c r="O160" s="149"/>
      <c r="P160" s="150"/>
      <c r="Q160" s="132">
        <f t="shared" si="5"/>
        <v>6100</v>
      </c>
      <c r="R160" s="125"/>
      <c r="S160" s="125"/>
      <c r="T160" s="126">
        <f t="shared" si="4"/>
        <v>-6100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customHeight="1">
      <c r="A161" s="96"/>
      <c r="B161" s="147" t="s">
        <v>533</v>
      </c>
      <c r="C161" s="143" t="s">
        <v>820</v>
      </c>
      <c r="D161" s="138" t="s">
        <v>45</v>
      </c>
      <c r="E161" s="115" t="s">
        <v>547</v>
      </c>
      <c r="F161" s="143">
        <v>125150</v>
      </c>
      <c r="G161" s="143" t="s">
        <v>549</v>
      </c>
      <c r="H161" s="336" t="s">
        <v>552</v>
      </c>
      <c r="I161" s="338" t="s">
        <v>541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0</v>
      </c>
      <c r="M161" s="121"/>
      <c r="N161" s="131"/>
      <c r="O161" s="149"/>
      <c r="P161" s="150"/>
      <c r="Q161" s="132">
        <f t="shared" si="5"/>
        <v>2500</v>
      </c>
      <c r="R161" s="125">
        <v>2500</v>
      </c>
      <c r="S161" s="125"/>
      <c r="T161" s="126">
        <f t="shared" si="4"/>
        <v>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533</v>
      </c>
      <c r="C162" s="143" t="s">
        <v>38</v>
      </c>
      <c r="D162" s="138" t="s">
        <v>39</v>
      </c>
      <c r="E162" s="115" t="s">
        <v>561</v>
      </c>
      <c r="F162" s="143">
        <v>125150</v>
      </c>
      <c r="G162" s="143" t="s">
        <v>562</v>
      </c>
      <c r="H162" s="336" t="s">
        <v>552</v>
      </c>
      <c r="I162" s="338" t="s">
        <v>541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533</v>
      </c>
      <c r="C163" s="143" t="s">
        <v>40</v>
      </c>
      <c r="D163" s="138" t="s">
        <v>39</v>
      </c>
      <c r="E163" s="115"/>
      <c r="F163" s="143">
        <v>125150</v>
      </c>
      <c r="G163" s="152" t="s">
        <v>562</v>
      </c>
      <c r="H163" s="336" t="s">
        <v>552</v>
      </c>
      <c r="I163" s="338" t="s">
        <v>541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533</v>
      </c>
      <c r="C164" s="143" t="s">
        <v>948</v>
      </c>
      <c r="D164" s="138" t="s">
        <v>174</v>
      </c>
      <c r="E164" s="115" t="s">
        <v>605</v>
      </c>
      <c r="F164" s="142" t="s">
        <v>540</v>
      </c>
      <c r="G164" s="143" t="s">
        <v>617</v>
      </c>
      <c r="H164" s="336" t="s">
        <v>552</v>
      </c>
      <c r="I164" s="148"/>
      <c r="J164" s="130">
        <v>4300</v>
      </c>
      <c r="K164" s="119">
        <f>+SUMIF('Nhập kho  입'!A:A,C164,'Nhập kho  입'!E:E)</f>
        <v>0</v>
      </c>
      <c r="L164" s="120">
        <f>+SUMIF(' Xuất kho 출'!A:A,C164,' Xuất kho 출'!E:E)</f>
        <v>0</v>
      </c>
      <c r="M164" s="121">
        <v>1000</v>
      </c>
      <c r="N164" s="131"/>
      <c r="O164" s="149"/>
      <c r="P164" s="150"/>
      <c r="Q164" s="132">
        <f t="shared" si="5"/>
        <v>4300</v>
      </c>
      <c r="R164" s="125">
        <f>1200+3100</f>
        <v>4300</v>
      </c>
      <c r="S164" s="125"/>
      <c r="T164" s="126">
        <f t="shared" si="4"/>
        <v>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533</v>
      </c>
      <c r="C165" s="143" t="s">
        <v>978</v>
      </c>
      <c r="D165" s="138" t="s">
        <v>24</v>
      </c>
      <c r="E165" s="115" t="s">
        <v>542</v>
      </c>
      <c r="F165" s="143" t="s">
        <v>574</v>
      </c>
      <c r="G165" s="152" t="s">
        <v>534</v>
      </c>
      <c r="H165" s="336" t="s">
        <v>546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533</v>
      </c>
      <c r="C166" s="143" t="s">
        <v>157</v>
      </c>
      <c r="D166" s="138" t="s">
        <v>158</v>
      </c>
      <c r="E166" s="115" t="s">
        <v>600</v>
      </c>
      <c r="F166" s="143" t="s">
        <v>540</v>
      </c>
      <c r="G166" s="152" t="s">
        <v>617</v>
      </c>
      <c r="H166" s="336" t="s">
        <v>552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533</v>
      </c>
      <c r="C167" s="143" t="s">
        <v>7</v>
      </c>
      <c r="D167" s="138" t="s">
        <v>8</v>
      </c>
      <c r="E167" s="115" t="s">
        <v>561</v>
      </c>
      <c r="F167" s="142">
        <v>125150</v>
      </c>
      <c r="G167" s="143" t="s">
        <v>562</v>
      </c>
      <c r="H167" s="336" t="s">
        <v>552</v>
      </c>
      <c r="I167" s="338" t="s">
        <v>541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533</v>
      </c>
      <c r="C168" s="143" t="s">
        <v>285</v>
      </c>
      <c r="D168" s="138" t="s">
        <v>286</v>
      </c>
      <c r="E168" s="115" t="s">
        <v>618</v>
      </c>
      <c r="F168" s="142" t="s">
        <v>537</v>
      </c>
      <c r="G168" s="137" t="s">
        <v>617</v>
      </c>
      <c r="H168" s="336" t="s">
        <v>552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533</v>
      </c>
      <c r="C169" s="143" t="s">
        <v>1014</v>
      </c>
      <c r="D169" s="138" t="s">
        <v>119</v>
      </c>
      <c r="E169" s="115" t="s">
        <v>618</v>
      </c>
      <c r="F169" s="143" t="s">
        <v>537</v>
      </c>
      <c r="G169" s="152" t="s">
        <v>617</v>
      </c>
      <c r="H169" s="336" t="s">
        <v>552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0</v>
      </c>
      <c r="M169" s="121"/>
      <c r="N169" s="131"/>
      <c r="O169" s="149"/>
      <c r="P169" s="150"/>
      <c r="Q169" s="132">
        <f t="shared" si="5"/>
        <v>17300</v>
      </c>
      <c r="R169" s="125">
        <f>400+1200+400+3300+3500+3600+800+3500+700+3400</f>
        <v>20800</v>
      </c>
      <c r="S169" s="125"/>
      <c r="T169" s="126">
        <f t="shared" si="4"/>
        <v>3500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533</v>
      </c>
      <c r="C170" s="143" t="s">
        <v>120</v>
      </c>
      <c r="D170" s="138" t="s">
        <v>119</v>
      </c>
      <c r="E170" s="115" t="s">
        <v>619</v>
      </c>
      <c r="F170" s="143" t="s">
        <v>537</v>
      </c>
      <c r="G170" s="143" t="s">
        <v>617</v>
      </c>
      <c r="H170" s="336" t="s">
        <v>552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533</v>
      </c>
      <c r="C171" s="143" t="s">
        <v>94</v>
      </c>
      <c r="D171" s="138" t="s">
        <v>95</v>
      </c>
      <c r="E171" s="115"/>
      <c r="F171" s="142" t="s">
        <v>537</v>
      </c>
      <c r="G171" s="143" t="s">
        <v>549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533</v>
      </c>
      <c r="C172" s="143" t="s">
        <v>164</v>
      </c>
      <c r="D172" s="138" t="s">
        <v>95</v>
      </c>
      <c r="E172" s="115"/>
      <c r="F172" s="142" t="s">
        <v>578</v>
      </c>
      <c r="G172" s="143" t="s">
        <v>617</v>
      </c>
      <c r="H172" s="336" t="s">
        <v>552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533</v>
      </c>
      <c r="C173" s="143" t="s">
        <v>949</v>
      </c>
      <c r="D173" s="138" t="s">
        <v>347</v>
      </c>
      <c r="E173" s="115" t="s">
        <v>620</v>
      </c>
      <c r="F173" s="142" t="s">
        <v>540</v>
      </c>
      <c r="G173" s="152" t="s">
        <v>534</v>
      </c>
      <c r="H173" s="336" t="s">
        <v>546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4500</v>
      </c>
      <c r="M173" s="121"/>
      <c r="N173" s="131"/>
      <c r="O173" s="149"/>
      <c r="P173" s="150"/>
      <c r="Q173" s="132">
        <f t="shared" si="5"/>
        <v>7000</v>
      </c>
      <c r="R173" s="125">
        <f>500+3150</f>
        <v>3650</v>
      </c>
      <c r="S173" s="125"/>
      <c r="T173" s="126">
        <f t="shared" si="4"/>
        <v>-3350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533</v>
      </c>
      <c r="C174" s="143" t="s">
        <v>924</v>
      </c>
      <c r="D174" s="138" t="s">
        <v>78</v>
      </c>
      <c r="E174" s="115" t="s">
        <v>618</v>
      </c>
      <c r="F174" s="142" t="s">
        <v>537</v>
      </c>
      <c r="G174" s="152" t="s">
        <v>617</v>
      </c>
      <c r="H174" s="336" t="s">
        <v>552</v>
      </c>
      <c r="I174" s="148"/>
      <c r="J174" s="130">
        <v>1100</v>
      </c>
      <c r="K174" s="119">
        <f>+SUMIF('Nhập kho  입'!A:A,C174,'Nhập kho  입'!E:E)</f>
        <v>18600</v>
      </c>
      <c r="L174" s="120">
        <f>+SUMIF(' Xuất kho 출'!A:A,C174,' Xuất kho 출'!E:E)</f>
        <v>0</v>
      </c>
      <c r="M174" s="121">
        <v>15000</v>
      </c>
      <c r="N174" s="131"/>
      <c r="O174" s="149"/>
      <c r="P174" s="150"/>
      <c r="Q174" s="132">
        <f t="shared" si="5"/>
        <v>19700</v>
      </c>
      <c r="R174" s="125">
        <v>1100</v>
      </c>
      <c r="S174" s="125"/>
      <c r="T174" s="126">
        <f t="shared" si="4"/>
        <v>-18600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533</v>
      </c>
      <c r="C175" s="143" t="s">
        <v>79</v>
      </c>
      <c r="D175" s="138" t="s">
        <v>78</v>
      </c>
      <c r="E175" s="115"/>
      <c r="F175" s="142" t="s">
        <v>537</v>
      </c>
      <c r="G175" s="152" t="s">
        <v>617</v>
      </c>
      <c r="H175" s="336" t="s">
        <v>552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533</v>
      </c>
      <c r="C176" s="143" t="s">
        <v>1455</v>
      </c>
      <c r="D176" s="138" t="s">
        <v>345</v>
      </c>
      <c r="E176" s="115" t="s">
        <v>621</v>
      </c>
      <c r="F176" s="142">
        <v>125140</v>
      </c>
      <c r="G176" s="152" t="s">
        <v>562</v>
      </c>
      <c r="H176" s="336" t="s">
        <v>552</v>
      </c>
      <c r="I176" s="148"/>
      <c r="J176" s="130">
        <v>1600</v>
      </c>
      <c r="K176" s="119">
        <f>+SUMIF('Nhập kho  입'!A:A,C176,'Nhập kho  입'!E:E)</f>
        <v>2400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4000</v>
      </c>
      <c r="R176" s="125">
        <f>32*50</f>
        <v>1600</v>
      </c>
      <c r="S176" s="125"/>
      <c r="T176" s="126">
        <f t="shared" si="4"/>
        <v>-2400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533</v>
      </c>
      <c r="C177" s="143" t="s">
        <v>1112</v>
      </c>
      <c r="D177" s="138" t="s">
        <v>1103</v>
      </c>
      <c r="E177" s="115" t="s">
        <v>622</v>
      </c>
      <c r="F177" s="142"/>
      <c r="G177" s="143" t="s">
        <v>562</v>
      </c>
      <c r="H177" s="336" t="s">
        <v>552</v>
      </c>
      <c r="I177" s="148"/>
      <c r="J177" s="130">
        <v>1050</v>
      </c>
      <c r="K177" s="119">
        <f>+SUMIF('Nhập kho  입'!A:A,C177,'Nhập kho  입'!E:E)</f>
        <v>36350</v>
      </c>
      <c r="L177" s="120">
        <f>+SUMIF(' Xuất kho 출'!A:A,C177,' Xuất kho 출'!E:E)</f>
        <v>25200</v>
      </c>
      <c r="M177" s="121"/>
      <c r="N177" s="131"/>
      <c r="O177" s="149"/>
      <c r="P177" s="150"/>
      <c r="Q177" s="132">
        <f t="shared" si="5"/>
        <v>12200</v>
      </c>
      <c r="R177" s="125">
        <f>500+550</f>
        <v>1050</v>
      </c>
      <c r="S177" s="125"/>
      <c r="T177" s="126">
        <f t="shared" si="4"/>
        <v>-11150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533</v>
      </c>
      <c r="C178" s="143" t="s">
        <v>1431</v>
      </c>
      <c r="D178" s="138" t="s">
        <v>144</v>
      </c>
      <c r="E178" s="115" t="s">
        <v>623</v>
      </c>
      <c r="F178" s="143" t="s">
        <v>540</v>
      </c>
      <c r="G178" s="143" t="s">
        <v>549</v>
      </c>
      <c r="H178" s="336" t="s">
        <v>552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300</v>
      </c>
      <c r="M178" s="121"/>
      <c r="N178" s="131"/>
      <c r="O178" s="149"/>
      <c r="P178" s="150"/>
      <c r="Q178" s="132">
        <f t="shared" si="5"/>
        <v>1900</v>
      </c>
      <c r="R178" s="125">
        <v>2200</v>
      </c>
      <c r="S178" s="125"/>
      <c r="T178" s="126">
        <f t="shared" si="4"/>
        <v>300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533</v>
      </c>
      <c r="C179" s="143" t="s">
        <v>145</v>
      </c>
      <c r="D179" s="138" t="s">
        <v>144</v>
      </c>
      <c r="E179" s="115"/>
      <c r="F179" s="143" t="s">
        <v>578</v>
      </c>
      <c r="G179" s="152" t="s">
        <v>549</v>
      </c>
      <c r="H179" s="336" t="s">
        <v>552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533</v>
      </c>
      <c r="C180" s="143" t="s">
        <v>1361</v>
      </c>
      <c r="D180" s="138" t="s">
        <v>86</v>
      </c>
      <c r="E180" s="115" t="s">
        <v>571</v>
      </c>
      <c r="F180" s="143" t="s">
        <v>537</v>
      </c>
      <c r="G180" s="152" t="s">
        <v>562</v>
      </c>
      <c r="H180" s="336" t="s">
        <v>552</v>
      </c>
      <c r="I180" s="148"/>
      <c r="J180" s="130">
        <v>21150</v>
      </c>
      <c r="K180" s="119">
        <f>+SUMIF('Nhập kho  입'!A:A,C180,'Nhập kho  입'!E:E)</f>
        <v>4950</v>
      </c>
      <c r="L180" s="120">
        <f>+SUMIF(' Xuất kho 출'!A:A,C180,' Xuất kho 출'!E:E)</f>
        <v>20000</v>
      </c>
      <c r="M180" s="121"/>
      <c r="N180" s="131"/>
      <c r="O180" s="149"/>
      <c r="P180" s="150"/>
      <c r="Q180" s="132">
        <f t="shared" si="5"/>
        <v>6100</v>
      </c>
      <c r="R180" s="125">
        <f>32*50+48*50+48*50+47*50+10000+2400</f>
        <v>21150</v>
      </c>
      <c r="S180" s="125"/>
      <c r="T180" s="126">
        <f t="shared" si="4"/>
        <v>15050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533</v>
      </c>
      <c r="C181" s="143" t="s">
        <v>235</v>
      </c>
      <c r="D181" s="138" t="s">
        <v>236</v>
      </c>
      <c r="E181" s="115" t="s">
        <v>587</v>
      </c>
      <c r="F181" s="143">
        <v>125150</v>
      </c>
      <c r="G181" s="143" t="s">
        <v>534</v>
      </c>
      <c r="H181" s="336" t="s">
        <v>546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533</v>
      </c>
      <c r="C182" s="143" t="s">
        <v>237</v>
      </c>
      <c r="D182" s="138" t="s">
        <v>236</v>
      </c>
      <c r="E182" s="115" t="s">
        <v>579</v>
      </c>
      <c r="F182" s="143">
        <v>125150</v>
      </c>
      <c r="G182" s="143" t="s">
        <v>534</v>
      </c>
      <c r="H182" s="336" t="s">
        <v>546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533</v>
      </c>
      <c r="C183" s="143" t="s">
        <v>1137</v>
      </c>
      <c r="D183" s="138" t="s">
        <v>474</v>
      </c>
      <c r="E183" s="115" t="s">
        <v>566</v>
      </c>
      <c r="F183" s="143"/>
      <c r="G183" s="143" t="s">
        <v>562</v>
      </c>
      <c r="H183" s="336" t="s">
        <v>546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533</v>
      </c>
      <c r="C184" s="143" t="s">
        <v>121</v>
      </c>
      <c r="D184" s="138" t="s">
        <v>122</v>
      </c>
      <c r="E184" s="115"/>
      <c r="F184" s="143" t="s">
        <v>537</v>
      </c>
      <c r="G184" s="143" t="s">
        <v>617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533</v>
      </c>
      <c r="C185" s="143" t="s">
        <v>792</v>
      </c>
      <c r="D185" s="138" t="s">
        <v>149</v>
      </c>
      <c r="E185" s="115" t="s">
        <v>618</v>
      </c>
      <c r="F185" s="143" t="s">
        <v>540</v>
      </c>
      <c r="G185" s="152" t="s">
        <v>617</v>
      </c>
      <c r="H185" s="336" t="s">
        <v>552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533</v>
      </c>
      <c r="C186" s="143" t="s">
        <v>150</v>
      </c>
      <c r="D186" s="138" t="s">
        <v>149</v>
      </c>
      <c r="E186" s="115"/>
      <c r="F186" s="143" t="s">
        <v>540</v>
      </c>
      <c r="G186" s="152" t="s">
        <v>617</v>
      </c>
      <c r="H186" s="336" t="s">
        <v>552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533</v>
      </c>
      <c r="C187" s="143" t="s">
        <v>56</v>
      </c>
      <c r="D187" s="138" t="s">
        <v>57</v>
      </c>
      <c r="E187" s="115"/>
      <c r="F187" s="143">
        <v>125140</v>
      </c>
      <c r="G187" s="340" t="s">
        <v>562</v>
      </c>
      <c r="H187" s="115"/>
      <c r="I187" s="338" t="s">
        <v>541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533</v>
      </c>
      <c r="C188" s="143" t="s">
        <v>131</v>
      </c>
      <c r="D188" s="138" t="s">
        <v>132</v>
      </c>
      <c r="E188" s="115"/>
      <c r="F188" s="142">
        <v>125140</v>
      </c>
      <c r="G188" s="137" t="s">
        <v>562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533</v>
      </c>
      <c r="C189" s="137" t="s">
        <v>54</v>
      </c>
      <c r="D189" s="138" t="s">
        <v>55</v>
      </c>
      <c r="E189" s="115"/>
      <c r="F189" s="142">
        <v>125140</v>
      </c>
      <c r="G189" s="137" t="s">
        <v>562</v>
      </c>
      <c r="H189" s="115"/>
      <c r="I189" s="338" t="s">
        <v>541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533</v>
      </c>
      <c r="C190" s="143" t="s">
        <v>413</v>
      </c>
      <c r="D190" s="138" t="s">
        <v>414</v>
      </c>
      <c r="E190" s="115" t="s">
        <v>545</v>
      </c>
      <c r="F190" s="142"/>
      <c r="G190" s="340" t="s">
        <v>562</v>
      </c>
      <c r="H190" s="336" t="s">
        <v>552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/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533</v>
      </c>
      <c r="C191" s="143" t="s">
        <v>415</v>
      </c>
      <c r="D191" s="138" t="s">
        <v>414</v>
      </c>
      <c r="E191" s="115" t="s">
        <v>566</v>
      </c>
      <c r="F191" s="142"/>
      <c r="G191" s="137" t="s">
        <v>562</v>
      </c>
      <c r="H191" s="336" t="s">
        <v>552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533</v>
      </c>
      <c r="C192" s="137" t="s">
        <v>813</v>
      </c>
      <c r="D192" s="138" t="s">
        <v>464</v>
      </c>
      <c r="E192" s="115" t="s">
        <v>591</v>
      </c>
      <c r="F192" s="142"/>
      <c r="G192" s="137" t="s">
        <v>562</v>
      </c>
      <c r="H192" s="336" t="s">
        <v>552</v>
      </c>
      <c r="I192" s="148"/>
      <c r="J192" s="130">
        <v>2300</v>
      </c>
      <c r="K192" s="119">
        <f>+SUMIF('Nhập kho  입'!A:A,C192,'Nhập kho  입'!E:E)</f>
        <v>9900</v>
      </c>
      <c r="L192" s="120">
        <f>+SUMIF(' Xuất kho 출'!A:A,C192,' Xuất kho 출'!E:E)</f>
        <v>7200</v>
      </c>
      <c r="M192" s="121">
        <v>3600</v>
      </c>
      <c r="N192" s="131"/>
      <c r="O192" s="149"/>
      <c r="P192" s="150"/>
      <c r="Q192" s="132">
        <f t="shared" si="5"/>
        <v>5000</v>
      </c>
      <c r="R192" s="125">
        <f>46*50</f>
        <v>2300</v>
      </c>
      <c r="S192" s="135"/>
      <c r="T192" s="126">
        <f t="shared" si="4"/>
        <v>-2700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533</v>
      </c>
      <c r="C193" s="137" t="s">
        <v>207</v>
      </c>
      <c r="D193" s="138" t="s">
        <v>208</v>
      </c>
      <c r="E193" s="115"/>
      <c r="F193" s="143">
        <v>125140</v>
      </c>
      <c r="G193" s="137" t="s">
        <v>562</v>
      </c>
      <c r="H193" s="336" t="s">
        <v>552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533</v>
      </c>
      <c r="C194" s="137" t="s">
        <v>153</v>
      </c>
      <c r="D194" s="138" t="s">
        <v>154</v>
      </c>
      <c r="E194" s="115"/>
      <c r="F194" s="142" t="s">
        <v>574</v>
      </c>
      <c r="G194" s="137" t="s">
        <v>534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533</v>
      </c>
      <c r="C195" s="137" t="s">
        <v>1359</v>
      </c>
      <c r="D195" s="138" t="s">
        <v>853</v>
      </c>
      <c r="E195" s="115" t="s">
        <v>568</v>
      </c>
      <c r="F195" s="143"/>
      <c r="G195" s="137" t="s">
        <v>562</v>
      </c>
      <c r="H195" s="336" t="s">
        <v>552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5400</v>
      </c>
      <c r="M195" s="121"/>
      <c r="N195" s="131"/>
      <c r="O195" s="149"/>
      <c r="P195" s="150"/>
      <c r="Q195" s="132">
        <f t="shared" si="5"/>
        <v>350</v>
      </c>
      <c r="R195" s="125">
        <f>20*50</f>
        <v>1000</v>
      </c>
      <c r="S195" s="125"/>
      <c r="T195" s="126">
        <f t="shared" si="4"/>
        <v>650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533</v>
      </c>
      <c r="C196" s="137" t="s">
        <v>1059</v>
      </c>
      <c r="D196" s="138" t="s">
        <v>288</v>
      </c>
      <c r="E196" s="115" t="s">
        <v>618</v>
      </c>
      <c r="F196" s="142" t="s">
        <v>540</v>
      </c>
      <c r="G196" s="137" t="s">
        <v>549</v>
      </c>
      <c r="H196" s="336" t="s">
        <v>552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533</v>
      </c>
      <c r="C197" s="137" t="s">
        <v>289</v>
      </c>
      <c r="D197" s="138" t="s">
        <v>288</v>
      </c>
      <c r="E197" s="115" t="s">
        <v>623</v>
      </c>
      <c r="F197" s="143" t="s">
        <v>540</v>
      </c>
      <c r="G197" s="137" t="s">
        <v>549</v>
      </c>
      <c r="H197" s="336" t="s">
        <v>552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533</v>
      </c>
      <c r="C198" s="137" t="s">
        <v>1366</v>
      </c>
      <c r="D198" s="138" t="s">
        <v>432</v>
      </c>
      <c r="E198" s="115" t="s">
        <v>561</v>
      </c>
      <c r="F198" s="143"/>
      <c r="G198" s="137" t="s">
        <v>617</v>
      </c>
      <c r="H198" s="336" t="s">
        <v>552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4800</v>
      </c>
      <c r="M198" s="121"/>
      <c r="N198" s="131"/>
      <c r="O198" s="149"/>
      <c r="P198" s="150"/>
      <c r="Q198" s="132">
        <f t="shared" si="5"/>
        <v>9200</v>
      </c>
      <c r="R198" s="125">
        <f>300+2200</f>
        <v>2500</v>
      </c>
      <c r="S198" s="125"/>
      <c r="T198" s="126">
        <f t="shared" si="4"/>
        <v>-6700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533</v>
      </c>
      <c r="C199" s="137" t="s">
        <v>891</v>
      </c>
      <c r="D199" s="138" t="s">
        <v>14</v>
      </c>
      <c r="E199" s="115"/>
      <c r="F199" s="143">
        <v>125150</v>
      </c>
      <c r="G199" s="137" t="s">
        <v>562</v>
      </c>
      <c r="H199" s="336" t="s">
        <v>552</v>
      </c>
      <c r="I199" s="338" t="s">
        <v>541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0</v>
      </c>
      <c r="M199" s="121"/>
      <c r="N199" s="131"/>
      <c r="O199" s="149"/>
      <c r="P199" s="150"/>
      <c r="Q199" s="132">
        <f t="shared" si="5"/>
        <v>1800</v>
      </c>
      <c r="R199" s="125">
        <f>36*50</f>
        <v>1800</v>
      </c>
      <c r="S199" s="125"/>
      <c r="T199" s="126">
        <f t="shared" si="4"/>
        <v>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533</v>
      </c>
      <c r="C200" s="137" t="s">
        <v>15</v>
      </c>
      <c r="D200" s="138" t="s">
        <v>14</v>
      </c>
      <c r="E200" s="115"/>
      <c r="F200" s="143">
        <v>125150</v>
      </c>
      <c r="G200" s="143" t="s">
        <v>562</v>
      </c>
      <c r="H200" s="336" t="s">
        <v>552</v>
      </c>
      <c r="I200" s="338" t="s">
        <v>541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customHeight="1">
      <c r="A201" s="96"/>
      <c r="B201" s="147" t="s">
        <v>533</v>
      </c>
      <c r="C201" s="137" t="s">
        <v>471</v>
      </c>
      <c r="D201" s="138" t="s">
        <v>472</v>
      </c>
      <c r="E201" s="115" t="s">
        <v>620</v>
      </c>
      <c r="F201" s="143"/>
      <c r="G201" s="143" t="s">
        <v>562</v>
      </c>
      <c r="H201" s="336" t="s">
        <v>552</v>
      </c>
      <c r="I201" s="148"/>
      <c r="J201" s="130">
        <v>0</v>
      </c>
      <c r="K201" s="119">
        <f>+SUMIF('Nhập kho  입'!A:A,C201,'Nhập kho  입'!E:E)</f>
        <v>2000</v>
      </c>
      <c r="L201" s="120">
        <f>+SUMIF(' Xuất kho 출'!A:A,C201,' Xuất kho 출'!E:E)</f>
        <v>1100</v>
      </c>
      <c r="M201" s="121"/>
      <c r="N201" s="131"/>
      <c r="O201" s="149"/>
      <c r="P201" s="150"/>
      <c r="Q201" s="132">
        <f t="shared" ref="Q201:Q265" si="7">+J201+K201-L201-N201</f>
        <v>900</v>
      </c>
      <c r="R201" s="125"/>
      <c r="S201" s="125"/>
      <c r="T201" s="126">
        <f t="shared" si="6"/>
        <v>-900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533</v>
      </c>
      <c r="C202" s="137" t="s">
        <v>298</v>
      </c>
      <c r="D202" s="138" t="s">
        <v>299</v>
      </c>
      <c r="E202" s="115" t="s">
        <v>620</v>
      </c>
      <c r="F202" s="143">
        <v>125150</v>
      </c>
      <c r="G202" s="152" t="s">
        <v>562</v>
      </c>
      <c r="H202" s="336" t="s">
        <v>552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533</v>
      </c>
      <c r="C203" s="137" t="s">
        <v>123</v>
      </c>
      <c r="D203" s="138" t="s">
        <v>124</v>
      </c>
      <c r="E203" s="115"/>
      <c r="F203" s="143" t="s">
        <v>540</v>
      </c>
      <c r="G203" s="143" t="s">
        <v>549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624</v>
      </c>
      <c r="B204" s="147" t="s">
        <v>533</v>
      </c>
      <c r="C204" s="137" t="s">
        <v>108</v>
      </c>
      <c r="D204" s="138" t="s">
        <v>109</v>
      </c>
      <c r="E204" s="115"/>
      <c r="F204" s="143">
        <v>125140</v>
      </c>
      <c r="G204" s="137" t="s">
        <v>562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533</v>
      </c>
      <c r="C205" s="137" t="s">
        <v>1429</v>
      </c>
      <c r="D205" s="138" t="s">
        <v>162</v>
      </c>
      <c r="E205" s="115" t="s">
        <v>586</v>
      </c>
      <c r="F205" s="143" t="s">
        <v>537</v>
      </c>
      <c r="G205" s="143" t="s">
        <v>617</v>
      </c>
      <c r="H205" s="336" t="s">
        <v>552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1000</v>
      </c>
      <c r="M205" s="121"/>
      <c r="N205" s="131"/>
      <c r="O205" s="149"/>
      <c r="P205" s="150"/>
      <c r="Q205" s="132">
        <f t="shared" si="7"/>
        <v>12200</v>
      </c>
      <c r="R205" s="125">
        <f>1500+1200+1200+3600+3600+400+1700</f>
        <v>13200</v>
      </c>
      <c r="S205" s="135"/>
      <c r="T205" s="126">
        <f t="shared" si="6"/>
        <v>1000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533</v>
      </c>
      <c r="C206" s="137" t="s">
        <v>163</v>
      </c>
      <c r="D206" s="138" t="s">
        <v>162</v>
      </c>
      <c r="E206" s="115"/>
      <c r="F206" s="143" t="s">
        <v>578</v>
      </c>
      <c r="G206" s="143" t="s">
        <v>494</v>
      </c>
      <c r="H206" s="336" t="s">
        <v>552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533</v>
      </c>
      <c r="C207" s="137" t="s">
        <v>961</v>
      </c>
      <c r="D207" s="138" t="s">
        <v>81</v>
      </c>
      <c r="E207" s="115" t="s">
        <v>618</v>
      </c>
      <c r="F207" s="143" t="s">
        <v>537</v>
      </c>
      <c r="G207" s="143" t="s">
        <v>549</v>
      </c>
      <c r="H207" s="336" t="s">
        <v>552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0</v>
      </c>
      <c r="M207" s="121"/>
      <c r="N207" s="131"/>
      <c r="O207" s="149"/>
      <c r="P207" s="150"/>
      <c r="Q207" s="132">
        <f t="shared" si="7"/>
        <v>19900</v>
      </c>
      <c r="R207" s="125">
        <f>200+3600+1200+4100+3600+3600+3600</f>
        <v>19900</v>
      </c>
      <c r="S207" s="125"/>
      <c r="T207" s="126">
        <f t="shared" si="6"/>
        <v>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533</v>
      </c>
      <c r="C208" s="137" t="s">
        <v>82</v>
      </c>
      <c r="D208" s="138" t="s">
        <v>81</v>
      </c>
      <c r="E208" s="115"/>
      <c r="F208" s="143" t="s">
        <v>537</v>
      </c>
      <c r="G208" s="143" t="s">
        <v>549</v>
      </c>
      <c r="H208" s="336" t="s">
        <v>552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533</v>
      </c>
      <c r="C209" s="137" t="s">
        <v>858</v>
      </c>
      <c r="D209" s="138" t="s">
        <v>117</v>
      </c>
      <c r="E209" s="115" t="s">
        <v>612</v>
      </c>
      <c r="F209" s="143" t="s">
        <v>540</v>
      </c>
      <c r="G209" s="137" t="s">
        <v>549</v>
      </c>
      <c r="H209" s="336" t="s">
        <v>546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100</v>
      </c>
      <c r="M209" s="121"/>
      <c r="N209" s="131"/>
      <c r="O209" s="149"/>
      <c r="P209" s="150"/>
      <c r="Q209" s="132">
        <f t="shared" si="7"/>
        <v>3000</v>
      </c>
      <c r="R209" s="125">
        <f>700+1000+14*100</f>
        <v>3100</v>
      </c>
      <c r="S209" s="125"/>
      <c r="T209" s="126">
        <f t="shared" si="6"/>
        <v>100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533</v>
      </c>
      <c r="C210" s="137" t="s">
        <v>146</v>
      </c>
      <c r="D210" s="138" t="s">
        <v>147</v>
      </c>
      <c r="E210" s="115" t="s">
        <v>612</v>
      </c>
      <c r="F210" s="143" t="s">
        <v>578</v>
      </c>
      <c r="G210" s="143" t="s">
        <v>617</v>
      </c>
      <c r="H210" s="336" t="s">
        <v>552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533</v>
      </c>
      <c r="C211" s="137" t="s">
        <v>165</v>
      </c>
      <c r="D211" s="138" t="s">
        <v>166</v>
      </c>
      <c r="E211" s="115" t="s">
        <v>625</v>
      </c>
      <c r="F211" s="143" t="s">
        <v>537</v>
      </c>
      <c r="G211" s="143" t="s">
        <v>617</v>
      </c>
      <c r="H211" s="336" t="s">
        <v>552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0</v>
      </c>
      <c r="M211" s="121"/>
      <c r="N211" s="131"/>
      <c r="O211" s="149"/>
      <c r="P211" s="150"/>
      <c r="Q211" s="132">
        <f t="shared" si="7"/>
        <v>10200</v>
      </c>
      <c r="R211" s="125">
        <f>500+3600+2500+3600</f>
        <v>10200</v>
      </c>
      <c r="S211" s="135"/>
      <c r="T211" s="126">
        <f t="shared" si="6"/>
        <v>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533</v>
      </c>
      <c r="C212" s="137" t="s">
        <v>1042</v>
      </c>
      <c r="D212" s="138" t="s">
        <v>252</v>
      </c>
      <c r="E212" s="115" t="s">
        <v>626</v>
      </c>
      <c r="F212" s="143">
        <v>125140</v>
      </c>
      <c r="G212" s="143" t="s">
        <v>562</v>
      </c>
      <c r="H212" s="336" t="s">
        <v>552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533</v>
      </c>
      <c r="C213" s="137" t="s">
        <v>334</v>
      </c>
      <c r="D213" s="138" t="s">
        <v>335</v>
      </c>
      <c r="E213" s="115" t="s">
        <v>591</v>
      </c>
      <c r="F213" s="143">
        <v>125140</v>
      </c>
      <c r="G213" s="143" t="s">
        <v>534</v>
      </c>
      <c r="H213" s="336" t="s">
        <v>552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533</v>
      </c>
      <c r="C214" s="137" t="s">
        <v>356</v>
      </c>
      <c r="D214" s="138" t="s">
        <v>357</v>
      </c>
      <c r="E214" s="115" t="s">
        <v>591</v>
      </c>
      <c r="F214" s="143"/>
      <c r="G214" s="137" t="s">
        <v>562</v>
      </c>
      <c r="H214" s="336" t="s">
        <v>552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533</v>
      </c>
      <c r="C215" s="137" t="s">
        <v>195</v>
      </c>
      <c r="D215" s="138" t="s">
        <v>196</v>
      </c>
      <c r="E215" s="115" t="s">
        <v>618</v>
      </c>
      <c r="F215" s="143" t="s">
        <v>537</v>
      </c>
      <c r="G215" s="137" t="s">
        <v>617</v>
      </c>
      <c r="H215" s="336" t="s">
        <v>552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533</v>
      </c>
      <c r="C216" s="137" t="s">
        <v>197</v>
      </c>
      <c r="D216" s="138" t="s">
        <v>196</v>
      </c>
      <c r="E216" s="115"/>
      <c r="F216" s="143" t="s">
        <v>578</v>
      </c>
      <c r="G216" s="143" t="s">
        <v>617</v>
      </c>
      <c r="H216" s="336" t="s">
        <v>552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533</v>
      </c>
      <c r="C217" s="137" t="s">
        <v>68</v>
      </c>
      <c r="D217" s="138" t="s">
        <v>69</v>
      </c>
      <c r="E217" s="115" t="s">
        <v>587</v>
      </c>
      <c r="F217" s="143" t="s">
        <v>548</v>
      </c>
      <c r="G217" s="143" t="s">
        <v>562</v>
      </c>
      <c r="H217" s="336" t="s">
        <v>552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533</v>
      </c>
      <c r="C218" s="137" t="s">
        <v>70</v>
      </c>
      <c r="D218" s="138" t="s">
        <v>69</v>
      </c>
      <c r="E218" s="115" t="s">
        <v>579</v>
      </c>
      <c r="F218" s="143"/>
      <c r="G218" s="143" t="s">
        <v>562</v>
      </c>
      <c r="H218" s="336" t="s">
        <v>552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533</v>
      </c>
      <c r="C219" s="137" t="s">
        <v>781</v>
      </c>
      <c r="D219" s="138" t="s">
        <v>250</v>
      </c>
      <c r="E219" s="115" t="s">
        <v>561</v>
      </c>
      <c r="F219" s="143">
        <v>125140</v>
      </c>
      <c r="G219" s="143" t="s">
        <v>562</v>
      </c>
      <c r="H219" s="336" t="s">
        <v>552</v>
      </c>
      <c r="I219" s="148"/>
      <c r="J219" s="130">
        <v>700</v>
      </c>
      <c r="K219" s="119">
        <f>+SUMIF('Nhập kho  입'!A:A,C219,'Nhập kho  입'!E:E)</f>
        <v>11450</v>
      </c>
      <c r="L219" s="120">
        <f>+SUMIF(' Xuất kho 출'!A:A,C219,' Xuất kho 출'!E:E)</f>
        <v>10000</v>
      </c>
      <c r="M219" s="121"/>
      <c r="N219" s="131"/>
      <c r="O219" s="149"/>
      <c r="P219" s="150"/>
      <c r="Q219" s="132">
        <f t="shared" si="7"/>
        <v>2150</v>
      </c>
      <c r="R219" s="125">
        <f>14*50</f>
        <v>700</v>
      </c>
      <c r="S219" s="125"/>
      <c r="T219" s="126">
        <f t="shared" si="6"/>
        <v>-1450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533</v>
      </c>
      <c r="C220" s="137" t="s">
        <v>401</v>
      </c>
      <c r="D220" s="138" t="s">
        <v>402</v>
      </c>
      <c r="E220" s="115" t="s">
        <v>576</v>
      </c>
      <c r="F220" s="143"/>
      <c r="G220" s="143" t="s">
        <v>562</v>
      </c>
      <c r="H220" s="336" t="s">
        <v>552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533</v>
      </c>
      <c r="C221" s="137" t="s">
        <v>214</v>
      </c>
      <c r="D221" s="138" t="s">
        <v>215</v>
      </c>
      <c r="E221" s="115" t="s">
        <v>576</v>
      </c>
      <c r="F221" s="143">
        <v>125140</v>
      </c>
      <c r="G221" s="143" t="s">
        <v>562</v>
      </c>
      <c r="H221" s="336" t="s">
        <v>552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533</v>
      </c>
      <c r="C222" s="137" t="s">
        <v>469</v>
      </c>
      <c r="D222" s="138" t="s">
        <v>470</v>
      </c>
      <c r="E222" s="115" t="s">
        <v>627</v>
      </c>
      <c r="F222" s="143"/>
      <c r="G222" s="143" t="s">
        <v>562</v>
      </c>
      <c r="H222" s="336" t="s">
        <v>552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533</v>
      </c>
      <c r="C223" s="137" t="s">
        <v>224</v>
      </c>
      <c r="D223" s="138" t="s">
        <v>225</v>
      </c>
      <c r="E223" s="115" t="s">
        <v>628</v>
      </c>
      <c r="F223" s="143" t="s">
        <v>537</v>
      </c>
      <c r="G223" s="143" t="s">
        <v>562</v>
      </c>
      <c r="H223" s="336" t="s">
        <v>552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533</v>
      </c>
      <c r="C224" s="137" t="s">
        <v>193</v>
      </c>
      <c r="D224" s="138" t="s">
        <v>194</v>
      </c>
      <c r="E224" s="115"/>
      <c r="F224" s="143" t="s">
        <v>537</v>
      </c>
      <c r="G224" s="143" t="s">
        <v>617</v>
      </c>
      <c r="H224" s="336" t="s">
        <v>552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533</v>
      </c>
      <c r="C225" s="137" t="s">
        <v>314</v>
      </c>
      <c r="D225" s="138" t="s">
        <v>315</v>
      </c>
      <c r="E225" s="115" t="s">
        <v>620</v>
      </c>
      <c r="F225" s="143">
        <v>125150</v>
      </c>
      <c r="G225" s="140" t="s">
        <v>541</v>
      </c>
      <c r="H225" s="336" t="s">
        <v>552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533</v>
      </c>
      <c r="C226" s="137" t="s">
        <v>1089</v>
      </c>
      <c r="D226" s="138" t="s">
        <v>306</v>
      </c>
      <c r="E226" s="115" t="s">
        <v>579</v>
      </c>
      <c r="F226" s="143">
        <v>125150</v>
      </c>
      <c r="G226" s="143" t="s">
        <v>541</v>
      </c>
      <c r="H226" s="336" t="s">
        <v>546</v>
      </c>
      <c r="I226" s="148"/>
      <c r="J226" s="130">
        <v>700</v>
      </c>
      <c r="K226" s="119">
        <f>+SUMIF('Nhập kho  입'!A:A,C226,'Nhập kho  입'!E:E)</f>
        <v>11900</v>
      </c>
      <c r="L226" s="120">
        <f>+SUMIF(' Xuất kho 출'!A:A,C226,' Xuất kho 출'!E:E)</f>
        <v>10800</v>
      </c>
      <c r="M226" s="121"/>
      <c r="N226" s="131"/>
      <c r="O226" s="149"/>
      <c r="P226" s="150"/>
      <c r="Q226" s="132">
        <f t="shared" si="7"/>
        <v>1800</v>
      </c>
      <c r="R226" s="125">
        <f>13*50+50</f>
        <v>700</v>
      </c>
      <c r="S226" s="125"/>
      <c r="T226" s="126">
        <f t="shared" si="6"/>
        <v>-1100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533</v>
      </c>
      <c r="C227" s="137" t="s">
        <v>483</v>
      </c>
      <c r="D227" s="138" t="s">
        <v>484</v>
      </c>
      <c r="E227" s="115" t="s">
        <v>629</v>
      </c>
      <c r="F227" s="143"/>
      <c r="G227" s="143" t="s">
        <v>630</v>
      </c>
      <c r="H227" s="336" t="s">
        <v>552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533</v>
      </c>
      <c r="C228" s="137" t="s">
        <v>447</v>
      </c>
      <c r="D228" s="138" t="s">
        <v>448</v>
      </c>
      <c r="E228" s="115"/>
      <c r="F228" s="143"/>
      <c r="G228" s="143" t="s">
        <v>562</v>
      </c>
      <c r="H228" s="336" t="s">
        <v>552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533</v>
      </c>
      <c r="C229" s="137" t="s">
        <v>395</v>
      </c>
      <c r="D229" s="138" t="s">
        <v>396</v>
      </c>
      <c r="E229" s="115" t="s">
        <v>571</v>
      </c>
      <c r="F229" s="143"/>
      <c r="G229" s="143" t="s">
        <v>562</v>
      </c>
      <c r="H229" s="336" t="s">
        <v>552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533</v>
      </c>
      <c r="C230" s="137" t="s">
        <v>460</v>
      </c>
      <c r="D230" s="138" t="s">
        <v>461</v>
      </c>
      <c r="E230" s="115" t="s">
        <v>631</v>
      </c>
      <c r="F230" s="143"/>
      <c r="G230" s="143" t="s">
        <v>617</v>
      </c>
      <c r="H230" s="336" t="s">
        <v>552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533</v>
      </c>
      <c r="C231" s="137" t="s">
        <v>179</v>
      </c>
      <c r="D231" s="138" t="s">
        <v>180</v>
      </c>
      <c r="E231" s="115" t="s">
        <v>632</v>
      </c>
      <c r="F231" s="143" t="s">
        <v>537</v>
      </c>
      <c r="G231" s="143" t="s">
        <v>534</v>
      </c>
      <c r="H231" s="336" t="s">
        <v>546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533</v>
      </c>
      <c r="C232" s="137" t="s">
        <v>1186</v>
      </c>
      <c r="D232" s="138" t="s">
        <v>482</v>
      </c>
      <c r="E232" s="115" t="s">
        <v>629</v>
      </c>
      <c r="F232" s="143"/>
      <c r="G232" s="143" t="s">
        <v>630</v>
      </c>
      <c r="H232" s="336" t="s">
        <v>552</v>
      </c>
      <c r="I232" s="148"/>
      <c r="J232" s="130">
        <v>8200</v>
      </c>
      <c r="K232" s="119">
        <f>+SUMIF('Nhập kho  입'!A:A,C232,'Nhập kho  입'!E:E)</f>
        <v>28100</v>
      </c>
      <c r="L232" s="120">
        <f>+SUMIF(' Xuất kho 출'!A:A,C232,' Xuất kho 출'!E:E)</f>
        <v>25200</v>
      </c>
      <c r="M232" s="121">
        <v>7200</v>
      </c>
      <c r="N232" s="131"/>
      <c r="O232" s="149"/>
      <c r="P232" s="150"/>
      <c r="Q232" s="132">
        <f t="shared" si="7"/>
        <v>11100</v>
      </c>
      <c r="R232" s="125">
        <f>300+3500+3600+800</f>
        <v>8200</v>
      </c>
      <c r="S232" s="125"/>
      <c r="T232" s="126">
        <f t="shared" si="6"/>
        <v>-2900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533</v>
      </c>
      <c r="C233" s="137" t="s">
        <v>841</v>
      </c>
      <c r="D233" s="138" t="s">
        <v>375</v>
      </c>
      <c r="E233" s="115" t="s">
        <v>618</v>
      </c>
      <c r="F233" s="143"/>
      <c r="G233" s="143" t="s">
        <v>617</v>
      </c>
      <c r="H233" s="336" t="s">
        <v>552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533</v>
      </c>
      <c r="C234" s="137" t="s">
        <v>255</v>
      </c>
      <c r="D234" s="138" t="s">
        <v>256</v>
      </c>
      <c r="E234" s="115" t="s">
        <v>633</v>
      </c>
      <c r="F234" s="143" t="s">
        <v>537</v>
      </c>
      <c r="G234" s="137" t="s">
        <v>562</v>
      </c>
      <c r="H234" s="336" t="s">
        <v>552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533</v>
      </c>
      <c r="C235" s="137" t="s">
        <v>362</v>
      </c>
      <c r="D235" s="138" t="s">
        <v>256</v>
      </c>
      <c r="E235" s="115"/>
      <c r="F235" s="143"/>
      <c r="G235" s="137"/>
      <c r="H235" s="336" t="s">
        <v>552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533</v>
      </c>
      <c r="C236" s="137" t="s">
        <v>385</v>
      </c>
      <c r="D236" s="138" t="s">
        <v>386</v>
      </c>
      <c r="E236" s="115"/>
      <c r="F236" s="143"/>
      <c r="G236" s="143" t="s">
        <v>562</v>
      </c>
      <c r="H236" s="336" t="s">
        <v>552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533</v>
      </c>
      <c r="C237" s="137" t="s">
        <v>1349</v>
      </c>
      <c r="D237" s="138" t="s">
        <v>333</v>
      </c>
      <c r="E237" s="115" t="s">
        <v>595</v>
      </c>
      <c r="F237" s="143">
        <v>125150</v>
      </c>
      <c r="G237" s="143" t="s">
        <v>541</v>
      </c>
      <c r="H237" s="336" t="s">
        <v>552</v>
      </c>
      <c r="I237" s="148"/>
      <c r="J237" s="130">
        <v>1900</v>
      </c>
      <c r="K237" s="119">
        <f>+SUMIF('Nhập kho  입'!A:A,C237,'Nhập kho  입'!E:E)</f>
        <v>3750</v>
      </c>
      <c r="L237" s="120">
        <f>+SUMIF(' Xuất kho 출'!A:A,C237,' Xuất kho 출'!E:E)</f>
        <v>3000</v>
      </c>
      <c r="M237" s="121"/>
      <c r="N237" s="131"/>
      <c r="O237" s="149"/>
      <c r="P237" s="150"/>
      <c r="Q237" s="132">
        <f t="shared" si="7"/>
        <v>2650</v>
      </c>
      <c r="R237" s="125">
        <f>13*50+25*50</f>
        <v>1900</v>
      </c>
      <c r="S237" s="125"/>
      <c r="T237" s="126">
        <f t="shared" si="6"/>
        <v>-750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533</v>
      </c>
      <c r="C238" s="137" t="s">
        <v>1357</v>
      </c>
      <c r="D238" s="138" t="s">
        <v>831</v>
      </c>
      <c r="E238" s="115" t="s">
        <v>591</v>
      </c>
      <c r="F238" s="143">
        <v>125150</v>
      </c>
      <c r="G238" s="143" t="s">
        <v>541</v>
      </c>
      <c r="H238" s="336" t="s">
        <v>552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1000</v>
      </c>
      <c r="M238" s="121"/>
      <c r="N238" s="131"/>
      <c r="O238" s="149"/>
      <c r="P238" s="150"/>
      <c r="Q238" s="132">
        <f t="shared" si="7"/>
        <v>1250</v>
      </c>
      <c r="R238" s="125">
        <f>43*50+100</f>
        <v>2250</v>
      </c>
      <c r="S238" s="125"/>
      <c r="T238" s="126">
        <f t="shared" si="6"/>
        <v>1000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533</v>
      </c>
      <c r="C239" s="137" t="s">
        <v>940</v>
      </c>
      <c r="D239" s="138" t="s">
        <v>941</v>
      </c>
      <c r="E239" s="115" t="s">
        <v>591</v>
      </c>
      <c r="F239" s="143"/>
      <c r="G239" s="143" t="s">
        <v>562</v>
      </c>
      <c r="H239" s="336" t="s">
        <v>552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0</v>
      </c>
      <c r="M239" s="121"/>
      <c r="N239" s="131"/>
      <c r="O239" s="149"/>
      <c r="P239" s="150"/>
      <c r="Q239" s="132">
        <f t="shared" si="7"/>
        <v>600</v>
      </c>
      <c r="R239" s="125">
        <f>12*50</f>
        <v>600</v>
      </c>
      <c r="S239" s="125"/>
      <c r="T239" s="126">
        <f t="shared" si="6"/>
        <v>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533</v>
      </c>
      <c r="C240" s="137" t="s">
        <v>979</v>
      </c>
      <c r="D240" s="138" t="s">
        <v>76</v>
      </c>
      <c r="E240" s="115" t="s">
        <v>622</v>
      </c>
      <c r="F240" s="143" t="s">
        <v>540</v>
      </c>
      <c r="G240" s="143" t="s">
        <v>534</v>
      </c>
      <c r="H240" s="336" t="s">
        <v>552</v>
      </c>
      <c r="I240" s="148"/>
      <c r="J240" s="130">
        <v>4350</v>
      </c>
      <c r="K240" s="119">
        <f>+SUMIF('Nhập kho  입'!A:A,C240,'Nhập kho  입'!E:E)</f>
        <v>7200</v>
      </c>
      <c r="L240" s="120">
        <f>+SUMIF(' Xuất kho 출'!A:A,C240,' Xuất kho 출'!E:E)</f>
        <v>7200</v>
      </c>
      <c r="M240" s="121">
        <v>3600</v>
      </c>
      <c r="N240" s="131"/>
      <c r="O240" s="149"/>
      <c r="P240" s="150"/>
      <c r="Q240" s="132">
        <f t="shared" si="7"/>
        <v>4350</v>
      </c>
      <c r="R240" s="125">
        <f>15*50+3600</f>
        <v>4350</v>
      </c>
      <c r="S240" s="125"/>
      <c r="T240" s="126">
        <f t="shared" si="6"/>
        <v>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533</v>
      </c>
      <c r="C241" s="137" t="s">
        <v>16</v>
      </c>
      <c r="D241" s="138" t="s">
        <v>17</v>
      </c>
      <c r="E241" s="115" t="s">
        <v>591</v>
      </c>
      <c r="F241" s="143">
        <v>125150</v>
      </c>
      <c r="G241" s="143" t="s">
        <v>562</v>
      </c>
      <c r="H241" s="336" t="s">
        <v>546</v>
      </c>
      <c r="I241" s="338" t="s">
        <v>541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533</v>
      </c>
      <c r="C242" s="137" t="s">
        <v>1123</v>
      </c>
      <c r="D242" s="138" t="s">
        <v>388</v>
      </c>
      <c r="E242" s="115" t="s">
        <v>591</v>
      </c>
      <c r="F242" s="143" t="s">
        <v>578</v>
      </c>
      <c r="G242" s="143" t="s">
        <v>562</v>
      </c>
      <c r="H242" s="336" t="s">
        <v>552</v>
      </c>
      <c r="I242" s="148"/>
      <c r="J242" s="130">
        <v>1750</v>
      </c>
      <c r="K242" s="119">
        <f>+SUMIF('Nhập kho  입'!A:A,C242,'Nhập kho  입'!E:E)</f>
        <v>11700</v>
      </c>
      <c r="L242" s="120">
        <f>+SUMIF(' Xuất kho 출'!A:A,C242,' Xuất kho 출'!E:E)</f>
        <v>3600</v>
      </c>
      <c r="M242" s="121"/>
      <c r="N242" s="131"/>
      <c r="O242" s="149"/>
      <c r="P242" s="150"/>
      <c r="Q242" s="132">
        <f t="shared" si="7"/>
        <v>9850</v>
      </c>
      <c r="R242" s="125">
        <f>150+1600</f>
        <v>1750</v>
      </c>
      <c r="S242" s="125"/>
      <c r="T242" s="126">
        <f t="shared" si="6"/>
        <v>-8100</v>
      </c>
      <c r="U242" s="127"/>
      <c r="V242" s="133"/>
      <c r="W242" s="128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533</v>
      </c>
      <c r="C243" s="137" t="s">
        <v>303</v>
      </c>
      <c r="D243" s="138" t="s">
        <v>304</v>
      </c>
      <c r="E243" s="115" t="s">
        <v>612</v>
      </c>
      <c r="F243" s="143" t="s">
        <v>537</v>
      </c>
      <c r="G243" s="143" t="s">
        <v>617</v>
      </c>
      <c r="H243" s="336" t="s">
        <v>552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533</v>
      </c>
      <c r="C244" s="137" t="s">
        <v>397</v>
      </c>
      <c r="D244" s="138" t="s">
        <v>398</v>
      </c>
      <c r="E244" s="115" t="s">
        <v>568</v>
      </c>
      <c r="F244" s="143"/>
      <c r="G244" s="143" t="s">
        <v>562</v>
      </c>
      <c r="H244" s="336" t="s">
        <v>552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533</v>
      </c>
      <c r="C245" s="137" t="s">
        <v>801</v>
      </c>
      <c r="D245" s="138" t="s">
        <v>480</v>
      </c>
      <c r="E245" s="115" t="s">
        <v>634</v>
      </c>
      <c r="F245" s="143"/>
      <c r="G245" s="143" t="s">
        <v>562</v>
      </c>
      <c r="H245" s="336" t="s">
        <v>552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533</v>
      </c>
      <c r="C246" s="137" t="s">
        <v>100</v>
      </c>
      <c r="D246" s="138" t="s">
        <v>101</v>
      </c>
      <c r="E246" s="115"/>
      <c r="F246" s="143" t="s">
        <v>578</v>
      </c>
      <c r="G246" s="143" t="s">
        <v>534</v>
      </c>
      <c r="H246" s="336" t="s">
        <v>546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533</v>
      </c>
      <c r="C247" s="137" t="s">
        <v>1100</v>
      </c>
      <c r="D247" s="138" t="s">
        <v>101</v>
      </c>
      <c r="E247" s="115" t="s">
        <v>618</v>
      </c>
      <c r="F247" s="143" t="s">
        <v>540</v>
      </c>
      <c r="G247" s="143" t="s">
        <v>549</v>
      </c>
      <c r="H247" s="336" t="s">
        <v>546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13800</v>
      </c>
      <c r="M247" s="121"/>
      <c r="N247" s="131"/>
      <c r="O247" s="149"/>
      <c r="P247" s="150"/>
      <c r="Q247" s="132">
        <f t="shared" si="7"/>
        <v>2800</v>
      </c>
      <c r="R247" s="125">
        <f>3600+1900+3600+2400</f>
        <v>11500</v>
      </c>
      <c r="S247" s="125"/>
      <c r="T247" s="126">
        <f t="shared" si="6"/>
        <v>8700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533</v>
      </c>
      <c r="C248" s="137" t="s">
        <v>125</v>
      </c>
      <c r="D248" s="138" t="s">
        <v>126</v>
      </c>
      <c r="E248" s="115"/>
      <c r="F248" s="143" t="s">
        <v>540</v>
      </c>
      <c r="G248" s="143" t="s">
        <v>549</v>
      </c>
      <c r="H248" s="336" t="s">
        <v>552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533</v>
      </c>
      <c r="C249" s="137" t="s">
        <v>429</v>
      </c>
      <c r="D249" s="138" t="s">
        <v>430</v>
      </c>
      <c r="E249" s="115" t="s">
        <v>635</v>
      </c>
      <c r="F249" s="143"/>
      <c r="G249" s="143" t="s">
        <v>534</v>
      </c>
      <c r="H249" s="336" t="s">
        <v>546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533</v>
      </c>
      <c r="C250" s="137" t="s">
        <v>452</v>
      </c>
      <c r="D250" s="138" t="s">
        <v>453</v>
      </c>
      <c r="E250" s="115" t="s">
        <v>587</v>
      </c>
      <c r="F250" s="143"/>
      <c r="G250" s="143" t="s">
        <v>636</v>
      </c>
      <c r="H250" s="336" t="s">
        <v>552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533</v>
      </c>
      <c r="C251" s="137" t="s">
        <v>797</v>
      </c>
      <c r="D251" s="138" t="s">
        <v>371</v>
      </c>
      <c r="E251" s="115" t="s">
        <v>607</v>
      </c>
      <c r="F251" s="143"/>
      <c r="G251" s="143" t="s">
        <v>637</v>
      </c>
      <c r="H251" s="336" t="s">
        <v>552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533</v>
      </c>
      <c r="C252" s="137" t="s">
        <v>462</v>
      </c>
      <c r="D252" s="138" t="s">
        <v>371</v>
      </c>
      <c r="E252" s="115" t="s">
        <v>566</v>
      </c>
      <c r="F252" s="143"/>
      <c r="G252" s="143" t="s">
        <v>636</v>
      </c>
      <c r="H252" s="336" t="s">
        <v>552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533</v>
      </c>
      <c r="C253" s="137" t="s">
        <v>1339</v>
      </c>
      <c r="D253" s="138" t="s">
        <v>400</v>
      </c>
      <c r="E253" s="115" t="s">
        <v>566</v>
      </c>
      <c r="F253" s="143"/>
      <c r="G253" s="143" t="s">
        <v>638</v>
      </c>
      <c r="H253" s="336" t="s">
        <v>552</v>
      </c>
      <c r="I253" s="148"/>
      <c r="J253" s="130">
        <v>24</v>
      </c>
      <c r="K253" s="119">
        <f>+SUMIF('Nhập kho  입'!A:A,C253,'Nhập kho  입'!E:E)</f>
        <v>912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936</v>
      </c>
      <c r="R253" s="125">
        <v>24</v>
      </c>
      <c r="S253" s="135"/>
      <c r="T253" s="126">
        <f t="shared" si="6"/>
        <v>-912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533</v>
      </c>
      <c r="C254" s="137" t="s">
        <v>267</v>
      </c>
      <c r="D254" s="138" t="s">
        <v>268</v>
      </c>
      <c r="E254" s="115" t="s">
        <v>639</v>
      </c>
      <c r="F254" s="143" t="s">
        <v>537</v>
      </c>
      <c r="G254" s="143" t="s">
        <v>636</v>
      </c>
      <c r="H254" s="336" t="s">
        <v>546</v>
      </c>
      <c r="I254" s="148"/>
      <c r="J254" s="130">
        <v>9990</v>
      </c>
      <c r="K254" s="119">
        <f>+SUMIF('Nhập kho  입'!A:A,C254,'Nhập kho  입'!E:E)</f>
        <v>14700</v>
      </c>
      <c r="L254" s="120">
        <f>+SUMIF(' Xuất kho 출'!A:A,C254,' Xuất kho 출'!E:E)</f>
        <v>0</v>
      </c>
      <c r="M254" s="121">
        <v>12000</v>
      </c>
      <c r="N254" s="131"/>
      <c r="O254" s="149"/>
      <c r="P254" s="150"/>
      <c r="Q254" s="132">
        <f t="shared" si="7"/>
        <v>24690</v>
      </c>
      <c r="R254" s="125">
        <f>72*30*4+22*30+23*30</f>
        <v>9990</v>
      </c>
      <c r="S254" s="135"/>
      <c r="T254" s="126">
        <f t="shared" si="6"/>
        <v>-14700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533</v>
      </c>
      <c r="C255" s="137" t="s">
        <v>1050</v>
      </c>
      <c r="D255" s="138" t="s">
        <v>268</v>
      </c>
      <c r="E255" s="115" t="s">
        <v>640</v>
      </c>
      <c r="F255" s="143" t="s">
        <v>641</v>
      </c>
      <c r="G255" s="143" t="s">
        <v>636</v>
      </c>
      <c r="H255" s="336" t="s">
        <v>546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533</v>
      </c>
      <c r="C256" s="137" t="s">
        <v>1393</v>
      </c>
      <c r="D256" s="138" t="s">
        <v>271</v>
      </c>
      <c r="E256" s="115" t="s">
        <v>642</v>
      </c>
      <c r="F256" s="143" t="s">
        <v>537</v>
      </c>
      <c r="G256" s="143" t="s">
        <v>636</v>
      </c>
      <c r="H256" s="336" t="s">
        <v>546</v>
      </c>
      <c r="I256" s="148"/>
      <c r="J256" s="130">
        <v>630</v>
      </c>
      <c r="K256" s="119">
        <f>+SUMIF('Nhập kho  입'!A:A,C256,'Nhập kho  입'!E:E)</f>
        <v>1740</v>
      </c>
      <c r="L256" s="120">
        <f>+SUMIF(' Xuất kho 출'!A:A,C256,' Xuất kho 출'!E:E)</f>
        <v>0</v>
      </c>
      <c r="M256" s="121"/>
      <c r="N256" s="131"/>
      <c r="O256" s="149"/>
      <c r="P256" s="150"/>
      <c r="Q256" s="132">
        <f t="shared" si="7"/>
        <v>2370</v>
      </c>
      <c r="R256" s="125">
        <f>6*30+15*30</f>
        <v>630</v>
      </c>
      <c r="S256" s="125"/>
      <c r="T256" s="126">
        <f t="shared" si="6"/>
        <v>-1740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533</v>
      </c>
      <c r="C257" s="137" t="s">
        <v>1472</v>
      </c>
      <c r="D257" s="138" t="s">
        <v>1194</v>
      </c>
      <c r="E257" s="115" t="s">
        <v>566</v>
      </c>
      <c r="F257" s="143"/>
      <c r="G257" s="143" t="s">
        <v>913</v>
      </c>
      <c r="H257" s="336" t="s">
        <v>552</v>
      </c>
      <c r="I257" s="148"/>
      <c r="J257" s="130">
        <v>270</v>
      </c>
      <c r="K257" s="119">
        <f>+SUMIF('Nhập kho  입'!A:A,C257,'Nhập kho  입'!E:E)</f>
        <v>4740</v>
      </c>
      <c r="L257" s="120">
        <f>+SUMIF(' Xuất kho 출'!A:A,C257,' Xuất kho 출'!E:E)</f>
        <v>1590</v>
      </c>
      <c r="M257" s="121"/>
      <c r="N257" s="131"/>
      <c r="O257" s="149"/>
      <c r="P257" s="150"/>
      <c r="Q257" s="132">
        <f t="shared" si="7"/>
        <v>3420</v>
      </c>
      <c r="R257" s="125">
        <f>9*30</f>
        <v>270</v>
      </c>
      <c r="S257" s="135"/>
      <c r="T257" s="126">
        <f t="shared" si="6"/>
        <v>-3150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533</v>
      </c>
      <c r="C258" s="137" t="s">
        <v>1211</v>
      </c>
      <c r="D258" s="138" t="s">
        <v>203</v>
      </c>
      <c r="E258" s="115" t="s">
        <v>561</v>
      </c>
      <c r="F258" s="143" t="s">
        <v>537</v>
      </c>
      <c r="G258" s="143" t="s">
        <v>636</v>
      </c>
      <c r="H258" s="336" t="s">
        <v>546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533</v>
      </c>
      <c r="C259" s="137" t="s">
        <v>1009</v>
      </c>
      <c r="D259" s="138" t="s">
        <v>33</v>
      </c>
      <c r="E259" s="115" t="s">
        <v>643</v>
      </c>
      <c r="F259" s="143">
        <v>125140</v>
      </c>
      <c r="G259" s="143" t="s">
        <v>636</v>
      </c>
      <c r="H259" s="336" t="s">
        <v>546</v>
      </c>
      <c r="I259" s="338" t="s">
        <v>556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533</v>
      </c>
      <c r="C260" s="137" t="s">
        <v>909</v>
      </c>
      <c r="D260" s="138" t="s">
        <v>33</v>
      </c>
      <c r="E260" s="115" t="s">
        <v>644</v>
      </c>
      <c r="F260" s="143">
        <v>125150</v>
      </c>
      <c r="G260" s="143" t="s">
        <v>636</v>
      </c>
      <c r="H260" s="336" t="s">
        <v>546</v>
      </c>
      <c r="I260" s="338" t="s">
        <v>556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533</v>
      </c>
      <c r="C261" s="137" t="s">
        <v>1232</v>
      </c>
      <c r="D261" s="138" t="s">
        <v>437</v>
      </c>
      <c r="E261" s="115" t="s">
        <v>601</v>
      </c>
      <c r="F261" s="143"/>
      <c r="G261" s="143" t="s">
        <v>636</v>
      </c>
      <c r="H261" s="336" t="s">
        <v>546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533</v>
      </c>
      <c r="C262" s="137" t="s">
        <v>438</v>
      </c>
      <c r="D262" s="138" t="s">
        <v>437</v>
      </c>
      <c r="E262" s="115" t="s">
        <v>645</v>
      </c>
      <c r="F262" s="143"/>
      <c r="G262" s="143" t="s">
        <v>636</v>
      </c>
      <c r="H262" s="336" t="s">
        <v>546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533</v>
      </c>
      <c r="C263" s="137" t="s">
        <v>874</v>
      </c>
      <c r="D263" s="138" t="s">
        <v>309</v>
      </c>
      <c r="E263" s="115" t="s">
        <v>601</v>
      </c>
      <c r="F263" s="143">
        <v>125140</v>
      </c>
      <c r="G263" s="143" t="s">
        <v>636</v>
      </c>
      <c r="H263" s="336" t="s">
        <v>552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1320</v>
      </c>
      <c r="M263" s="121"/>
      <c r="N263" s="131"/>
      <c r="O263" s="149"/>
      <c r="P263" s="150"/>
      <c r="Q263" s="132">
        <f t="shared" si="7"/>
        <v>1050</v>
      </c>
      <c r="R263" s="125">
        <f>72*30+8*30</f>
        <v>2400</v>
      </c>
      <c r="S263" s="125"/>
      <c r="T263" s="126">
        <f t="shared" si="6"/>
        <v>1350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533</v>
      </c>
      <c r="C264" s="137" t="s">
        <v>828</v>
      </c>
      <c r="D264" s="138" t="s">
        <v>928</v>
      </c>
      <c r="E264" s="115" t="s">
        <v>622</v>
      </c>
      <c r="F264" s="143"/>
      <c r="G264" s="143" t="s">
        <v>636</v>
      </c>
      <c r="H264" s="336" t="s">
        <v>552</v>
      </c>
      <c r="I264" s="148"/>
      <c r="J264" s="130">
        <v>300</v>
      </c>
      <c r="K264" s="119">
        <f>+SUMIF('Nhập kho  입'!A:A,C264,'Nhập kho  입'!E:E)</f>
        <v>8640</v>
      </c>
      <c r="L264" s="120">
        <f>+SUMIF(' Xuất kho 출'!A:A,C264,' Xuất kho 출'!E:E)</f>
        <v>2160</v>
      </c>
      <c r="M264" s="121"/>
      <c r="N264" s="131"/>
      <c r="O264" s="149"/>
      <c r="P264" s="150"/>
      <c r="Q264" s="132">
        <f t="shared" si="7"/>
        <v>6780</v>
      </c>
      <c r="R264" s="125">
        <v>300</v>
      </c>
      <c r="S264" s="125"/>
      <c r="T264" s="126">
        <f t="shared" si="6"/>
        <v>-6480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533</v>
      </c>
      <c r="C265" s="137" t="s">
        <v>910</v>
      </c>
      <c r="D265" s="138" t="s">
        <v>312</v>
      </c>
      <c r="E265" s="115" t="s">
        <v>601</v>
      </c>
      <c r="F265" s="143">
        <v>125140</v>
      </c>
      <c r="G265" s="143" t="s">
        <v>636</v>
      </c>
      <c r="H265" s="336" t="s">
        <v>552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533</v>
      </c>
      <c r="C266" s="137" t="s">
        <v>313</v>
      </c>
      <c r="D266" s="138" t="s">
        <v>312</v>
      </c>
      <c r="E266" s="115"/>
      <c r="F266" s="143"/>
      <c r="G266" s="143" t="s">
        <v>636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533</v>
      </c>
      <c r="C267" s="137" t="s">
        <v>433</v>
      </c>
      <c r="D267" s="138" t="s">
        <v>434</v>
      </c>
      <c r="E267" s="115" t="s">
        <v>587</v>
      </c>
      <c r="F267" s="143"/>
      <c r="G267" s="143" t="s">
        <v>636</v>
      </c>
      <c r="H267" s="336" t="s">
        <v>552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533</v>
      </c>
      <c r="C268" s="137" t="s">
        <v>435</v>
      </c>
      <c r="D268" s="138" t="s">
        <v>434</v>
      </c>
      <c r="E268" s="115" t="s">
        <v>566</v>
      </c>
      <c r="F268" s="143"/>
      <c r="G268" s="143" t="s">
        <v>636</v>
      </c>
      <c r="H268" s="336" t="s">
        <v>552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customHeight="1">
      <c r="A269" s="96"/>
      <c r="B269" s="147" t="s">
        <v>533</v>
      </c>
      <c r="C269" s="137" t="s">
        <v>1344</v>
      </c>
      <c r="D269" s="138" t="s">
        <v>275</v>
      </c>
      <c r="E269" s="115" t="s">
        <v>607</v>
      </c>
      <c r="F269" s="143">
        <v>125150</v>
      </c>
      <c r="G269" s="143" t="s">
        <v>636</v>
      </c>
      <c r="H269" s="336" t="s">
        <v>552</v>
      </c>
      <c r="I269" s="148"/>
      <c r="J269" s="130">
        <v>0</v>
      </c>
      <c r="K269" s="119">
        <f>+SUMIF('Nhập kho  입'!A:A,C269,'Nhập kho  입'!E:E)</f>
        <v>840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840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533</v>
      </c>
      <c r="C270" s="137" t="s">
        <v>276</v>
      </c>
      <c r="D270" s="138" t="s">
        <v>275</v>
      </c>
      <c r="E270" s="115" t="s">
        <v>587</v>
      </c>
      <c r="F270" s="143"/>
      <c r="G270" s="143" t="s">
        <v>636</v>
      </c>
      <c r="H270" s="336" t="s">
        <v>552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533</v>
      </c>
      <c r="C271" s="137" t="s">
        <v>456</v>
      </c>
      <c r="D271" s="138" t="s">
        <v>457</v>
      </c>
      <c r="E271" s="115" t="s">
        <v>564</v>
      </c>
      <c r="F271" s="143"/>
      <c r="G271" s="143"/>
      <c r="H271" s="336" t="s">
        <v>538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06" t="s">
        <v>646</v>
      </c>
      <c r="C272" s="407"/>
      <c r="D272" s="407"/>
      <c r="E272" s="407"/>
      <c r="F272" s="407"/>
      <c r="G272" s="407"/>
      <c r="H272" s="407"/>
      <c r="I272" s="408"/>
      <c r="J272" s="156">
        <f>SUM(J5:J271)</f>
        <v>483439</v>
      </c>
      <c r="K272" s="156">
        <f>SUM(K5:K271)</f>
        <v>374822</v>
      </c>
      <c r="L272" s="156">
        <f>SUM(L5:L271)</f>
        <v>253830</v>
      </c>
      <c r="M272" s="157">
        <f>SUM(M5:M271)</f>
        <v>65400</v>
      </c>
      <c r="N272" s="158">
        <f>SUM(N5:P271)</f>
        <v>0</v>
      </c>
      <c r="O272" s="158">
        <f>SUM(O5:Q271)</f>
        <v>604431</v>
      </c>
      <c r="P272" s="158">
        <f>SUM(P5:R271)</f>
        <v>1096840</v>
      </c>
      <c r="Q272" s="158">
        <f>SUM(Q5:Q271)-M272</f>
        <v>539031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/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9"/>
      <c r="D284" s="192"/>
      <c r="E284" s="419"/>
      <c r="F284" s="419"/>
      <c r="G284" s="426"/>
      <c r="H284" s="426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9"/>
      <c r="D285" s="192"/>
      <c r="E285" s="419"/>
      <c r="F285" s="419"/>
      <c r="G285" s="426"/>
      <c r="H285" s="426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647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15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0.200"/>
        <filter val="10.500"/>
        <filter val="100"/>
        <filter val="11.100"/>
        <filter val="11.500"/>
        <filter val="12.000"/>
        <filter val="12.200"/>
        <filter val="120"/>
        <filter val="150"/>
        <filter val="17.300"/>
        <filter val="19.300"/>
        <filter val="19.700"/>
        <filter val="19.750"/>
        <filter val="19.900"/>
        <filter val="2.150"/>
        <filter val="2.200"/>
        <filter val="2.350"/>
        <filter val="2.370"/>
        <filter val="2.400"/>
        <filter val="2.500"/>
        <filter val="2.550"/>
        <filter val="2.600"/>
        <filter val="2.800"/>
        <filter val="2.900"/>
        <filter val="200"/>
        <filter val="23.700"/>
        <filter val="24.690"/>
        <filter val="250"/>
        <filter val="270"/>
        <filter val="3.000"/>
        <filter val="3.050"/>
        <filter val="3.300"/>
        <filter val="3.400"/>
        <filter val="3.420"/>
        <filter val="3.450"/>
        <filter val="3.600"/>
        <filter val="3.700"/>
        <filter val="3.800"/>
        <filter val="3.930"/>
        <filter val="30"/>
        <filter val="30.500"/>
        <filter val="300"/>
        <filter val="350"/>
        <filter val="360"/>
        <filter val="4.000"/>
        <filter val="4.300"/>
        <filter val="4.350"/>
        <filter val="4.400"/>
        <filter val="4.500"/>
        <filter val="4.550"/>
        <filter val="4.650"/>
        <filter val="4.700"/>
        <filter val="4.750"/>
        <filter val="4.950"/>
        <filter val="400"/>
        <filter val="425"/>
        <filter val="450"/>
        <filter val="5.000"/>
        <filter val="5.350"/>
        <filter val="5.600"/>
        <filter val="50"/>
        <filter val="500"/>
        <filter val="510"/>
        <filter val="539.431"/>
        <filter val="550"/>
        <filter val="6.100"/>
        <filter val="6.600"/>
        <filter val="6.780"/>
        <filter val="600"/>
        <filter val="650"/>
        <filter val="7.000"/>
        <filter val="7.200"/>
        <filter val="7.250"/>
        <filter val="700"/>
        <filter val="750"/>
        <filter val="8.100"/>
        <filter val="8.400"/>
        <filter val="800"/>
        <filter val="840"/>
        <filter val="850"/>
        <filter val="9.000"/>
        <filter val="9.200"/>
        <filter val="9.300"/>
        <filter val="9.850"/>
        <filter val="900"/>
        <filter val="936"/>
      </filters>
    </filterColumn>
  </autoFilter>
  <mergeCells count="24">
    <mergeCell ref="S3:S4"/>
    <mergeCell ref="T3:T4"/>
    <mergeCell ref="V4:V5"/>
    <mergeCell ref="G284:G285"/>
    <mergeCell ref="H3:H4"/>
    <mergeCell ref="H284:H285"/>
    <mergeCell ref="I3:I4"/>
    <mergeCell ref="J3:J4"/>
    <mergeCell ref="C284:C285"/>
    <mergeCell ref="D3:D4"/>
    <mergeCell ref="E3:E4"/>
    <mergeCell ref="E284:E285"/>
    <mergeCell ref="F3:F4"/>
    <mergeCell ref="F284:F285"/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340"/>
  <sheetViews>
    <sheetView zoomScaleNormal="100" workbookViewId="0">
      <pane ySplit="1" topLeftCell="A627" activePane="bottomLeft" state="frozen"/>
      <selection pane="bottomLeft" activeCell="E641" sqref="E641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648</v>
      </c>
      <c r="C1" s="77" t="s">
        <v>649</v>
      </c>
      <c r="D1" s="77" t="s">
        <v>650</v>
      </c>
      <c r="E1" s="78" t="s">
        <v>651</v>
      </c>
      <c r="F1" s="76" t="s">
        <v>652</v>
      </c>
    </row>
    <row r="2" spans="1:6">
      <c r="A2" s="79"/>
      <c r="B2" s="431" t="s">
        <v>173</v>
      </c>
      <c r="C2" s="431" t="s">
        <v>174</v>
      </c>
      <c r="D2" s="80"/>
      <c r="E2" s="81"/>
    </row>
    <row r="3" spans="1:6">
      <c r="A3" s="79"/>
      <c r="B3" s="432"/>
      <c r="C3" s="432"/>
      <c r="D3" s="80" t="s">
        <v>653</v>
      </c>
      <c r="E3" s="81">
        <v>1100</v>
      </c>
    </row>
    <row r="4" spans="1:6">
      <c r="A4" s="79"/>
      <c r="B4" s="432"/>
      <c r="C4" s="432"/>
      <c r="D4" s="80" t="s">
        <v>654</v>
      </c>
      <c r="E4" s="81">
        <v>100</v>
      </c>
    </row>
    <row r="5" spans="1:6">
      <c r="A5" s="79"/>
      <c r="B5" s="432"/>
      <c r="C5" s="432"/>
      <c r="D5" s="80" t="s">
        <v>875</v>
      </c>
      <c r="E5" s="81">
        <v>700</v>
      </c>
    </row>
    <row r="6" spans="1:6">
      <c r="A6" s="79"/>
      <c r="B6" s="432"/>
      <c r="C6" s="432"/>
      <c r="D6" s="80" t="s">
        <v>877</v>
      </c>
      <c r="E6" s="81">
        <v>1200</v>
      </c>
    </row>
    <row r="7" spans="1:6">
      <c r="A7" s="79"/>
      <c r="B7" s="432"/>
      <c r="C7" s="432"/>
      <c r="D7" s="80" t="s">
        <v>880</v>
      </c>
      <c r="E7" s="81">
        <v>1200</v>
      </c>
    </row>
    <row r="8" spans="1:6">
      <c r="A8" s="79"/>
      <c r="B8" s="432"/>
      <c r="C8" s="432"/>
      <c r="D8" s="80"/>
      <c r="E8" s="81"/>
    </row>
    <row r="9" spans="1:6">
      <c r="A9" s="79"/>
      <c r="B9" s="432"/>
      <c r="C9" s="432"/>
      <c r="D9" s="80"/>
      <c r="E9" s="81"/>
    </row>
    <row r="10" spans="1:6">
      <c r="A10" s="79"/>
      <c r="B10" s="432"/>
      <c r="C10" s="432"/>
      <c r="D10" s="80"/>
      <c r="E10" s="81"/>
    </row>
    <row r="11" spans="1:6">
      <c r="A11" s="79"/>
      <c r="B11" s="433"/>
      <c r="C11" s="433"/>
      <c r="D11" s="80"/>
      <c r="E11" s="81"/>
    </row>
    <row r="12" spans="1:6" s="74" customFormat="1" ht="24" customHeight="1">
      <c r="B12" s="439" t="s">
        <v>655</v>
      </c>
      <c r="C12" s="439"/>
      <c r="D12" s="439"/>
      <c r="E12" s="82">
        <f>SUM(E2:E11)</f>
        <v>4300</v>
      </c>
      <c r="F12" s="83">
        <f>+VLOOKUP(B2,'Tổng,SUMMARY'!C:Q,15,0)</f>
        <v>4300</v>
      </c>
    </row>
    <row r="13" spans="1:6">
      <c r="B13" s="431" t="s">
        <v>232</v>
      </c>
      <c r="C13" s="431" t="s">
        <v>233</v>
      </c>
      <c r="D13" s="80" t="s">
        <v>656</v>
      </c>
      <c r="E13" s="81">
        <v>250</v>
      </c>
    </row>
    <row r="14" spans="1:6">
      <c r="B14" s="432"/>
      <c r="C14" s="432"/>
      <c r="D14" s="80" t="s">
        <v>657</v>
      </c>
      <c r="E14" s="81">
        <v>1000</v>
      </c>
    </row>
    <row r="15" spans="1:6">
      <c r="B15" s="432"/>
      <c r="C15" s="432"/>
      <c r="D15" s="80"/>
      <c r="E15" s="81"/>
    </row>
    <row r="16" spans="1:6">
      <c r="B16" s="432"/>
      <c r="C16" s="432"/>
      <c r="D16" s="80"/>
      <c r="E16" s="81"/>
    </row>
    <row r="17" spans="2:6">
      <c r="B17" s="432"/>
      <c r="C17" s="432"/>
      <c r="D17" s="80"/>
      <c r="E17" s="81"/>
    </row>
    <row r="18" spans="2:6">
      <c r="B18" s="432"/>
      <c r="C18" s="432"/>
      <c r="D18" s="80"/>
      <c r="E18" s="81"/>
    </row>
    <row r="19" spans="2:6">
      <c r="B19" s="433"/>
      <c r="C19" s="433"/>
      <c r="D19" s="80"/>
      <c r="E19" s="81"/>
    </row>
    <row r="20" spans="2:6" s="74" customFormat="1" ht="24" customHeight="1">
      <c r="B20" s="439" t="s">
        <v>655</v>
      </c>
      <c r="C20" s="439"/>
      <c r="D20" s="439"/>
      <c r="E20" s="82">
        <f>SUM(E13:E19)</f>
        <v>1250</v>
      </c>
      <c r="F20" s="83">
        <f>+VLOOKUP(B13,'Tổng,SUMMARY'!C:Q,15,0)</f>
        <v>1250</v>
      </c>
    </row>
    <row r="21" spans="2:6">
      <c r="B21" s="431" t="s">
        <v>161</v>
      </c>
      <c r="C21" s="431" t="s">
        <v>162</v>
      </c>
      <c r="D21" s="80"/>
      <c r="E21" s="81"/>
    </row>
    <row r="22" spans="2:6">
      <c r="B22" s="432"/>
      <c r="C22" s="432"/>
      <c r="D22" s="80" t="s">
        <v>658</v>
      </c>
      <c r="E22" s="81">
        <v>1100</v>
      </c>
    </row>
    <row r="23" spans="2:6">
      <c r="B23" s="432"/>
      <c r="C23" s="432"/>
      <c r="D23" s="80" t="s">
        <v>659</v>
      </c>
      <c r="E23" s="81">
        <v>1200</v>
      </c>
    </row>
    <row r="24" spans="2:6">
      <c r="B24" s="432"/>
      <c r="C24" s="432"/>
      <c r="D24" s="80" t="s">
        <v>660</v>
      </c>
      <c r="E24" s="81">
        <v>1200</v>
      </c>
    </row>
    <row r="25" spans="2:6">
      <c r="B25" s="432"/>
      <c r="C25" s="432"/>
      <c r="D25" s="80" t="s">
        <v>661</v>
      </c>
      <c r="E25" s="81">
        <v>1200</v>
      </c>
    </row>
    <row r="26" spans="2:6">
      <c r="B26" s="432"/>
      <c r="C26" s="432"/>
      <c r="D26" s="80" t="s">
        <v>974</v>
      </c>
      <c r="E26" s="81">
        <v>1200</v>
      </c>
    </row>
    <row r="27" spans="2:6">
      <c r="B27" s="432"/>
      <c r="C27" s="432"/>
      <c r="D27" s="80" t="s">
        <v>975</v>
      </c>
      <c r="E27" s="81">
        <v>1200</v>
      </c>
    </row>
    <row r="28" spans="2:6">
      <c r="B28" s="432"/>
      <c r="C28" s="432"/>
      <c r="D28" s="80" t="s">
        <v>976</v>
      </c>
      <c r="E28" s="81">
        <v>1200</v>
      </c>
    </row>
    <row r="29" spans="2:6">
      <c r="B29" s="432"/>
      <c r="C29" s="432"/>
      <c r="D29" s="80" t="s">
        <v>1005</v>
      </c>
      <c r="E29" s="81">
        <v>1000</v>
      </c>
    </row>
    <row r="30" spans="2:6">
      <c r="B30" s="432"/>
      <c r="C30" s="432"/>
      <c r="D30" s="80" t="s">
        <v>1006</v>
      </c>
      <c r="E30" s="81">
        <v>1200</v>
      </c>
    </row>
    <row r="31" spans="2:6">
      <c r="B31" s="432"/>
      <c r="C31" s="432"/>
      <c r="D31" s="80" t="s">
        <v>1007</v>
      </c>
      <c r="E31" s="81">
        <v>1200</v>
      </c>
    </row>
    <row r="32" spans="2:6">
      <c r="B32" s="432"/>
      <c r="C32" s="432"/>
      <c r="D32" s="80" t="s">
        <v>1008</v>
      </c>
      <c r="E32" s="81">
        <v>500</v>
      </c>
    </row>
    <row r="33" spans="2:6">
      <c r="B33" s="432"/>
      <c r="C33" s="432"/>
      <c r="D33" s="80"/>
      <c r="E33" s="81"/>
    </row>
    <row r="34" spans="2:6">
      <c r="B34" s="432"/>
      <c r="C34" s="432"/>
      <c r="D34" s="80"/>
      <c r="E34" s="81"/>
    </row>
    <row r="35" spans="2:6">
      <c r="B35" s="432"/>
      <c r="C35" s="432"/>
      <c r="D35" s="80"/>
      <c r="E35" s="81"/>
    </row>
    <row r="36" spans="2:6">
      <c r="B36" s="433"/>
      <c r="C36" s="433"/>
      <c r="D36" s="80"/>
      <c r="E36" s="81"/>
    </row>
    <row r="37" spans="2:6" s="74" customFormat="1" ht="24" customHeight="1">
      <c r="B37" s="434" t="s">
        <v>655</v>
      </c>
      <c r="C37" s="434"/>
      <c r="D37" s="434"/>
      <c r="E37" s="82">
        <f>SUM(E21:E36)</f>
        <v>12200</v>
      </c>
      <c r="F37" s="83">
        <f>+'Tổng,SUMMARY'!$Q$205</f>
        <v>12200</v>
      </c>
    </row>
    <row r="38" spans="2:6">
      <c r="B38" s="431" t="s">
        <v>80</v>
      </c>
      <c r="C38" s="431" t="s">
        <v>81</v>
      </c>
      <c r="D38" s="80" t="s">
        <v>662</v>
      </c>
      <c r="E38" s="81">
        <v>200</v>
      </c>
    </row>
    <row r="39" spans="2:6">
      <c r="B39" s="432"/>
      <c r="C39" s="432"/>
      <c r="D39" s="80" t="s">
        <v>663</v>
      </c>
      <c r="E39" s="81">
        <v>1200</v>
      </c>
    </row>
    <row r="40" spans="2:6">
      <c r="B40" s="432"/>
      <c r="C40" s="432"/>
      <c r="D40" s="80" t="s">
        <v>664</v>
      </c>
      <c r="E40" s="81">
        <v>1200</v>
      </c>
    </row>
    <row r="41" spans="2:6">
      <c r="B41" s="432"/>
      <c r="C41" s="432"/>
      <c r="D41" s="80" t="s">
        <v>665</v>
      </c>
      <c r="E41" s="81">
        <v>1200</v>
      </c>
    </row>
    <row r="42" spans="2:6">
      <c r="B42" s="432"/>
      <c r="C42" s="432"/>
      <c r="D42" s="80" t="s">
        <v>666</v>
      </c>
      <c r="E42" s="81">
        <v>1200</v>
      </c>
    </row>
    <row r="43" spans="2:6">
      <c r="B43" s="432"/>
      <c r="C43" s="432"/>
      <c r="D43" s="80" t="s">
        <v>667</v>
      </c>
      <c r="E43" s="81">
        <v>1200</v>
      </c>
    </row>
    <row r="44" spans="2:6">
      <c r="B44" s="432"/>
      <c r="C44" s="432"/>
      <c r="D44" s="80" t="s">
        <v>668</v>
      </c>
      <c r="E44" s="81">
        <v>1200</v>
      </c>
    </row>
    <row r="45" spans="2:6">
      <c r="B45" s="432"/>
      <c r="C45" s="432"/>
      <c r="D45" s="80" t="s">
        <v>669</v>
      </c>
      <c r="E45" s="81">
        <v>1200</v>
      </c>
    </row>
    <row r="46" spans="2:6">
      <c r="B46" s="432"/>
      <c r="C46" s="432"/>
      <c r="D46" s="80" t="s">
        <v>962</v>
      </c>
      <c r="E46" s="81">
        <v>1200</v>
      </c>
    </row>
    <row r="47" spans="2:6">
      <c r="B47" s="432"/>
      <c r="C47" s="432"/>
      <c r="D47" s="80" t="s">
        <v>963</v>
      </c>
      <c r="E47" s="81">
        <v>1200</v>
      </c>
    </row>
    <row r="48" spans="2:6">
      <c r="B48" s="432"/>
      <c r="C48" s="432"/>
      <c r="D48" s="80" t="s">
        <v>964</v>
      </c>
      <c r="E48" s="81">
        <v>1200</v>
      </c>
    </row>
    <row r="49" spans="2:7">
      <c r="B49" s="432"/>
      <c r="C49" s="432"/>
      <c r="D49" s="80" t="s">
        <v>965</v>
      </c>
      <c r="E49" s="81">
        <v>700</v>
      </c>
    </row>
    <row r="50" spans="2:7">
      <c r="B50" s="432"/>
      <c r="C50" s="432"/>
      <c r="D50" s="80" t="s">
        <v>969</v>
      </c>
      <c r="E50" s="81">
        <v>1200</v>
      </c>
    </row>
    <row r="51" spans="2:7">
      <c r="B51" s="432"/>
      <c r="C51" s="432"/>
      <c r="D51" s="80" t="s">
        <v>970</v>
      </c>
      <c r="E51" s="81">
        <v>1200</v>
      </c>
    </row>
    <row r="52" spans="2:7">
      <c r="B52" s="432"/>
      <c r="C52" s="432"/>
      <c r="D52" s="80" t="s">
        <v>971</v>
      </c>
      <c r="E52" s="81">
        <v>1200</v>
      </c>
    </row>
    <row r="53" spans="2:7">
      <c r="B53" s="432"/>
      <c r="C53" s="432"/>
      <c r="D53" s="80" t="s">
        <v>972</v>
      </c>
      <c r="E53" s="81">
        <v>1200</v>
      </c>
    </row>
    <row r="54" spans="2:7">
      <c r="B54" s="432"/>
      <c r="C54" s="432"/>
      <c r="D54" s="80" t="s">
        <v>973</v>
      </c>
      <c r="E54" s="81">
        <v>1000</v>
      </c>
    </row>
    <row r="55" spans="2:7">
      <c r="B55" s="432"/>
      <c r="C55" s="432"/>
      <c r="D55" s="80" t="s">
        <v>977</v>
      </c>
      <c r="E55" s="81">
        <v>1200</v>
      </c>
    </row>
    <row r="56" spans="2:7">
      <c r="B56" s="432"/>
      <c r="C56" s="432"/>
      <c r="D56" s="80"/>
      <c r="E56" s="81"/>
    </row>
    <row r="57" spans="2:7">
      <c r="B57" s="432"/>
      <c r="C57" s="432"/>
      <c r="D57" s="80"/>
      <c r="E57" s="81"/>
    </row>
    <row r="58" spans="2:7">
      <c r="B58" s="432"/>
      <c r="C58" s="432"/>
      <c r="D58" s="80"/>
      <c r="E58" s="81"/>
    </row>
    <row r="59" spans="2:7">
      <c r="B59" s="432"/>
      <c r="C59" s="432"/>
      <c r="D59" s="80"/>
      <c r="E59" s="81"/>
    </row>
    <row r="60" spans="2:7">
      <c r="B60" s="432"/>
      <c r="C60" s="432"/>
      <c r="D60" s="80"/>
      <c r="E60" s="81"/>
    </row>
    <row r="61" spans="2:7">
      <c r="B61" s="433"/>
      <c r="C61" s="433"/>
      <c r="D61" s="80"/>
      <c r="E61" s="81"/>
    </row>
    <row r="62" spans="2:7" s="74" customFormat="1" ht="24" customHeight="1">
      <c r="B62" s="434" t="s">
        <v>655</v>
      </c>
      <c r="C62" s="434"/>
      <c r="D62" s="434"/>
      <c r="E62" s="82">
        <f>SUM(E38:E61)</f>
        <v>19900</v>
      </c>
      <c r="F62" s="83">
        <f>+'Tổng,SUMMARY'!$Q$207</f>
        <v>19900</v>
      </c>
      <c r="G62" s="84">
        <f>+F62-E62</f>
        <v>0</v>
      </c>
    </row>
    <row r="63" spans="2:7" s="73" customFormat="1" ht="14.25">
      <c r="B63" s="77" t="s">
        <v>648</v>
      </c>
      <c r="C63" s="77" t="s">
        <v>649</v>
      </c>
      <c r="D63" s="77" t="s">
        <v>650</v>
      </c>
      <c r="E63" s="78" t="s">
        <v>651</v>
      </c>
      <c r="F63" s="76"/>
    </row>
    <row r="64" spans="2:7">
      <c r="B64" s="431" t="s">
        <v>118</v>
      </c>
      <c r="C64" s="431" t="s">
        <v>119</v>
      </c>
      <c r="D64" s="80" t="s">
        <v>662</v>
      </c>
      <c r="E64" s="81">
        <v>1900</v>
      </c>
    </row>
    <row r="65" spans="2:6">
      <c r="B65" s="432"/>
      <c r="C65" s="432"/>
      <c r="D65" s="80" t="s">
        <v>670</v>
      </c>
      <c r="E65" s="81">
        <v>900</v>
      </c>
    </row>
    <row r="66" spans="2:6">
      <c r="B66" s="432"/>
      <c r="C66" s="432"/>
      <c r="D66" s="80" t="s">
        <v>1015</v>
      </c>
      <c r="E66" s="81">
        <v>1200</v>
      </c>
    </row>
    <row r="67" spans="2:6">
      <c r="B67" s="432"/>
      <c r="C67" s="432"/>
      <c r="D67" s="80" t="s">
        <v>1016</v>
      </c>
      <c r="E67" s="81">
        <v>1200</v>
      </c>
    </row>
    <row r="68" spans="2:6">
      <c r="B68" s="432"/>
      <c r="C68" s="432"/>
      <c r="D68" s="80" t="s">
        <v>1017</v>
      </c>
      <c r="E68" s="81">
        <v>900</v>
      </c>
    </row>
    <row r="69" spans="2:6">
      <c r="B69" s="432"/>
      <c r="C69" s="432"/>
      <c r="D69" s="80" t="s">
        <v>1018</v>
      </c>
      <c r="E69" s="81">
        <v>1200</v>
      </c>
    </row>
    <row r="70" spans="2:6">
      <c r="B70" s="432"/>
      <c r="C70" s="432"/>
      <c r="D70" s="80" t="s">
        <v>1025</v>
      </c>
      <c r="E70" s="81">
        <v>1200</v>
      </c>
    </row>
    <row r="71" spans="2:6">
      <c r="B71" s="432"/>
      <c r="C71" s="432"/>
      <c r="D71" s="80" t="s">
        <v>1027</v>
      </c>
      <c r="E71" s="81">
        <v>1100</v>
      </c>
    </row>
    <row r="72" spans="2:6">
      <c r="B72" s="432"/>
      <c r="C72" s="432"/>
      <c r="D72" s="80" t="s">
        <v>1033</v>
      </c>
      <c r="E72" s="81">
        <v>1200</v>
      </c>
    </row>
    <row r="73" spans="2:6">
      <c r="B73" s="432"/>
      <c r="C73" s="432"/>
      <c r="D73" s="80" t="s">
        <v>1034</v>
      </c>
      <c r="E73" s="81">
        <v>1000</v>
      </c>
    </row>
    <row r="74" spans="2:6">
      <c r="B74" s="432"/>
      <c r="C74" s="432"/>
      <c r="D74" s="80" t="s">
        <v>1069</v>
      </c>
      <c r="E74" s="81">
        <v>1200</v>
      </c>
    </row>
    <row r="75" spans="2:6">
      <c r="B75" s="432"/>
      <c r="C75" s="432"/>
      <c r="D75" s="80" t="s">
        <v>1070</v>
      </c>
      <c r="E75" s="81">
        <v>1200</v>
      </c>
    </row>
    <row r="76" spans="2:6">
      <c r="B76" s="432"/>
      <c r="C76" s="432"/>
      <c r="D76" s="80" t="s">
        <v>1071</v>
      </c>
      <c r="E76" s="81">
        <v>700</v>
      </c>
    </row>
    <row r="77" spans="2:6">
      <c r="B77" s="432"/>
      <c r="C77" s="432"/>
      <c r="D77" s="80" t="s">
        <v>1072</v>
      </c>
      <c r="E77" s="81">
        <v>1200</v>
      </c>
    </row>
    <row r="78" spans="2:6">
      <c r="B78" s="433"/>
      <c r="C78" s="433"/>
      <c r="D78" s="80" t="s">
        <v>1073</v>
      </c>
      <c r="E78" s="81">
        <v>1200</v>
      </c>
    </row>
    <row r="79" spans="2:6" s="74" customFormat="1" ht="24" customHeight="1">
      <c r="B79" s="434" t="s">
        <v>655</v>
      </c>
      <c r="C79" s="434"/>
      <c r="D79" s="434"/>
      <c r="E79" s="82">
        <f>SUM(E64:E78)</f>
        <v>17300</v>
      </c>
      <c r="F79" s="83">
        <f>+'Tổng,SUMMARY'!$Q$169</f>
        <v>17300</v>
      </c>
    </row>
    <row r="80" spans="2:6">
      <c r="B80" s="431" t="s">
        <v>120</v>
      </c>
      <c r="C80" s="431" t="s">
        <v>119</v>
      </c>
      <c r="D80" s="80" t="s">
        <v>671</v>
      </c>
      <c r="E80" s="81"/>
    </row>
    <row r="81" spans="2:6">
      <c r="B81" s="432"/>
      <c r="C81" s="432"/>
      <c r="D81" s="80"/>
      <c r="E81" s="81"/>
    </row>
    <row r="82" spans="2:6">
      <c r="B82" s="432"/>
      <c r="C82" s="432"/>
      <c r="D82" s="80"/>
      <c r="E82" s="81"/>
    </row>
    <row r="83" spans="2:6">
      <c r="B83" s="432"/>
      <c r="C83" s="432"/>
      <c r="D83" s="80"/>
      <c r="E83" s="81"/>
    </row>
    <row r="84" spans="2:6">
      <c r="B84" s="432"/>
      <c r="C84" s="432"/>
      <c r="D84" s="80"/>
      <c r="E84" s="81"/>
    </row>
    <row r="85" spans="2:6">
      <c r="B85" s="432"/>
      <c r="C85" s="432"/>
      <c r="D85" s="80"/>
      <c r="E85" s="81"/>
    </row>
    <row r="86" spans="2:6">
      <c r="B86" s="432"/>
      <c r="C86" s="432"/>
      <c r="D86" s="80"/>
      <c r="E86" s="81"/>
    </row>
    <row r="87" spans="2:6">
      <c r="B87" s="432"/>
      <c r="C87" s="432"/>
      <c r="D87" s="80"/>
      <c r="E87" s="81"/>
    </row>
    <row r="88" spans="2:6">
      <c r="B88" s="432"/>
      <c r="C88" s="432"/>
      <c r="D88" s="80"/>
      <c r="E88" s="81"/>
    </row>
    <row r="89" spans="2:6">
      <c r="B89" s="432"/>
      <c r="C89" s="432"/>
      <c r="D89" s="80"/>
      <c r="E89" s="81"/>
    </row>
    <row r="90" spans="2:6">
      <c r="B90" s="433"/>
      <c r="C90" s="433"/>
      <c r="D90" s="80"/>
      <c r="E90" s="81"/>
    </row>
    <row r="91" spans="2:6" s="74" customFormat="1" ht="24" customHeight="1">
      <c r="B91" s="434" t="s">
        <v>655</v>
      </c>
      <c r="C91" s="434"/>
      <c r="D91" s="434"/>
      <c r="E91" s="82">
        <f>SUM(E80:E90)</f>
        <v>0</v>
      </c>
      <c r="F91" s="83" t="e">
        <f>+VLOOKUP(B86,'Tổng,SUMMARY'!C:Q,15,0)</f>
        <v>#N/A</v>
      </c>
    </row>
    <row r="92" spans="2:6">
      <c r="B92" s="431" t="s">
        <v>1023</v>
      </c>
      <c r="C92" s="431" t="s">
        <v>388</v>
      </c>
      <c r="D92" s="80"/>
      <c r="E92" s="81">
        <v>50</v>
      </c>
    </row>
    <row r="93" spans="2:6">
      <c r="B93" s="432"/>
      <c r="C93" s="432"/>
      <c r="D93" s="80" t="s">
        <v>1054</v>
      </c>
      <c r="E93" s="81">
        <f>1200-550</f>
        <v>650</v>
      </c>
    </row>
    <row r="94" spans="2:6">
      <c r="B94" s="432"/>
      <c r="C94" s="432"/>
      <c r="D94" s="80" t="s">
        <v>1079</v>
      </c>
      <c r="E94" s="81">
        <v>950</v>
      </c>
    </row>
    <row r="95" spans="2:6">
      <c r="B95" s="432"/>
      <c r="C95" s="432"/>
      <c r="D95" s="80" t="s">
        <v>1255</v>
      </c>
      <c r="E95" s="81">
        <v>400</v>
      </c>
    </row>
    <row r="96" spans="2:6">
      <c r="B96" s="432"/>
      <c r="C96" s="432"/>
      <c r="D96" s="80" t="s">
        <v>1124</v>
      </c>
      <c r="E96" s="81">
        <v>800</v>
      </c>
    </row>
    <row r="97" spans="2:8">
      <c r="B97" s="432"/>
      <c r="C97" s="432"/>
      <c r="D97" s="80" t="s">
        <v>1125</v>
      </c>
      <c r="E97" s="81">
        <v>1200</v>
      </c>
    </row>
    <row r="98" spans="2:8">
      <c r="B98" s="432"/>
      <c r="C98" s="432"/>
      <c r="D98" s="80" t="s">
        <v>1315</v>
      </c>
      <c r="E98" s="81">
        <v>1200</v>
      </c>
    </row>
    <row r="99" spans="2:8">
      <c r="B99" s="432"/>
      <c r="C99" s="432"/>
      <c r="D99" s="80" t="s">
        <v>1316</v>
      </c>
      <c r="E99" s="81">
        <v>1200</v>
      </c>
    </row>
    <row r="100" spans="2:8">
      <c r="B100" s="432"/>
      <c r="C100" s="432"/>
      <c r="D100" s="80" t="s">
        <v>1405</v>
      </c>
      <c r="E100" s="81">
        <v>1200</v>
      </c>
    </row>
    <row r="101" spans="2:8">
      <c r="B101" s="432"/>
      <c r="C101" s="432"/>
      <c r="D101" s="80" t="s">
        <v>1406</v>
      </c>
      <c r="E101" s="81">
        <v>1000</v>
      </c>
    </row>
    <row r="102" spans="2:8">
      <c r="B102" s="432"/>
      <c r="C102" s="432"/>
      <c r="D102" s="80" t="s">
        <v>1478</v>
      </c>
      <c r="E102" s="81">
        <v>1200</v>
      </c>
    </row>
    <row r="103" spans="2:8">
      <c r="B103" s="432"/>
      <c r="C103" s="432"/>
      <c r="D103" s="80"/>
      <c r="E103" s="81"/>
    </row>
    <row r="104" spans="2:8">
      <c r="B104" s="432"/>
      <c r="C104" s="432"/>
      <c r="D104" s="80"/>
      <c r="E104" s="81"/>
    </row>
    <row r="105" spans="2:8">
      <c r="B105" s="432"/>
      <c r="C105" s="432"/>
      <c r="D105" s="80"/>
      <c r="E105" s="81"/>
    </row>
    <row r="106" spans="2:8">
      <c r="B106" s="433"/>
      <c r="C106" s="433"/>
      <c r="D106" s="80"/>
      <c r="E106" s="81"/>
    </row>
    <row r="107" spans="2:8" s="74" customFormat="1" ht="24" customHeight="1">
      <c r="B107" s="434" t="s">
        <v>655</v>
      </c>
      <c r="C107" s="434"/>
      <c r="D107" s="434"/>
      <c r="E107" s="82">
        <f>SUM(E92:E106)</f>
        <v>9850</v>
      </c>
      <c r="F107" s="83">
        <f>+'Tổng,SUMMARY'!$Q$242</f>
        <v>9850</v>
      </c>
      <c r="G107" s="84">
        <f>+F107-E107</f>
        <v>0</v>
      </c>
      <c r="H107" s="84"/>
    </row>
    <row r="108" spans="2:8">
      <c r="B108" s="432" t="s">
        <v>214</v>
      </c>
      <c r="C108" s="432" t="s">
        <v>215</v>
      </c>
      <c r="D108" s="80" t="s">
        <v>672</v>
      </c>
      <c r="E108" s="81">
        <v>100</v>
      </c>
    </row>
    <row r="109" spans="2:8">
      <c r="B109" s="432"/>
      <c r="C109" s="432"/>
      <c r="D109" s="80" t="s">
        <v>673</v>
      </c>
      <c r="E109" s="81">
        <v>100</v>
      </c>
    </row>
    <row r="110" spans="2:8">
      <c r="B110" s="432"/>
      <c r="C110" s="432"/>
      <c r="D110" s="80"/>
      <c r="E110" s="81"/>
    </row>
    <row r="111" spans="2:8">
      <c r="B111" s="432"/>
      <c r="C111" s="432"/>
      <c r="D111" s="80"/>
      <c r="E111" s="81"/>
    </row>
    <row r="112" spans="2:8">
      <c r="B112" s="433"/>
      <c r="C112" s="433"/>
      <c r="D112" s="80"/>
      <c r="E112" s="81"/>
    </row>
    <row r="113" spans="2:7" s="74" customFormat="1" ht="24" customHeight="1">
      <c r="B113" s="434" t="s">
        <v>655</v>
      </c>
      <c r="C113" s="434"/>
      <c r="D113" s="434"/>
      <c r="E113" s="82">
        <f>SUM(E108:E112)</f>
        <v>200</v>
      </c>
      <c r="F113" s="83">
        <f>+VLOOKUP(B108,'Tổng,SUMMARY'!C:Q,15,0)</f>
        <v>200</v>
      </c>
      <c r="G113" s="84"/>
    </row>
    <row r="114" spans="2:7">
      <c r="B114" s="431" t="s">
        <v>296</v>
      </c>
      <c r="C114" s="431" t="s">
        <v>297</v>
      </c>
      <c r="D114" s="80"/>
      <c r="E114" s="81"/>
    </row>
    <row r="115" spans="2:7">
      <c r="B115" s="432"/>
      <c r="C115" s="432"/>
      <c r="D115" s="80" t="s">
        <v>1179</v>
      </c>
      <c r="E115" s="81">
        <v>1200</v>
      </c>
    </row>
    <row r="116" spans="2:7">
      <c r="B116" s="432"/>
      <c r="C116" s="432"/>
      <c r="D116" s="80" t="s">
        <v>1180</v>
      </c>
      <c r="E116" s="81">
        <v>1200</v>
      </c>
    </row>
    <row r="117" spans="2:7">
      <c r="B117" s="432"/>
      <c r="C117" s="432"/>
      <c r="D117" s="80" t="s">
        <v>1181</v>
      </c>
      <c r="E117" s="81">
        <v>350</v>
      </c>
    </row>
    <row r="118" spans="2:7">
      <c r="B118" s="432"/>
      <c r="C118" s="432"/>
      <c r="D118" s="80" t="s">
        <v>1182</v>
      </c>
      <c r="E118" s="81">
        <v>850</v>
      </c>
    </row>
    <row r="119" spans="2:7">
      <c r="B119" s="432"/>
      <c r="C119" s="432"/>
      <c r="D119" s="80" t="s">
        <v>1238</v>
      </c>
      <c r="E119" s="81">
        <v>250</v>
      </c>
    </row>
    <row r="120" spans="2:7">
      <c r="B120" s="432"/>
      <c r="C120" s="432"/>
      <c r="D120" s="80" t="s">
        <v>1239</v>
      </c>
      <c r="E120" s="81">
        <v>1150</v>
      </c>
    </row>
    <row r="121" spans="2:7">
      <c r="B121" s="432"/>
      <c r="C121" s="432"/>
      <c r="D121" s="80" t="s">
        <v>1240</v>
      </c>
      <c r="E121" s="81">
        <v>1000</v>
      </c>
    </row>
    <row r="122" spans="2:7">
      <c r="B122" s="432"/>
      <c r="C122" s="432"/>
      <c r="D122" s="80" t="s">
        <v>1241</v>
      </c>
      <c r="E122" s="81">
        <v>1200</v>
      </c>
    </row>
    <row r="123" spans="2:7">
      <c r="B123" s="432"/>
      <c r="C123" s="432"/>
      <c r="D123" s="80" t="s">
        <v>1338</v>
      </c>
      <c r="E123" s="81">
        <v>1200</v>
      </c>
    </row>
    <row r="124" spans="2:7">
      <c r="B124" s="432"/>
      <c r="C124" s="432"/>
      <c r="D124" s="80"/>
      <c r="E124" s="81"/>
    </row>
    <row r="125" spans="2:7">
      <c r="B125" s="432"/>
      <c r="C125" s="432"/>
      <c r="D125" s="80"/>
      <c r="E125" s="81"/>
    </row>
    <row r="126" spans="2:7">
      <c r="B126" s="432"/>
      <c r="C126" s="432"/>
      <c r="D126" s="80"/>
      <c r="E126" s="81"/>
    </row>
    <row r="127" spans="2:7">
      <c r="B127" s="432"/>
      <c r="C127" s="432"/>
      <c r="D127" s="80"/>
      <c r="E127" s="81"/>
    </row>
    <row r="128" spans="2:7">
      <c r="B128" s="432"/>
      <c r="C128" s="432"/>
      <c r="D128" s="80"/>
      <c r="E128" s="81"/>
    </row>
    <row r="129" spans="2:6">
      <c r="B129" s="432"/>
      <c r="C129" s="432"/>
      <c r="D129" s="80"/>
      <c r="E129" s="81"/>
    </row>
    <row r="130" spans="2:6">
      <c r="B130" s="433"/>
      <c r="C130" s="433"/>
      <c r="D130" s="80"/>
      <c r="E130" s="81"/>
    </row>
    <row r="131" spans="2:6" s="74" customFormat="1" ht="24" customHeight="1">
      <c r="B131" s="434" t="s">
        <v>655</v>
      </c>
      <c r="C131" s="434"/>
      <c r="D131" s="434"/>
      <c r="E131" s="82">
        <f>SUM(E114:E130)</f>
        <v>8400</v>
      </c>
      <c r="F131" s="83">
        <f>+'Tổng,SUMMARY'!$Q$14</f>
        <v>8400</v>
      </c>
    </row>
    <row r="132" spans="2:6">
      <c r="B132" s="431" t="s">
        <v>358</v>
      </c>
      <c r="C132" s="431" t="s">
        <v>359</v>
      </c>
      <c r="D132" s="80"/>
      <c r="E132" s="81"/>
    </row>
    <row r="133" spans="2:6">
      <c r="B133" s="432"/>
      <c r="C133" s="432"/>
      <c r="D133" s="80" t="s">
        <v>1210</v>
      </c>
      <c r="E133" s="81">
        <v>600</v>
      </c>
    </row>
    <row r="134" spans="2:6">
      <c r="B134" s="432"/>
      <c r="C134" s="432"/>
      <c r="D134" s="80" t="s">
        <v>1309</v>
      </c>
      <c r="E134" s="81">
        <v>200</v>
      </c>
    </row>
    <row r="135" spans="2:6">
      <c r="B135" s="432"/>
      <c r="C135" s="432"/>
      <c r="D135" s="80" t="s">
        <v>1370</v>
      </c>
      <c r="E135" s="81">
        <v>600</v>
      </c>
    </row>
    <row r="136" spans="2:6">
      <c r="B136" s="432"/>
      <c r="C136" s="432"/>
      <c r="D136" s="80" t="s">
        <v>1391</v>
      </c>
      <c r="E136" s="81">
        <v>1200</v>
      </c>
    </row>
    <row r="137" spans="2:6">
      <c r="B137" s="432"/>
      <c r="C137" s="432"/>
      <c r="D137" s="80" t="s">
        <v>1392</v>
      </c>
      <c r="E137" s="81">
        <v>1200</v>
      </c>
    </row>
    <row r="138" spans="2:6">
      <c r="B138" s="432"/>
      <c r="C138" s="432"/>
      <c r="D138" s="80" t="s">
        <v>1440</v>
      </c>
      <c r="E138" s="81">
        <v>1200</v>
      </c>
    </row>
    <row r="139" spans="2:6">
      <c r="B139" s="432"/>
      <c r="C139" s="432"/>
      <c r="D139" s="80" t="s">
        <v>1441</v>
      </c>
      <c r="E139" s="81">
        <v>1200</v>
      </c>
    </row>
    <row r="140" spans="2:6">
      <c r="B140" s="432"/>
      <c r="C140" s="432"/>
      <c r="D140" s="80" t="s">
        <v>1442</v>
      </c>
      <c r="E140" s="81">
        <v>1200</v>
      </c>
    </row>
    <row r="141" spans="2:6">
      <c r="B141" s="432"/>
      <c r="C141" s="432"/>
      <c r="D141" s="80" t="s">
        <v>1467</v>
      </c>
      <c r="E141" s="81">
        <v>1200</v>
      </c>
    </row>
    <row r="142" spans="2:6">
      <c r="B142" s="432"/>
      <c r="C142" s="432"/>
      <c r="D142" s="80" t="s">
        <v>1486</v>
      </c>
      <c r="E142" s="81">
        <v>1200</v>
      </c>
    </row>
    <row r="143" spans="2:6">
      <c r="B143" s="432"/>
      <c r="C143" s="432"/>
      <c r="D143" s="80" t="s">
        <v>1487</v>
      </c>
      <c r="E143" s="81">
        <v>1200</v>
      </c>
    </row>
    <row r="144" spans="2:6">
      <c r="B144" s="432"/>
      <c r="C144" s="432"/>
      <c r="D144" s="80" t="s">
        <v>1488</v>
      </c>
      <c r="E144" s="81">
        <v>1200</v>
      </c>
    </row>
    <row r="145" spans="2:7">
      <c r="B145" s="432"/>
      <c r="C145" s="432"/>
      <c r="D145" s="80"/>
      <c r="E145" s="81"/>
    </row>
    <row r="146" spans="2:7">
      <c r="B146" s="432"/>
      <c r="C146" s="432"/>
      <c r="D146" s="80"/>
      <c r="E146" s="81"/>
    </row>
    <row r="147" spans="2:7">
      <c r="B147" s="432"/>
      <c r="C147" s="432"/>
      <c r="D147" s="80"/>
      <c r="E147" s="81"/>
    </row>
    <row r="148" spans="2:7">
      <c r="B148" s="433"/>
      <c r="C148" s="433"/>
      <c r="D148" s="80"/>
      <c r="E148" s="81"/>
    </row>
    <row r="149" spans="2:7" s="74" customFormat="1" ht="24" customHeight="1">
      <c r="B149" s="434" t="s">
        <v>655</v>
      </c>
      <c r="C149" s="434"/>
      <c r="D149" s="434"/>
      <c r="E149" s="82">
        <f>SUM(E132:E148)</f>
        <v>12200</v>
      </c>
      <c r="F149" s="83">
        <f>+'Tổng,SUMMARY'!$Q$177</f>
        <v>12200</v>
      </c>
      <c r="G149" s="84">
        <f>+F149-E149</f>
        <v>0</v>
      </c>
    </row>
    <row r="150" spans="2:7">
      <c r="B150" s="431" t="s">
        <v>85</v>
      </c>
      <c r="C150" s="431" t="s">
        <v>86</v>
      </c>
      <c r="D150" s="80" t="s">
        <v>662</v>
      </c>
      <c r="E150" s="81">
        <v>800</v>
      </c>
    </row>
    <row r="151" spans="2:7" ht="15.75" customHeight="1">
      <c r="B151" s="432"/>
      <c r="C151" s="432"/>
      <c r="D151" s="80" t="s">
        <v>890</v>
      </c>
      <c r="E151" s="81">
        <v>150</v>
      </c>
    </row>
    <row r="152" spans="2:7" ht="15.75" customHeight="1">
      <c r="B152" s="432"/>
      <c r="C152" s="432"/>
      <c r="D152" s="80" t="s">
        <v>1028</v>
      </c>
      <c r="E152" s="81">
        <v>1050</v>
      </c>
    </row>
    <row r="153" spans="2:7" ht="15.75" customHeight="1">
      <c r="B153" s="432"/>
      <c r="C153" s="432"/>
      <c r="D153" s="80" t="s">
        <v>1061</v>
      </c>
      <c r="E153" s="81">
        <v>1200</v>
      </c>
    </row>
    <row r="154" spans="2:7" ht="15.75" customHeight="1">
      <c r="B154" s="432"/>
      <c r="C154" s="432"/>
      <c r="D154" s="80" t="s">
        <v>1062</v>
      </c>
      <c r="E154" s="81">
        <v>100</v>
      </c>
    </row>
    <row r="155" spans="2:7" ht="15.75" customHeight="1">
      <c r="B155" s="432"/>
      <c r="C155" s="432"/>
      <c r="D155" s="80" t="s">
        <v>1063</v>
      </c>
      <c r="E155" s="81">
        <v>50</v>
      </c>
    </row>
    <row r="156" spans="2:7" ht="15.75" customHeight="1">
      <c r="B156" s="432"/>
      <c r="C156" s="432"/>
      <c r="D156" s="80" t="s">
        <v>1108</v>
      </c>
      <c r="E156" s="81">
        <v>1200</v>
      </c>
    </row>
    <row r="157" spans="2:7">
      <c r="B157" s="432"/>
      <c r="C157" s="432"/>
      <c r="D157" s="80" t="s">
        <v>1116</v>
      </c>
      <c r="E157" s="81">
        <v>400</v>
      </c>
    </row>
    <row r="158" spans="2:7">
      <c r="B158" s="432"/>
      <c r="C158" s="432"/>
      <c r="D158" s="80" t="s">
        <v>1117</v>
      </c>
      <c r="E158" s="81">
        <v>1200</v>
      </c>
    </row>
    <row r="159" spans="2:7">
      <c r="B159" s="432"/>
      <c r="C159" s="432"/>
      <c r="D159" s="80" t="s">
        <v>1237</v>
      </c>
      <c r="E159" s="81">
        <v>150</v>
      </c>
    </row>
    <row r="160" spans="2:7">
      <c r="B160" s="432"/>
      <c r="C160" s="432"/>
      <c r="D160" s="80"/>
      <c r="E160" s="81"/>
    </row>
    <row r="161" spans="2:5">
      <c r="B161" s="432"/>
      <c r="C161" s="432"/>
      <c r="D161" s="80"/>
      <c r="E161" s="81"/>
    </row>
    <row r="162" spans="2:5">
      <c r="B162" s="432"/>
      <c r="C162" s="432"/>
      <c r="D162" s="80"/>
      <c r="E162" s="81"/>
    </row>
    <row r="163" spans="2:5">
      <c r="B163" s="432"/>
      <c r="C163" s="432"/>
      <c r="D163" s="80"/>
      <c r="E163" s="81"/>
    </row>
    <row r="164" spans="2:5">
      <c r="B164" s="432"/>
      <c r="C164" s="432"/>
      <c r="D164" s="80"/>
      <c r="E164" s="81"/>
    </row>
    <row r="165" spans="2:5">
      <c r="B165" s="432"/>
      <c r="C165" s="432"/>
      <c r="D165" s="80"/>
      <c r="E165" s="81"/>
    </row>
    <row r="166" spans="2:5">
      <c r="B166" s="432"/>
      <c r="C166" s="432"/>
      <c r="D166" s="80"/>
      <c r="E166" s="81"/>
    </row>
    <row r="167" spans="2:5">
      <c r="B167" s="432"/>
      <c r="C167" s="432"/>
      <c r="D167" s="80"/>
      <c r="E167" s="81"/>
    </row>
    <row r="168" spans="2:5">
      <c r="B168" s="432"/>
      <c r="C168" s="432"/>
      <c r="D168" s="80"/>
      <c r="E168" s="81"/>
    </row>
    <row r="169" spans="2:5">
      <c r="B169" s="432"/>
      <c r="C169" s="432"/>
      <c r="D169" s="80"/>
      <c r="E169" s="81"/>
    </row>
    <row r="170" spans="2:5">
      <c r="B170" s="432"/>
      <c r="C170" s="432"/>
      <c r="D170" s="80"/>
      <c r="E170" s="81"/>
    </row>
    <row r="171" spans="2:5">
      <c r="B171" s="432"/>
      <c r="C171" s="432"/>
      <c r="D171" s="80"/>
      <c r="E171" s="81"/>
    </row>
    <row r="172" spans="2:5">
      <c r="B172" s="432"/>
      <c r="C172" s="432"/>
      <c r="D172" s="80"/>
      <c r="E172" s="81"/>
    </row>
    <row r="173" spans="2:5">
      <c r="B173" s="432"/>
      <c r="C173" s="432"/>
      <c r="D173" s="80"/>
      <c r="E173" s="81"/>
    </row>
    <row r="174" spans="2:5">
      <c r="B174" s="432"/>
      <c r="C174" s="432"/>
      <c r="D174" s="80"/>
      <c r="E174" s="81"/>
    </row>
    <row r="175" spans="2:5">
      <c r="B175" s="432"/>
      <c r="C175" s="432"/>
      <c r="D175" s="80"/>
      <c r="E175" s="81"/>
    </row>
    <row r="176" spans="2:5">
      <c r="B176" s="433"/>
      <c r="C176" s="433"/>
      <c r="D176" s="80"/>
      <c r="E176" s="81"/>
    </row>
    <row r="177" spans="2:8" s="74" customFormat="1" ht="24" customHeight="1">
      <c r="B177" s="434" t="s">
        <v>655</v>
      </c>
      <c r="C177" s="434"/>
      <c r="D177" s="434"/>
      <c r="E177" s="82">
        <f>SUM(E150:E176)-200</f>
        <v>6100</v>
      </c>
      <c r="F177" s="83">
        <f>+VLOOKUP(B150,'Tổng,SUMMARY'!C:Q,15,0)</f>
        <v>6100</v>
      </c>
      <c r="G177" s="84">
        <f>+E177-F177</f>
        <v>0</v>
      </c>
    </row>
    <row r="178" spans="2:8">
      <c r="B178" s="431" t="s">
        <v>874</v>
      </c>
      <c r="C178" s="431" t="s">
        <v>309</v>
      </c>
      <c r="D178" s="80"/>
      <c r="E178" s="81"/>
    </row>
    <row r="179" spans="2:8">
      <c r="B179" s="432"/>
      <c r="C179" s="432"/>
      <c r="D179" s="80" t="s">
        <v>871</v>
      </c>
      <c r="E179" s="81">
        <v>720</v>
      </c>
    </row>
    <row r="180" spans="2:8">
      <c r="B180" s="432"/>
      <c r="C180" s="432"/>
      <c r="D180" s="80" t="s">
        <v>872</v>
      </c>
      <c r="E180" s="81">
        <v>90</v>
      </c>
    </row>
    <row r="181" spans="2:8">
      <c r="B181" s="432"/>
      <c r="C181" s="432"/>
      <c r="D181" s="80" t="s">
        <v>873</v>
      </c>
      <c r="E181" s="81">
        <v>270</v>
      </c>
    </row>
    <row r="182" spans="2:8">
      <c r="B182" s="432"/>
      <c r="C182" s="432"/>
      <c r="D182" s="80"/>
      <c r="E182" s="81"/>
    </row>
    <row r="183" spans="2:8">
      <c r="B183" s="432"/>
      <c r="C183" s="432"/>
      <c r="D183" s="80"/>
      <c r="E183" s="81"/>
    </row>
    <row r="184" spans="2:8">
      <c r="B184" s="433"/>
      <c r="C184" s="433"/>
      <c r="D184" s="80"/>
      <c r="E184" s="81"/>
    </row>
    <row r="185" spans="2:8" s="74" customFormat="1" ht="24" customHeight="1">
      <c r="B185" s="434" t="s">
        <v>655</v>
      </c>
      <c r="C185" s="434"/>
      <c r="D185" s="434"/>
      <c r="E185" s="82">
        <f>SUM(E178:E184)</f>
        <v>1080</v>
      </c>
      <c r="F185" s="83">
        <f>+'Tổng,SUMMARY'!Q263</f>
        <v>1050</v>
      </c>
      <c r="G185" s="84">
        <f>+F185-E185</f>
        <v>-30</v>
      </c>
      <c r="H185" s="74" t="s">
        <v>908</v>
      </c>
    </row>
    <row r="186" spans="2:8">
      <c r="B186" s="432" t="s">
        <v>1248</v>
      </c>
      <c r="C186" s="432" t="s">
        <v>1247</v>
      </c>
      <c r="D186" s="80" t="s">
        <v>1249</v>
      </c>
      <c r="E186" s="81">
        <v>300</v>
      </c>
    </row>
    <row r="187" spans="2:8">
      <c r="B187" s="432"/>
      <c r="C187" s="432"/>
      <c r="D187" s="80" t="s">
        <v>1250</v>
      </c>
      <c r="E187" s="81">
        <v>720</v>
      </c>
    </row>
    <row r="188" spans="2:8">
      <c r="B188" s="432"/>
      <c r="C188" s="432"/>
      <c r="D188" s="80" t="s">
        <v>1251</v>
      </c>
      <c r="E188" s="81">
        <v>720</v>
      </c>
    </row>
    <row r="189" spans="2:8">
      <c r="B189" s="432"/>
      <c r="C189" s="432"/>
      <c r="D189" s="80" t="s">
        <v>1252</v>
      </c>
      <c r="E189" s="81">
        <v>720</v>
      </c>
    </row>
    <row r="190" spans="2:8">
      <c r="B190" s="432"/>
      <c r="C190" s="432"/>
      <c r="D190" s="80" t="s">
        <v>1443</v>
      </c>
      <c r="E190" s="81">
        <v>720</v>
      </c>
    </row>
    <row r="191" spans="2:8">
      <c r="B191" s="432"/>
      <c r="C191" s="432"/>
      <c r="D191" s="80" t="s">
        <v>1444</v>
      </c>
      <c r="E191" s="81">
        <v>720</v>
      </c>
    </row>
    <row r="192" spans="2:8">
      <c r="B192" s="432"/>
      <c r="C192" s="432"/>
      <c r="D192" s="80" t="s">
        <v>1445</v>
      </c>
      <c r="E192" s="81">
        <v>720</v>
      </c>
    </row>
    <row r="193" spans="2:7">
      <c r="B193" s="432"/>
      <c r="C193" s="432"/>
      <c r="D193" s="80" t="s">
        <v>1489</v>
      </c>
      <c r="E193" s="81">
        <v>720</v>
      </c>
    </row>
    <row r="194" spans="2:7">
      <c r="B194" s="432"/>
      <c r="C194" s="432"/>
      <c r="D194" s="80" t="s">
        <v>1490</v>
      </c>
      <c r="E194" s="81">
        <v>720</v>
      </c>
    </row>
    <row r="195" spans="2:7">
      <c r="B195" s="432"/>
      <c r="C195" s="432"/>
      <c r="D195" s="80" t="s">
        <v>1491</v>
      </c>
      <c r="E195" s="81">
        <v>720</v>
      </c>
    </row>
    <row r="196" spans="2:7">
      <c r="B196" s="432"/>
      <c r="C196" s="432"/>
      <c r="D196" s="80"/>
      <c r="E196" s="81"/>
    </row>
    <row r="197" spans="2:7">
      <c r="B197" s="432"/>
      <c r="C197" s="432"/>
      <c r="D197" s="80"/>
      <c r="E197" s="81"/>
    </row>
    <row r="198" spans="2:7">
      <c r="B198" s="432"/>
      <c r="C198" s="432"/>
      <c r="D198" s="80"/>
      <c r="E198" s="81"/>
    </row>
    <row r="199" spans="2:7">
      <c r="B199" s="433"/>
      <c r="C199" s="433"/>
      <c r="D199" s="80"/>
      <c r="E199" s="81"/>
    </row>
    <row r="200" spans="2:7" s="74" customFormat="1" ht="24" customHeight="1">
      <c r="B200" s="434" t="s">
        <v>655</v>
      </c>
      <c r="C200" s="434"/>
      <c r="D200" s="434"/>
      <c r="E200" s="82">
        <f>SUM(E186:E199)</f>
        <v>6780</v>
      </c>
      <c r="F200" s="83">
        <f>+'Tổng,SUMMARY'!$Q$264</f>
        <v>6780</v>
      </c>
      <c r="G200" s="84">
        <f>+F200-E200</f>
        <v>0</v>
      </c>
    </row>
    <row r="201" spans="2:7">
      <c r="B201" s="432" t="s">
        <v>16</v>
      </c>
      <c r="C201" s="432" t="s">
        <v>17</v>
      </c>
      <c r="D201" s="80" t="s">
        <v>674</v>
      </c>
      <c r="E201" s="81">
        <v>850</v>
      </c>
    </row>
    <row r="202" spans="2:7">
      <c r="B202" s="432"/>
      <c r="C202" s="432"/>
      <c r="D202" s="80"/>
      <c r="E202" s="81"/>
    </row>
    <row r="203" spans="2:7">
      <c r="B203" s="432"/>
      <c r="C203" s="432"/>
      <c r="D203" s="80"/>
      <c r="E203" s="81"/>
    </row>
    <row r="204" spans="2:7">
      <c r="B204" s="432"/>
      <c r="C204" s="432"/>
      <c r="D204" s="80"/>
      <c r="E204" s="81"/>
    </row>
    <row r="205" spans="2:7">
      <c r="B205" s="432"/>
      <c r="C205" s="432"/>
      <c r="D205" s="80"/>
      <c r="E205" s="81"/>
    </row>
    <row r="206" spans="2:7">
      <c r="B206" s="432"/>
      <c r="C206" s="432"/>
      <c r="D206" s="80"/>
      <c r="E206" s="81"/>
    </row>
    <row r="207" spans="2:7">
      <c r="B207" s="432"/>
      <c r="C207" s="432"/>
      <c r="D207" s="80"/>
      <c r="E207" s="81"/>
    </row>
    <row r="208" spans="2:7">
      <c r="B208" s="432"/>
      <c r="C208" s="432"/>
      <c r="D208" s="80"/>
      <c r="E208" s="81"/>
    </row>
    <row r="209" spans="2:7">
      <c r="B209" s="432"/>
      <c r="C209" s="432"/>
      <c r="D209" s="80"/>
      <c r="E209" s="81"/>
    </row>
    <row r="210" spans="2:7">
      <c r="B210" s="432"/>
      <c r="C210" s="432"/>
      <c r="D210" s="80"/>
      <c r="E210" s="81"/>
    </row>
    <row r="211" spans="2:7">
      <c r="B211" s="433"/>
      <c r="C211" s="433"/>
      <c r="D211" s="80"/>
      <c r="E211" s="81"/>
    </row>
    <row r="212" spans="2:7" s="74" customFormat="1" ht="24" customHeight="1">
      <c r="B212" s="434" t="s">
        <v>655</v>
      </c>
      <c r="C212" s="434"/>
      <c r="D212" s="434"/>
      <c r="E212" s="82">
        <f>SUM(E201:E211)</f>
        <v>850</v>
      </c>
      <c r="F212" s="83" t="e">
        <f>+VLOOKUP(B207,'Tổng,SUMMARY'!C:Q,15,0)</f>
        <v>#N/A</v>
      </c>
      <c r="G212" s="84" t="e">
        <f>+F212-E212</f>
        <v>#N/A</v>
      </c>
    </row>
    <row r="213" spans="2:7">
      <c r="B213" s="431" t="s">
        <v>116</v>
      </c>
      <c r="C213" s="431" t="s">
        <v>117</v>
      </c>
      <c r="D213" s="80" t="s">
        <v>1433</v>
      </c>
      <c r="E213" s="81">
        <v>3000</v>
      </c>
    </row>
    <row r="214" spans="2:7">
      <c r="B214" s="432"/>
      <c r="C214" s="432"/>
      <c r="D214" s="80"/>
      <c r="E214" s="81"/>
    </row>
    <row r="215" spans="2:7">
      <c r="B215" s="432"/>
      <c r="C215" s="432"/>
      <c r="D215" s="80"/>
      <c r="E215" s="81"/>
    </row>
    <row r="216" spans="2:7">
      <c r="B216" s="432"/>
      <c r="C216" s="432"/>
      <c r="D216" s="80"/>
      <c r="E216" s="81"/>
    </row>
    <row r="217" spans="2:7">
      <c r="B217" s="432"/>
      <c r="C217" s="432"/>
      <c r="D217" s="80"/>
      <c r="E217" s="81"/>
    </row>
    <row r="218" spans="2:7">
      <c r="B218" s="432"/>
      <c r="C218" s="432"/>
      <c r="D218" s="80"/>
      <c r="E218" s="81"/>
    </row>
    <row r="219" spans="2:7">
      <c r="B219" s="432"/>
      <c r="C219" s="432"/>
      <c r="D219" s="80"/>
      <c r="E219" s="81"/>
    </row>
    <row r="220" spans="2:7">
      <c r="B220" s="432"/>
      <c r="C220" s="432"/>
      <c r="D220" s="80"/>
      <c r="E220" s="81"/>
    </row>
    <row r="221" spans="2:7">
      <c r="B221" s="432"/>
      <c r="C221" s="432"/>
      <c r="D221" s="80"/>
      <c r="E221" s="81"/>
    </row>
    <row r="222" spans="2:7">
      <c r="B222" s="432"/>
      <c r="C222" s="432"/>
      <c r="D222" s="80"/>
      <c r="E222" s="81"/>
    </row>
    <row r="223" spans="2:7">
      <c r="B223" s="432"/>
      <c r="C223" s="432"/>
      <c r="D223" s="80"/>
      <c r="E223" s="81"/>
    </row>
    <row r="224" spans="2:7">
      <c r="B224" s="432"/>
      <c r="C224" s="432"/>
      <c r="D224" s="80"/>
      <c r="E224" s="81"/>
    </row>
    <row r="225" spans="2:6">
      <c r="B225" s="432"/>
      <c r="C225" s="432"/>
      <c r="D225" s="80"/>
      <c r="E225" s="81"/>
    </row>
    <row r="226" spans="2:6">
      <c r="B226" s="433"/>
      <c r="C226" s="433"/>
      <c r="D226" s="80"/>
      <c r="E226" s="81"/>
    </row>
    <row r="227" spans="2:6" s="74" customFormat="1" ht="24" customHeight="1">
      <c r="B227" s="434" t="s">
        <v>655</v>
      </c>
      <c r="C227" s="434"/>
      <c r="D227" s="434"/>
      <c r="E227" s="82">
        <f>SUM(E213:E226)</f>
        <v>3000</v>
      </c>
      <c r="F227" s="83">
        <f>+'Tổng,SUMMARY'!$Q$209</f>
        <v>3000</v>
      </c>
    </row>
    <row r="228" spans="2:6">
      <c r="B228" s="431" t="s">
        <v>862</v>
      </c>
      <c r="C228" s="431" t="s">
        <v>860</v>
      </c>
      <c r="D228" s="80" t="s">
        <v>662</v>
      </c>
      <c r="E228" s="81">
        <v>2900</v>
      </c>
    </row>
    <row r="229" spans="2:6">
      <c r="B229" s="432"/>
      <c r="C229" s="432"/>
      <c r="D229" s="80" t="s">
        <v>863</v>
      </c>
      <c r="E229" s="81">
        <v>1200</v>
      </c>
    </row>
    <row r="230" spans="2:6">
      <c r="B230" s="432"/>
      <c r="C230" s="432"/>
      <c r="D230" s="80" t="s">
        <v>864</v>
      </c>
      <c r="E230" s="81">
        <v>1200</v>
      </c>
    </row>
    <row r="231" spans="2:6">
      <c r="B231" s="432"/>
      <c r="C231" s="432"/>
      <c r="D231" s="80" t="s">
        <v>865</v>
      </c>
      <c r="E231" s="81">
        <v>1200</v>
      </c>
    </row>
    <row r="232" spans="2:6">
      <c r="B232" s="432"/>
      <c r="C232" s="432"/>
      <c r="D232" s="80" t="s">
        <v>870</v>
      </c>
      <c r="E232" s="81">
        <v>1200</v>
      </c>
    </row>
    <row r="233" spans="2:6">
      <c r="B233" s="432"/>
      <c r="C233" s="432"/>
      <c r="D233" s="80" t="s">
        <v>876</v>
      </c>
      <c r="E233" s="81">
        <v>400</v>
      </c>
    </row>
    <row r="234" spans="2:6">
      <c r="B234" s="432"/>
      <c r="C234" s="432"/>
      <c r="D234" s="80"/>
      <c r="E234" s="81"/>
    </row>
    <row r="235" spans="2:6">
      <c r="B235" s="432"/>
      <c r="C235" s="432"/>
      <c r="D235" s="80"/>
      <c r="E235" s="81"/>
    </row>
    <row r="236" spans="2:6">
      <c r="B236" s="432"/>
      <c r="C236" s="432"/>
      <c r="D236" s="80"/>
      <c r="E236" s="81"/>
    </row>
    <row r="237" spans="2:6">
      <c r="B237" s="432"/>
      <c r="C237" s="432"/>
      <c r="D237" s="80"/>
      <c r="E237" s="81"/>
    </row>
    <row r="238" spans="2:6">
      <c r="B238" s="432"/>
      <c r="C238" s="432"/>
      <c r="D238" s="80"/>
      <c r="E238" s="81"/>
    </row>
    <row r="239" spans="2:6">
      <c r="B239" s="432"/>
      <c r="C239" s="432"/>
      <c r="D239" s="80"/>
      <c r="E239" s="81"/>
    </row>
    <row r="240" spans="2:6">
      <c r="B240" s="433"/>
      <c r="C240" s="433"/>
      <c r="D240" s="80"/>
      <c r="E240" s="81"/>
    </row>
    <row r="241" spans="2:7" s="74" customFormat="1" ht="24" customHeight="1">
      <c r="B241" s="434" t="s">
        <v>655</v>
      </c>
      <c r="C241" s="434"/>
      <c r="D241" s="434"/>
      <c r="E241" s="82">
        <f>SUM(E228:E240)</f>
        <v>8100</v>
      </c>
      <c r="F241" s="83">
        <f>+'Tổng,SUMMARY'!Q12</f>
        <v>1100</v>
      </c>
      <c r="G241" s="84">
        <f>+F241-E241</f>
        <v>-7000</v>
      </c>
    </row>
    <row r="242" spans="2:7">
      <c r="B242" s="431" t="s">
        <v>915</v>
      </c>
      <c r="C242" s="431" t="s">
        <v>321</v>
      </c>
      <c r="E242" s="81"/>
    </row>
    <row r="243" spans="2:7">
      <c r="B243" s="432"/>
      <c r="C243" s="432"/>
      <c r="D243" s="80" t="s">
        <v>916</v>
      </c>
      <c r="E243" s="81">
        <v>1200</v>
      </c>
    </row>
    <row r="244" spans="2:7">
      <c r="B244" s="432"/>
      <c r="C244" s="432"/>
      <c r="D244" s="80" t="s">
        <v>917</v>
      </c>
      <c r="E244" s="81">
        <v>1150</v>
      </c>
    </row>
    <row r="245" spans="2:7">
      <c r="B245" s="432"/>
      <c r="C245" s="432"/>
      <c r="D245" s="80" t="s">
        <v>927</v>
      </c>
      <c r="E245" s="81">
        <v>1200</v>
      </c>
    </row>
    <row r="246" spans="2:7">
      <c r="B246" s="432"/>
      <c r="C246" s="432"/>
      <c r="D246" s="80" t="s">
        <v>936</v>
      </c>
      <c r="E246" s="81">
        <v>1200</v>
      </c>
    </row>
    <row r="247" spans="2:7">
      <c r="B247" s="432"/>
      <c r="C247" s="432"/>
      <c r="D247" s="80" t="s">
        <v>937</v>
      </c>
      <c r="E247" s="81">
        <v>1200</v>
      </c>
    </row>
    <row r="248" spans="2:7">
      <c r="B248" s="432"/>
      <c r="C248" s="432"/>
      <c r="D248" s="80" t="s">
        <v>944</v>
      </c>
      <c r="E248" s="81">
        <v>700</v>
      </c>
    </row>
    <row r="249" spans="2:7">
      <c r="B249" s="432"/>
      <c r="C249" s="432"/>
      <c r="D249" s="80" t="s">
        <v>945</v>
      </c>
      <c r="E249" s="81">
        <v>1050</v>
      </c>
    </row>
    <row r="250" spans="2:7">
      <c r="B250" s="432"/>
      <c r="C250" s="432"/>
      <c r="D250" s="80"/>
      <c r="E250" s="81"/>
    </row>
    <row r="251" spans="2:7">
      <c r="B251" s="433"/>
      <c r="C251" s="433"/>
      <c r="D251" s="80"/>
      <c r="E251" s="81"/>
    </row>
    <row r="252" spans="2:7" s="74" customFormat="1" ht="24" customHeight="1">
      <c r="B252" s="434" t="s">
        <v>655</v>
      </c>
      <c r="C252" s="434"/>
      <c r="D252" s="434"/>
      <c r="E252" s="82">
        <f>SUM(E242:E251)</f>
        <v>7700</v>
      </c>
      <c r="F252" s="83">
        <f>+'Tổng,SUMMARY'!$Q$131</f>
        <v>2550</v>
      </c>
      <c r="G252" s="84"/>
    </row>
    <row r="253" spans="2:7">
      <c r="B253" s="431" t="s">
        <v>914</v>
      </c>
      <c r="C253" s="431" t="s">
        <v>323</v>
      </c>
      <c r="D253" s="80"/>
      <c r="E253" s="81"/>
    </row>
    <row r="254" spans="2:7">
      <c r="B254" s="432"/>
      <c r="C254" s="432"/>
      <c r="D254" s="80"/>
      <c r="E254" s="81"/>
    </row>
    <row r="255" spans="2:7">
      <c r="B255" s="432"/>
      <c r="C255" s="432"/>
      <c r="D255" s="80"/>
      <c r="E255" s="81"/>
    </row>
    <row r="256" spans="2:7">
      <c r="B256" s="432"/>
      <c r="C256" s="432"/>
      <c r="D256" s="80" t="s">
        <v>1314</v>
      </c>
      <c r="E256" s="81">
        <v>950</v>
      </c>
    </row>
    <row r="257" spans="2:7">
      <c r="B257" s="432"/>
      <c r="C257" s="432"/>
      <c r="D257" s="80"/>
      <c r="E257" s="81"/>
    </row>
    <row r="258" spans="2:7">
      <c r="B258" s="432"/>
      <c r="C258" s="432"/>
      <c r="D258" s="80"/>
      <c r="E258" s="81"/>
    </row>
    <row r="259" spans="2:7">
      <c r="B259" s="432"/>
      <c r="C259" s="432"/>
      <c r="D259" s="80" t="s">
        <v>1371</v>
      </c>
      <c r="E259" s="81">
        <v>1200</v>
      </c>
    </row>
    <row r="260" spans="2:7">
      <c r="B260" s="432"/>
      <c r="C260" s="432"/>
      <c r="D260" s="80" t="s">
        <v>1453</v>
      </c>
      <c r="E260" s="81">
        <v>1200</v>
      </c>
    </row>
    <row r="261" spans="2:7">
      <c r="B261" s="432"/>
      <c r="C261" s="432"/>
      <c r="D261" s="80" t="s">
        <v>1454</v>
      </c>
      <c r="E261" s="81">
        <v>1150</v>
      </c>
    </row>
    <row r="262" spans="2:7">
      <c r="B262" s="432"/>
      <c r="C262" s="432"/>
      <c r="D262" s="80"/>
      <c r="E262" s="81"/>
    </row>
    <row r="263" spans="2:7">
      <c r="B263" s="432"/>
      <c r="C263" s="432"/>
      <c r="D263" s="80"/>
      <c r="E263" s="81"/>
    </row>
    <row r="264" spans="2:7">
      <c r="B264" s="432"/>
      <c r="C264" s="432"/>
      <c r="D264" s="80"/>
      <c r="E264" s="81"/>
    </row>
    <row r="265" spans="2:7">
      <c r="B265" s="432"/>
      <c r="C265" s="432"/>
      <c r="D265" s="80"/>
      <c r="E265" s="81"/>
    </row>
    <row r="266" spans="2:7">
      <c r="B266" s="433"/>
      <c r="C266" s="433"/>
      <c r="D266" s="80"/>
      <c r="E266" s="81"/>
    </row>
    <row r="267" spans="2:7" s="74" customFormat="1" ht="24" customHeight="1">
      <c r="B267" s="434" t="s">
        <v>655</v>
      </c>
      <c r="C267" s="434"/>
      <c r="D267" s="434"/>
      <c r="E267" s="82">
        <f>SUM(E253:E266)</f>
        <v>4500</v>
      </c>
      <c r="F267" s="83">
        <f>+'Tổng,SUMMARY'!$Q$100</f>
        <v>4500</v>
      </c>
      <c r="G267" s="84"/>
    </row>
    <row r="268" spans="2:7">
      <c r="B268" s="431" t="s">
        <v>1274</v>
      </c>
      <c r="C268" s="431" t="s">
        <v>482</v>
      </c>
      <c r="D268" s="85"/>
      <c r="E268" s="86"/>
    </row>
    <row r="269" spans="2:7">
      <c r="B269" s="432"/>
      <c r="C269" s="432"/>
      <c r="D269" s="87" t="s">
        <v>1275</v>
      </c>
      <c r="E269" s="81">
        <v>100</v>
      </c>
    </row>
    <row r="270" spans="2:7">
      <c r="B270" s="432"/>
      <c r="C270" s="432"/>
      <c r="D270" s="87" t="s">
        <v>1302</v>
      </c>
      <c r="E270" s="81">
        <v>1100</v>
      </c>
    </row>
    <row r="271" spans="2:7">
      <c r="B271" s="432"/>
      <c r="C271" s="432"/>
      <c r="D271" s="87" t="s">
        <v>1303</v>
      </c>
      <c r="E271" s="81">
        <v>700</v>
      </c>
    </row>
    <row r="272" spans="2:7">
      <c r="B272" s="432"/>
      <c r="C272" s="432"/>
      <c r="D272" s="87" t="s">
        <v>1343</v>
      </c>
      <c r="E272" s="81">
        <v>1200</v>
      </c>
    </row>
    <row r="273" spans="2:8">
      <c r="B273" s="432"/>
      <c r="C273" s="432"/>
      <c r="D273" s="87" t="s">
        <v>1382</v>
      </c>
      <c r="E273" s="81">
        <v>1200</v>
      </c>
    </row>
    <row r="274" spans="2:8">
      <c r="B274" s="432"/>
      <c r="C274" s="432"/>
      <c r="D274" s="87" t="s">
        <v>1383</v>
      </c>
      <c r="E274" s="81">
        <v>1200</v>
      </c>
    </row>
    <row r="275" spans="2:8">
      <c r="B275" s="432"/>
      <c r="C275" s="432"/>
      <c r="D275" s="87" t="s">
        <v>1384</v>
      </c>
      <c r="E275" s="81">
        <v>1200</v>
      </c>
    </row>
    <row r="276" spans="2:8">
      <c r="B276" s="432"/>
      <c r="C276" s="432"/>
      <c r="D276" s="87" t="s">
        <v>1385</v>
      </c>
      <c r="E276" s="81">
        <v>1100</v>
      </c>
    </row>
    <row r="277" spans="2:8">
      <c r="B277" s="432"/>
      <c r="C277" s="432"/>
      <c r="D277" s="87" t="s">
        <v>1448</v>
      </c>
      <c r="E277" s="81">
        <v>1200</v>
      </c>
    </row>
    <row r="278" spans="2:8">
      <c r="B278" s="432"/>
      <c r="C278" s="432"/>
      <c r="D278" s="87" t="s">
        <v>1449</v>
      </c>
      <c r="E278" s="81">
        <v>1200</v>
      </c>
    </row>
    <row r="279" spans="2:8">
      <c r="B279" s="432"/>
      <c r="C279" s="432"/>
      <c r="D279" s="87" t="s">
        <v>1450</v>
      </c>
      <c r="E279" s="81">
        <v>900</v>
      </c>
    </row>
    <row r="280" spans="2:8">
      <c r="B280" s="432"/>
      <c r="C280" s="432"/>
      <c r="D280" s="87"/>
      <c r="E280" s="81"/>
    </row>
    <row r="281" spans="2:8">
      <c r="B281" s="432"/>
      <c r="C281" s="432"/>
      <c r="D281" s="87"/>
      <c r="E281" s="81"/>
    </row>
    <row r="282" spans="2:8">
      <c r="B282" s="432"/>
      <c r="C282" s="432"/>
      <c r="D282" s="87"/>
      <c r="E282" s="81"/>
    </row>
    <row r="283" spans="2:8">
      <c r="B283" s="433"/>
      <c r="C283" s="433"/>
      <c r="D283" s="80"/>
      <c r="E283" s="81"/>
    </row>
    <row r="284" spans="2:8" s="74" customFormat="1" ht="24" customHeight="1">
      <c r="B284" s="434" t="s">
        <v>655</v>
      </c>
      <c r="C284" s="434"/>
      <c r="D284" s="434"/>
      <c r="E284" s="82">
        <f>SUM(E268:E283)</f>
        <v>11100</v>
      </c>
      <c r="F284" s="83">
        <f>+'Tổng,SUMMARY'!$Q$232</f>
        <v>11100</v>
      </c>
      <c r="G284" s="8"/>
      <c r="H284" s="84"/>
    </row>
    <row r="285" spans="2:8">
      <c r="B285" s="431" t="s">
        <v>483</v>
      </c>
      <c r="C285" s="431" t="s">
        <v>484</v>
      </c>
      <c r="D285" s="85"/>
      <c r="E285" s="81"/>
    </row>
    <row r="286" spans="2:8">
      <c r="B286" s="432"/>
      <c r="C286" s="432"/>
      <c r="D286" s="85" t="s">
        <v>675</v>
      </c>
      <c r="E286" s="81">
        <v>300</v>
      </c>
    </row>
    <row r="287" spans="2:8">
      <c r="B287" s="432"/>
      <c r="C287" s="432"/>
      <c r="D287" s="85" t="s">
        <v>808</v>
      </c>
      <c r="E287" s="81">
        <v>1200</v>
      </c>
    </row>
    <row r="288" spans="2:8">
      <c r="B288" s="432"/>
      <c r="C288" s="432"/>
      <c r="D288" s="85" t="s">
        <v>809</v>
      </c>
      <c r="E288" s="81">
        <v>1200</v>
      </c>
    </row>
    <row r="289" spans="2:7">
      <c r="B289" s="432"/>
      <c r="C289" s="432"/>
      <c r="D289" s="85" t="s">
        <v>829</v>
      </c>
      <c r="E289" s="81">
        <v>1200</v>
      </c>
    </row>
    <row r="290" spans="2:7">
      <c r="B290" s="432"/>
      <c r="C290" s="432"/>
      <c r="D290" s="85" t="s">
        <v>855</v>
      </c>
      <c r="E290" s="81">
        <v>1100</v>
      </c>
    </row>
    <row r="291" spans="2:7">
      <c r="B291" s="432"/>
      <c r="C291" s="432"/>
      <c r="D291" s="85" t="s">
        <v>879</v>
      </c>
      <c r="E291" s="81">
        <v>1200</v>
      </c>
    </row>
    <row r="292" spans="2:7">
      <c r="B292" s="432"/>
      <c r="C292" s="432"/>
      <c r="D292" s="85" t="s">
        <v>898</v>
      </c>
      <c r="E292" s="81">
        <v>1200</v>
      </c>
    </row>
    <row r="293" spans="2:7">
      <c r="B293" s="432"/>
      <c r="C293" s="432"/>
      <c r="D293" s="85" t="s">
        <v>899</v>
      </c>
      <c r="E293" s="81">
        <v>1100</v>
      </c>
    </row>
    <row r="294" spans="2:7">
      <c r="B294" s="432"/>
      <c r="C294" s="432"/>
      <c r="D294" s="85" t="s">
        <v>900</v>
      </c>
      <c r="E294" s="81">
        <v>1200</v>
      </c>
    </row>
    <row r="295" spans="2:7">
      <c r="B295" s="432"/>
      <c r="C295" s="432"/>
      <c r="D295" s="85" t="s">
        <v>906</v>
      </c>
      <c r="E295" s="81">
        <v>500</v>
      </c>
    </row>
    <row r="296" spans="2:7">
      <c r="B296" s="432"/>
      <c r="C296" s="432"/>
      <c r="D296" s="85" t="s">
        <v>922</v>
      </c>
      <c r="E296" s="81">
        <v>1200</v>
      </c>
    </row>
    <row r="297" spans="2:7">
      <c r="B297" s="432"/>
      <c r="C297" s="432"/>
      <c r="D297" s="85"/>
      <c r="E297" s="81"/>
    </row>
    <row r="298" spans="2:7">
      <c r="B298" s="432"/>
      <c r="C298" s="432"/>
      <c r="D298" s="85"/>
      <c r="E298" s="81"/>
    </row>
    <row r="299" spans="2:7">
      <c r="B299" s="432"/>
      <c r="C299" s="432"/>
      <c r="D299" s="85"/>
      <c r="E299" s="81"/>
    </row>
    <row r="300" spans="2:7">
      <c r="B300" s="432"/>
      <c r="C300" s="432"/>
      <c r="D300" s="85"/>
      <c r="E300" s="81"/>
    </row>
    <row r="301" spans="2:7">
      <c r="B301" s="432"/>
      <c r="C301" s="432"/>
      <c r="D301" s="80"/>
      <c r="E301" s="81"/>
    </row>
    <row r="302" spans="2:7">
      <c r="B302" s="433"/>
      <c r="C302" s="433"/>
      <c r="D302" s="80"/>
      <c r="E302" s="81"/>
    </row>
    <row r="303" spans="2:7" s="74" customFormat="1" ht="24" customHeight="1">
      <c r="B303" s="434" t="s">
        <v>655</v>
      </c>
      <c r="C303" s="434"/>
      <c r="D303" s="434"/>
      <c r="E303" s="82">
        <f>SUM(E285:E302)</f>
        <v>11400</v>
      </c>
      <c r="F303" s="83">
        <f>+'Tổng,SUMMARY'!$Q$227</f>
        <v>0</v>
      </c>
      <c r="G303" s="84">
        <f>+F303-E303</f>
        <v>-11400</v>
      </c>
    </row>
    <row r="304" spans="2:7">
      <c r="B304" s="431" t="s">
        <v>70</v>
      </c>
      <c r="C304" s="431" t="s">
        <v>69</v>
      </c>
      <c r="D304" s="80"/>
      <c r="E304" s="81"/>
    </row>
    <row r="305" spans="2:6">
      <c r="B305" s="432"/>
      <c r="C305" s="432"/>
      <c r="D305" s="80" t="s">
        <v>676</v>
      </c>
      <c r="E305" s="81"/>
    </row>
    <row r="306" spans="2:6">
      <c r="B306" s="432"/>
      <c r="C306" s="432"/>
      <c r="D306" s="80" t="s">
        <v>677</v>
      </c>
      <c r="E306" s="81"/>
    </row>
    <row r="307" spans="2:6">
      <c r="B307" s="432"/>
      <c r="C307" s="432"/>
      <c r="D307" s="80"/>
      <c r="E307" s="81"/>
    </row>
    <row r="308" spans="2:6">
      <c r="B308" s="432"/>
      <c r="C308" s="432"/>
      <c r="D308" s="80"/>
      <c r="E308" s="81"/>
    </row>
    <row r="309" spans="2:6">
      <c r="B309" s="432"/>
      <c r="C309" s="432"/>
      <c r="D309" s="80"/>
      <c r="E309" s="81"/>
    </row>
    <row r="310" spans="2:6">
      <c r="B310" s="432"/>
      <c r="C310" s="432"/>
      <c r="D310" s="80"/>
      <c r="E310" s="81"/>
    </row>
    <row r="311" spans="2:6">
      <c r="B311" s="432"/>
      <c r="C311" s="432"/>
      <c r="D311" s="80"/>
      <c r="E311" s="81"/>
    </row>
    <row r="312" spans="2:6">
      <c r="B312" s="432"/>
      <c r="C312" s="432"/>
      <c r="D312" s="80"/>
      <c r="E312" s="81"/>
    </row>
    <row r="313" spans="2:6">
      <c r="B313" s="433"/>
      <c r="C313" s="433"/>
      <c r="D313" s="80"/>
      <c r="E313" s="81"/>
    </row>
    <row r="314" spans="2:6" s="74" customFormat="1" ht="24" customHeight="1">
      <c r="B314" s="435" t="s">
        <v>655</v>
      </c>
      <c r="C314" s="436"/>
      <c r="D314" s="437"/>
      <c r="E314" s="82">
        <f>SUM(E304:E313)</f>
        <v>0</v>
      </c>
      <c r="F314" s="83" t="e">
        <f>+VLOOKUP(B309,'Tổng,SUMMARY'!C:Q,15,0)</f>
        <v>#N/A</v>
      </c>
    </row>
    <row r="315" spans="2:6">
      <c r="B315" s="431" t="s">
        <v>374</v>
      </c>
      <c r="C315" s="431" t="s">
        <v>375</v>
      </c>
      <c r="D315" s="80" t="s">
        <v>678</v>
      </c>
      <c r="E315" s="81">
        <v>900</v>
      </c>
    </row>
    <row r="316" spans="2:6">
      <c r="B316" s="432"/>
      <c r="C316" s="432"/>
      <c r="D316" s="80" t="s">
        <v>679</v>
      </c>
      <c r="E316" s="81">
        <v>600</v>
      </c>
    </row>
    <row r="317" spans="2:6">
      <c r="B317" s="432"/>
      <c r="C317" s="432"/>
      <c r="D317" s="80" t="s">
        <v>680</v>
      </c>
      <c r="E317" s="81">
        <v>1200</v>
      </c>
    </row>
    <row r="318" spans="2:6">
      <c r="B318" s="432"/>
      <c r="C318" s="432"/>
      <c r="D318" s="80" t="s">
        <v>681</v>
      </c>
      <c r="E318" s="81">
        <v>1200</v>
      </c>
    </row>
    <row r="319" spans="2:6">
      <c r="B319" s="432"/>
      <c r="C319" s="432"/>
      <c r="D319" s="80" t="s">
        <v>682</v>
      </c>
      <c r="E319" s="81">
        <v>1200</v>
      </c>
    </row>
    <row r="320" spans="2:6">
      <c r="B320" s="432"/>
      <c r="C320" s="432"/>
      <c r="D320" s="80" t="s">
        <v>683</v>
      </c>
      <c r="E320" s="81">
        <v>1200</v>
      </c>
    </row>
    <row r="321" spans="2:5">
      <c r="B321" s="432"/>
      <c r="C321" s="432"/>
      <c r="D321" s="80" t="s">
        <v>684</v>
      </c>
      <c r="E321" s="81">
        <v>1200</v>
      </c>
    </row>
    <row r="322" spans="2:5">
      <c r="B322" s="432"/>
      <c r="C322" s="432"/>
      <c r="D322" s="80" t="s">
        <v>685</v>
      </c>
      <c r="E322" s="81">
        <v>1200</v>
      </c>
    </row>
    <row r="323" spans="2:5">
      <c r="B323" s="432"/>
      <c r="C323" s="432"/>
      <c r="D323" s="80" t="s">
        <v>686</v>
      </c>
      <c r="E323" s="81">
        <v>1200</v>
      </c>
    </row>
    <row r="324" spans="2:5">
      <c r="B324" s="432"/>
      <c r="C324" s="432"/>
      <c r="D324" s="80" t="s">
        <v>687</v>
      </c>
      <c r="E324" s="81">
        <v>1200</v>
      </c>
    </row>
    <row r="325" spans="2:5">
      <c r="B325" s="432"/>
      <c r="C325" s="432"/>
      <c r="D325" s="80" t="s">
        <v>815</v>
      </c>
      <c r="E325" s="81">
        <v>1200</v>
      </c>
    </row>
    <row r="326" spans="2:5">
      <c r="B326" s="432"/>
      <c r="C326" s="432"/>
      <c r="D326" s="80" t="s">
        <v>816</v>
      </c>
      <c r="E326" s="81">
        <v>1200</v>
      </c>
    </row>
    <row r="327" spans="2:5">
      <c r="B327" s="432"/>
      <c r="C327" s="432"/>
      <c r="D327" s="80" t="s">
        <v>817</v>
      </c>
      <c r="E327" s="81">
        <v>1200</v>
      </c>
    </row>
    <row r="328" spans="2:5">
      <c r="B328" s="432"/>
      <c r="C328" s="432"/>
      <c r="D328" s="80" t="s">
        <v>842</v>
      </c>
      <c r="E328" s="81">
        <v>1200</v>
      </c>
    </row>
    <row r="329" spans="2:5">
      <c r="B329" s="432"/>
      <c r="C329" s="432"/>
      <c r="D329" s="80" t="s">
        <v>843</v>
      </c>
      <c r="E329" s="81">
        <v>1200</v>
      </c>
    </row>
    <row r="330" spans="2:5">
      <c r="B330" s="432"/>
      <c r="C330" s="432"/>
      <c r="D330" s="80" t="s">
        <v>844</v>
      </c>
      <c r="E330" s="81">
        <v>1200</v>
      </c>
    </row>
    <row r="331" spans="2:5">
      <c r="B331" s="432"/>
      <c r="C331" s="432"/>
      <c r="D331" s="80" t="s">
        <v>845</v>
      </c>
      <c r="E331" s="81">
        <v>1200</v>
      </c>
    </row>
    <row r="332" spans="2:5">
      <c r="B332" s="432"/>
      <c r="C332" s="432"/>
      <c r="D332" s="80" t="s">
        <v>846</v>
      </c>
      <c r="E332" s="81">
        <v>1200</v>
      </c>
    </row>
    <row r="333" spans="2:5">
      <c r="B333" s="432"/>
      <c r="C333" s="432"/>
      <c r="D333" s="80" t="s">
        <v>847</v>
      </c>
      <c r="E333" s="81">
        <v>1200</v>
      </c>
    </row>
    <row r="334" spans="2:5">
      <c r="B334" s="432"/>
      <c r="C334" s="432"/>
      <c r="D334" s="80" t="s">
        <v>848</v>
      </c>
      <c r="E334" s="81">
        <v>1200</v>
      </c>
    </row>
    <row r="335" spans="2:5">
      <c r="B335" s="432"/>
      <c r="C335" s="432"/>
      <c r="D335" s="80" t="s">
        <v>849</v>
      </c>
      <c r="E335" s="81">
        <v>600</v>
      </c>
    </row>
    <row r="336" spans="2:5">
      <c r="B336" s="432"/>
      <c r="C336" s="432"/>
      <c r="D336" s="80"/>
      <c r="E336" s="81"/>
    </row>
    <row r="337" spans="2:8">
      <c r="B337" s="432"/>
      <c r="C337" s="432"/>
      <c r="D337" s="80"/>
      <c r="E337" s="81"/>
    </row>
    <row r="338" spans="2:8">
      <c r="B338" s="432"/>
      <c r="C338" s="432"/>
      <c r="D338" s="80"/>
      <c r="E338" s="81"/>
    </row>
    <row r="339" spans="2:8">
      <c r="B339" s="432"/>
      <c r="C339" s="432"/>
      <c r="D339" s="80"/>
      <c r="E339" s="81"/>
    </row>
    <row r="340" spans="2:8">
      <c r="B340" s="432"/>
      <c r="C340" s="432"/>
      <c r="D340" s="80"/>
      <c r="E340" s="81"/>
    </row>
    <row r="341" spans="2:8">
      <c r="B341" s="432"/>
      <c r="C341" s="432"/>
      <c r="D341" s="80"/>
      <c r="E341" s="81"/>
    </row>
    <row r="342" spans="2:8">
      <c r="B342" s="432"/>
      <c r="C342" s="432"/>
      <c r="D342" s="80"/>
      <c r="E342" s="81"/>
    </row>
    <row r="343" spans="2:8">
      <c r="B343" s="433"/>
      <c r="C343" s="433"/>
      <c r="D343" s="80"/>
      <c r="E343" s="81"/>
    </row>
    <row r="344" spans="2:8" s="74" customFormat="1" ht="24" customHeight="1">
      <c r="B344" s="435" t="s">
        <v>655</v>
      </c>
      <c r="C344" s="436"/>
      <c r="D344" s="437"/>
      <c r="E344" s="82">
        <f>SUM(E315:E343)</f>
        <v>23700</v>
      </c>
      <c r="F344" s="83">
        <f>+'Tổng,SUMMARY'!$Q$233</f>
        <v>23700</v>
      </c>
      <c r="H344" s="84"/>
    </row>
    <row r="345" spans="2:8">
      <c r="B345" s="432" t="s">
        <v>471</v>
      </c>
      <c r="C345" s="432" t="s">
        <v>472</v>
      </c>
      <c r="D345" s="80"/>
      <c r="E345" s="81"/>
    </row>
    <row r="346" spans="2:8">
      <c r="B346" s="432"/>
      <c r="C346" s="432"/>
      <c r="D346" s="80" t="s">
        <v>1492</v>
      </c>
      <c r="E346" s="81">
        <v>900</v>
      </c>
    </row>
    <row r="347" spans="2:8">
      <c r="B347" s="432"/>
      <c r="C347" s="432"/>
      <c r="D347" s="80"/>
      <c r="E347" s="81"/>
    </row>
    <row r="348" spans="2:8">
      <c r="B348" s="432"/>
      <c r="C348" s="432"/>
      <c r="D348" s="80"/>
      <c r="E348" s="81"/>
    </row>
    <row r="349" spans="2:8">
      <c r="B349" s="432"/>
      <c r="C349" s="432"/>
      <c r="D349" s="80"/>
      <c r="E349" s="81"/>
    </row>
    <row r="350" spans="2:8">
      <c r="B350" s="432"/>
      <c r="C350" s="432"/>
      <c r="D350" s="80"/>
      <c r="E350" s="81"/>
    </row>
    <row r="351" spans="2:8">
      <c r="B351" s="432"/>
      <c r="C351" s="432"/>
      <c r="D351" s="80"/>
      <c r="E351" s="81"/>
    </row>
    <row r="352" spans="2:8">
      <c r="B352" s="433"/>
      <c r="C352" s="433"/>
      <c r="D352" s="80"/>
      <c r="E352" s="81"/>
    </row>
    <row r="353" spans="2:6" s="74" customFormat="1" ht="24" customHeight="1">
      <c r="B353" s="435" t="s">
        <v>655</v>
      </c>
      <c r="C353" s="436"/>
      <c r="D353" s="437"/>
      <c r="E353" s="82">
        <f>SUM(E345:E352)</f>
        <v>900</v>
      </c>
      <c r="F353" s="83">
        <f>+'Tổng,SUMMARY'!$Q$201</f>
        <v>900</v>
      </c>
    </row>
    <row r="354" spans="2:6">
      <c r="B354" s="431" t="s">
        <v>243</v>
      </c>
      <c r="C354" s="431" t="s">
        <v>244</v>
      </c>
      <c r="D354" s="80" t="s">
        <v>688</v>
      </c>
      <c r="E354" s="81">
        <v>900</v>
      </c>
    </row>
    <row r="355" spans="2:6">
      <c r="B355" s="432"/>
      <c r="C355" s="432"/>
      <c r="D355" s="80"/>
      <c r="E355" s="81"/>
    </row>
    <row r="356" spans="2:6">
      <c r="B356" s="432"/>
      <c r="C356" s="432"/>
      <c r="D356" s="80"/>
      <c r="E356" s="81"/>
    </row>
    <row r="357" spans="2:6">
      <c r="B357" s="432"/>
      <c r="C357" s="432"/>
      <c r="D357" s="80"/>
      <c r="E357" s="81"/>
    </row>
    <row r="358" spans="2:6">
      <c r="B358" s="432"/>
      <c r="C358" s="432"/>
      <c r="D358" s="80"/>
      <c r="E358" s="81"/>
    </row>
    <row r="359" spans="2:6">
      <c r="B359" s="432"/>
      <c r="C359" s="432"/>
      <c r="D359" s="80"/>
      <c r="E359" s="81"/>
    </row>
    <row r="360" spans="2:6">
      <c r="B360" s="432"/>
      <c r="C360" s="432"/>
      <c r="D360" s="80"/>
      <c r="E360" s="81"/>
    </row>
    <row r="361" spans="2:6">
      <c r="B361" s="432"/>
      <c r="C361" s="432"/>
      <c r="D361" s="80"/>
      <c r="E361" s="81"/>
    </row>
    <row r="362" spans="2:6">
      <c r="B362" s="432"/>
      <c r="C362" s="432"/>
      <c r="D362" s="80"/>
      <c r="E362" s="81"/>
    </row>
    <row r="363" spans="2:6">
      <c r="B363" s="433"/>
      <c r="C363" s="433"/>
      <c r="D363" s="80"/>
      <c r="E363" s="81"/>
    </row>
    <row r="364" spans="2:6" s="74" customFormat="1" ht="24" customHeight="1">
      <c r="B364" s="435" t="s">
        <v>655</v>
      </c>
      <c r="C364" s="436"/>
      <c r="D364" s="437"/>
      <c r="E364" s="82">
        <f>SUM(E354:E363)</f>
        <v>900</v>
      </c>
      <c r="F364" s="83" t="e">
        <f>+VLOOKUP(B359,'Tổng,SUMMARY'!C:Q,15,0)</f>
        <v>#N/A</v>
      </c>
    </row>
    <row r="365" spans="2:6">
      <c r="B365" s="431" t="s">
        <v>23</v>
      </c>
      <c r="C365" s="431"/>
      <c r="D365" s="80" t="s">
        <v>678</v>
      </c>
      <c r="E365" s="81"/>
    </row>
    <row r="366" spans="2:6">
      <c r="B366" s="432"/>
      <c r="C366" s="432"/>
      <c r="D366" s="80" t="s">
        <v>689</v>
      </c>
      <c r="E366" s="81"/>
    </row>
    <row r="367" spans="2:6">
      <c r="B367" s="432"/>
      <c r="C367" s="432"/>
      <c r="D367" s="80" t="s">
        <v>690</v>
      </c>
      <c r="E367" s="81"/>
    </row>
    <row r="368" spans="2:6">
      <c r="B368" s="432"/>
      <c r="C368" s="432"/>
      <c r="D368" s="80" t="s">
        <v>691</v>
      </c>
      <c r="E368" s="81"/>
    </row>
    <row r="369" spans="2:6">
      <c r="B369" s="432"/>
      <c r="C369" s="432"/>
      <c r="D369" s="80" t="s">
        <v>692</v>
      </c>
      <c r="E369" s="81"/>
    </row>
    <row r="370" spans="2:6">
      <c r="B370" s="432"/>
      <c r="C370" s="432"/>
      <c r="D370" s="80" t="s">
        <v>693</v>
      </c>
      <c r="E370" s="81"/>
    </row>
    <row r="371" spans="2:6">
      <c r="B371" s="432"/>
      <c r="C371" s="432"/>
      <c r="D371" s="80" t="s">
        <v>694</v>
      </c>
      <c r="E371" s="81"/>
    </row>
    <row r="372" spans="2:6">
      <c r="B372" s="432"/>
      <c r="C372" s="432"/>
      <c r="D372" s="80"/>
      <c r="E372" s="81"/>
    </row>
    <row r="373" spans="2:6">
      <c r="B373" s="432"/>
      <c r="C373" s="432"/>
      <c r="D373" s="80"/>
      <c r="E373" s="81"/>
    </row>
    <row r="374" spans="2:6">
      <c r="B374" s="432"/>
      <c r="C374" s="432"/>
      <c r="D374" s="80"/>
      <c r="E374" s="81"/>
    </row>
    <row r="375" spans="2:6">
      <c r="B375" s="432"/>
      <c r="C375" s="432"/>
      <c r="D375" s="80"/>
      <c r="E375" s="81"/>
    </row>
    <row r="376" spans="2:6">
      <c r="B376" s="432"/>
      <c r="C376" s="432"/>
      <c r="D376" s="80"/>
      <c r="E376" s="81"/>
    </row>
    <row r="377" spans="2:6">
      <c r="B377" s="433"/>
      <c r="C377" s="433"/>
      <c r="D377" s="80"/>
      <c r="E377" s="81"/>
    </row>
    <row r="378" spans="2:6" s="74" customFormat="1" ht="24" customHeight="1">
      <c r="B378" s="435" t="s">
        <v>655</v>
      </c>
      <c r="C378" s="436"/>
      <c r="D378" s="437"/>
      <c r="E378" s="82">
        <f>SUM(E365:E377)</f>
        <v>0</v>
      </c>
      <c r="F378" s="83">
        <f>+'Tổng,SUMMARY'!$Q$165</f>
        <v>50</v>
      </c>
    </row>
    <row r="379" spans="2:6">
      <c r="B379" s="431" t="s">
        <v>852</v>
      </c>
      <c r="C379" s="431" t="s">
        <v>854</v>
      </c>
      <c r="D379" s="80"/>
      <c r="E379" s="81">
        <v>350</v>
      </c>
    </row>
    <row r="380" spans="2:6">
      <c r="B380" s="432"/>
      <c r="C380" s="432"/>
      <c r="D380" s="80"/>
      <c r="E380" s="81"/>
    </row>
    <row r="381" spans="2:6">
      <c r="B381" s="432"/>
      <c r="C381" s="432"/>
      <c r="D381" s="80"/>
      <c r="E381" s="81"/>
    </row>
    <row r="382" spans="2:6">
      <c r="B382" s="432"/>
      <c r="C382" s="432"/>
      <c r="D382" s="80"/>
      <c r="E382" s="81"/>
    </row>
    <row r="383" spans="2:6">
      <c r="B383" s="432"/>
      <c r="C383" s="432"/>
      <c r="D383" s="80"/>
      <c r="E383" s="81"/>
    </row>
    <row r="384" spans="2:6">
      <c r="B384" s="432"/>
      <c r="C384" s="432"/>
      <c r="D384" s="80"/>
      <c r="E384" s="81"/>
    </row>
    <row r="385" spans="2:6">
      <c r="B385" s="432"/>
      <c r="C385" s="432"/>
      <c r="D385" s="80"/>
      <c r="E385" s="81"/>
    </row>
    <row r="386" spans="2:6">
      <c r="B386" s="433"/>
      <c r="C386" s="433"/>
      <c r="D386" s="80"/>
      <c r="E386" s="81"/>
    </row>
    <row r="387" spans="2:6" ht="15.75">
      <c r="B387" s="435" t="s">
        <v>655</v>
      </c>
      <c r="C387" s="436"/>
      <c r="D387" s="437"/>
      <c r="E387" s="82">
        <f>SUM(E379:E386)</f>
        <v>350</v>
      </c>
      <c r="F387" s="83">
        <f>+'Tổng,SUMMARY'!$Q$195</f>
        <v>350</v>
      </c>
    </row>
    <row r="388" spans="2:6">
      <c r="B388" s="431" t="s">
        <v>192</v>
      </c>
      <c r="C388" s="431" t="s">
        <v>186</v>
      </c>
      <c r="D388" s="80"/>
      <c r="E388" s="81"/>
    </row>
    <row r="389" spans="2:6">
      <c r="B389" s="432"/>
      <c r="C389" s="432"/>
      <c r="D389" s="80" t="s">
        <v>695</v>
      </c>
      <c r="E389" s="81">
        <v>700</v>
      </c>
    </row>
    <row r="390" spans="2:6">
      <c r="B390" s="432"/>
      <c r="C390" s="432"/>
      <c r="D390" s="80" t="s">
        <v>696</v>
      </c>
      <c r="E390" s="81">
        <v>350</v>
      </c>
    </row>
    <row r="391" spans="2:6">
      <c r="B391" s="432"/>
      <c r="C391" s="432"/>
      <c r="D391" s="80" t="s">
        <v>1191</v>
      </c>
      <c r="E391" s="81">
        <v>1200</v>
      </c>
    </row>
    <row r="392" spans="2:6">
      <c r="B392" s="432"/>
      <c r="C392" s="432"/>
      <c r="D392" s="80" t="s">
        <v>1192</v>
      </c>
      <c r="E392" s="81">
        <v>1200</v>
      </c>
    </row>
    <row r="393" spans="2:6">
      <c r="B393" s="432"/>
      <c r="C393" s="432"/>
      <c r="D393" s="80" t="s">
        <v>1218</v>
      </c>
      <c r="E393" s="81">
        <v>600</v>
      </c>
    </row>
    <row r="394" spans="2:6">
      <c r="B394" s="432"/>
      <c r="C394" s="432"/>
      <c r="D394" s="80" t="s">
        <v>1219</v>
      </c>
      <c r="E394" s="81">
        <v>1000</v>
      </c>
    </row>
    <row r="395" spans="2:6">
      <c r="B395" s="432"/>
      <c r="C395" s="432"/>
      <c r="D395" s="80" t="s">
        <v>1220</v>
      </c>
      <c r="E395" s="81">
        <v>1200</v>
      </c>
    </row>
    <row r="396" spans="2:6">
      <c r="B396" s="432"/>
      <c r="C396" s="432"/>
      <c r="D396" s="80" t="s">
        <v>1254</v>
      </c>
      <c r="E396" s="81">
        <v>1000</v>
      </c>
    </row>
    <row r="397" spans="2:6">
      <c r="B397" s="432"/>
      <c r="C397" s="432"/>
      <c r="D397" s="80"/>
      <c r="E397" s="81"/>
    </row>
    <row r="398" spans="2:6">
      <c r="B398" s="432"/>
      <c r="C398" s="432"/>
      <c r="D398" s="80"/>
      <c r="E398" s="81"/>
    </row>
    <row r="399" spans="2:6">
      <c r="B399" s="432"/>
      <c r="C399" s="432"/>
      <c r="D399" s="80"/>
      <c r="E399" s="81"/>
    </row>
    <row r="400" spans="2:6">
      <c r="B400" s="432"/>
      <c r="C400" s="432"/>
      <c r="D400" s="80"/>
      <c r="E400" s="81"/>
    </row>
    <row r="401" spans="2:7">
      <c r="B401" s="432"/>
      <c r="C401" s="432"/>
      <c r="D401" s="80"/>
      <c r="E401" s="81"/>
    </row>
    <row r="402" spans="2:7">
      <c r="B402" s="432"/>
      <c r="C402" s="432"/>
      <c r="D402" s="80"/>
      <c r="E402" s="81"/>
    </row>
    <row r="403" spans="2:7">
      <c r="B403" s="432"/>
      <c r="C403" s="432"/>
      <c r="D403" s="80"/>
      <c r="E403" s="81"/>
      <c r="G403" s="73"/>
    </row>
    <row r="404" spans="2:7">
      <c r="B404" s="433"/>
      <c r="C404" s="433"/>
      <c r="D404" s="80"/>
      <c r="E404" s="81"/>
    </row>
    <row r="405" spans="2:7" ht="15.75">
      <c r="B405" s="435" t="s">
        <v>655</v>
      </c>
      <c r="C405" s="436"/>
      <c r="D405" s="437"/>
      <c r="E405" s="82">
        <f>SUM(E388:E404)</f>
        <v>7250</v>
      </c>
      <c r="F405" s="83">
        <f>+'Tổng,SUMMARY'!$Q$113</f>
        <v>7250</v>
      </c>
    </row>
    <row r="406" spans="2:7">
      <c r="B406" s="438" t="s">
        <v>185</v>
      </c>
      <c r="C406" s="438" t="s">
        <v>186</v>
      </c>
    </row>
    <row r="407" spans="2:7">
      <c r="B407" s="438"/>
      <c r="C407" s="438"/>
      <c r="D407" s="80" t="s">
        <v>1068</v>
      </c>
      <c r="E407" s="81">
        <v>50</v>
      </c>
    </row>
    <row r="408" spans="2:7">
      <c r="B408" s="438"/>
      <c r="C408" s="438"/>
      <c r="D408" s="80"/>
      <c r="E408" s="81"/>
    </row>
    <row r="409" spans="2:7">
      <c r="B409" s="438"/>
      <c r="C409" s="438"/>
      <c r="D409" s="80" t="s">
        <v>1120</v>
      </c>
      <c r="E409" s="81">
        <v>1150</v>
      </c>
    </row>
    <row r="410" spans="2:7">
      <c r="B410" s="438"/>
      <c r="C410" s="438"/>
      <c r="D410" s="80" t="s">
        <v>1121</v>
      </c>
      <c r="E410" s="81">
        <v>1200</v>
      </c>
    </row>
    <row r="411" spans="2:7">
      <c r="B411" s="438"/>
      <c r="C411" s="438"/>
      <c r="D411" s="80" t="s">
        <v>1122</v>
      </c>
      <c r="E411" s="81">
        <v>200</v>
      </c>
    </row>
    <row r="412" spans="2:7">
      <c r="B412" s="438"/>
      <c r="C412" s="438"/>
      <c r="D412" s="80" t="s">
        <v>1170</v>
      </c>
      <c r="E412" s="81">
        <v>700</v>
      </c>
      <c r="F412" s="76" t="s">
        <v>1171</v>
      </c>
    </row>
    <row r="413" spans="2:7">
      <c r="B413" s="438"/>
      <c r="C413" s="438"/>
      <c r="D413" s="80"/>
      <c r="E413" s="81"/>
    </row>
    <row r="414" spans="2:7">
      <c r="B414" s="438"/>
      <c r="C414" s="438"/>
      <c r="D414" s="80"/>
      <c r="E414" s="81"/>
    </row>
    <row r="415" spans="2:7">
      <c r="B415" s="438"/>
      <c r="C415" s="438"/>
      <c r="D415" s="80"/>
      <c r="E415" s="81"/>
    </row>
    <row r="416" spans="2:7" ht="15.75">
      <c r="B416" s="435" t="s">
        <v>655</v>
      </c>
      <c r="C416" s="436"/>
      <c r="D416" s="437"/>
      <c r="E416" s="82">
        <f>SUM(E406:E415)</f>
        <v>3300</v>
      </c>
      <c r="F416" s="83">
        <f>+'Tổng,SUMMARY'!$Q$112</f>
        <v>3300</v>
      </c>
      <c r="G416" s="88">
        <f>+F416-E416</f>
        <v>0</v>
      </c>
    </row>
    <row r="417" spans="2:6">
      <c r="B417" s="431" t="s">
        <v>206</v>
      </c>
      <c r="C417" s="431" t="s">
        <v>186</v>
      </c>
      <c r="D417" s="80"/>
      <c r="E417" s="81"/>
    </row>
    <row r="418" spans="2:6">
      <c r="B418" s="432"/>
      <c r="C418" s="432"/>
      <c r="D418" s="80" t="s">
        <v>697</v>
      </c>
      <c r="E418" s="81">
        <v>200</v>
      </c>
    </row>
    <row r="419" spans="2:6">
      <c r="B419" s="432"/>
      <c r="C419" s="432"/>
      <c r="D419" s="80" t="s">
        <v>698</v>
      </c>
      <c r="E419" s="81">
        <v>100</v>
      </c>
    </row>
    <row r="420" spans="2:6">
      <c r="B420" s="432"/>
      <c r="C420" s="432"/>
      <c r="D420" s="80" t="s">
        <v>699</v>
      </c>
      <c r="E420" s="81">
        <v>400</v>
      </c>
    </row>
    <row r="421" spans="2:6">
      <c r="B421" s="432"/>
      <c r="C421" s="432"/>
      <c r="D421" s="80" t="s">
        <v>700</v>
      </c>
      <c r="E421" s="81">
        <v>650</v>
      </c>
    </row>
    <row r="422" spans="2:6">
      <c r="B422" s="432"/>
      <c r="C422" s="432"/>
      <c r="D422" s="80" t="s">
        <v>701</v>
      </c>
      <c r="E422" s="81">
        <v>950</v>
      </c>
    </row>
    <row r="423" spans="2:6">
      <c r="B423" s="432"/>
      <c r="C423" s="432"/>
      <c r="D423" s="80" t="s">
        <v>1465</v>
      </c>
      <c r="E423" s="81">
        <v>1200</v>
      </c>
    </row>
    <row r="424" spans="2:6">
      <c r="B424" s="432"/>
      <c r="C424" s="432"/>
      <c r="D424" s="80" t="s">
        <v>1479</v>
      </c>
      <c r="E424" s="81">
        <v>1200</v>
      </c>
    </row>
    <row r="425" spans="2:6">
      <c r="B425" s="432"/>
      <c r="C425" s="432"/>
      <c r="D425" s="80"/>
      <c r="E425" s="81"/>
    </row>
    <row r="426" spans="2:6">
      <c r="B426" s="432"/>
      <c r="C426" s="432"/>
      <c r="D426" s="80"/>
      <c r="E426" s="81"/>
    </row>
    <row r="427" spans="2:6">
      <c r="B427" s="433"/>
      <c r="C427" s="433"/>
      <c r="D427" s="80"/>
      <c r="E427" s="81"/>
    </row>
    <row r="428" spans="2:6" ht="15.75">
      <c r="B428" s="435" t="s">
        <v>655</v>
      </c>
      <c r="C428" s="436"/>
      <c r="D428" s="437"/>
      <c r="E428" s="82">
        <f>SUM(E417:E427)</f>
        <v>4700</v>
      </c>
      <c r="F428" s="83">
        <f>+'Tổng,SUMMARY'!$Q$114</f>
        <v>4700</v>
      </c>
    </row>
    <row r="429" spans="2:6">
      <c r="B429" s="431" t="s">
        <v>247</v>
      </c>
      <c r="C429" s="431" t="s">
        <v>248</v>
      </c>
      <c r="D429" s="80" t="s">
        <v>678</v>
      </c>
      <c r="E429" s="81">
        <f>4450-3600</f>
        <v>850</v>
      </c>
    </row>
    <row r="430" spans="2:6">
      <c r="B430" s="432"/>
      <c r="C430" s="432"/>
      <c r="D430" s="80" t="s">
        <v>702</v>
      </c>
      <c r="E430" s="81">
        <v>1200</v>
      </c>
    </row>
    <row r="431" spans="2:6">
      <c r="B431" s="432"/>
      <c r="C431" s="432"/>
      <c r="D431" s="80" t="s">
        <v>703</v>
      </c>
      <c r="E431" s="81">
        <v>1200</v>
      </c>
    </row>
    <row r="432" spans="2:6">
      <c r="B432" s="432"/>
      <c r="C432" s="432"/>
      <c r="D432" s="80" t="s">
        <v>704</v>
      </c>
      <c r="E432" s="81">
        <v>150</v>
      </c>
    </row>
    <row r="433" spans="2:6">
      <c r="B433" s="432"/>
      <c r="C433" s="432"/>
      <c r="D433" s="80"/>
      <c r="E433" s="81"/>
    </row>
    <row r="434" spans="2:6">
      <c r="B434" s="432"/>
      <c r="C434" s="432"/>
      <c r="D434" s="80"/>
      <c r="E434" s="81"/>
    </row>
    <row r="435" spans="2:6">
      <c r="B435" s="433"/>
      <c r="C435" s="433"/>
      <c r="D435" s="80"/>
      <c r="E435" s="81"/>
    </row>
    <row r="436" spans="2:6" ht="15.75">
      <c r="B436" s="435" t="s">
        <v>655</v>
      </c>
      <c r="C436" s="436"/>
      <c r="D436" s="437"/>
      <c r="E436" s="82">
        <f>SUM(E429:E435)</f>
        <v>3400</v>
      </c>
      <c r="F436" s="83" t="e">
        <f>+VLOOKUP(B431,'Tổng,SUMMARY'!C:Q,15,0)</f>
        <v>#N/A</v>
      </c>
    </row>
    <row r="437" spans="2:6">
      <c r="B437" s="431" t="s">
        <v>114</v>
      </c>
      <c r="C437" s="431" t="s">
        <v>115</v>
      </c>
      <c r="D437" s="80" t="s">
        <v>705</v>
      </c>
      <c r="E437" s="81">
        <v>100</v>
      </c>
    </row>
    <row r="438" spans="2:6">
      <c r="B438" s="432"/>
      <c r="C438" s="432"/>
      <c r="D438" s="80" t="s">
        <v>706</v>
      </c>
      <c r="E438" s="81">
        <v>300</v>
      </c>
    </row>
    <row r="439" spans="2:6">
      <c r="B439" s="432"/>
      <c r="C439" s="432"/>
      <c r="D439" s="80"/>
      <c r="E439" s="81"/>
    </row>
    <row r="440" spans="2:6">
      <c r="B440" s="432"/>
      <c r="C440" s="432"/>
      <c r="D440" s="80"/>
      <c r="E440" s="81"/>
    </row>
    <row r="441" spans="2:6">
      <c r="B441" s="432"/>
      <c r="C441" s="432"/>
      <c r="D441" s="80"/>
      <c r="E441" s="81"/>
    </row>
    <row r="442" spans="2:6">
      <c r="B442" s="432"/>
      <c r="C442" s="432"/>
      <c r="D442" s="80"/>
      <c r="E442" s="81"/>
    </row>
    <row r="443" spans="2:6">
      <c r="B443" s="432"/>
      <c r="C443" s="432"/>
      <c r="D443" s="80"/>
      <c r="E443" s="81"/>
    </row>
    <row r="444" spans="2:6">
      <c r="B444" s="432"/>
      <c r="C444" s="432"/>
      <c r="D444" s="80"/>
      <c r="E444" s="81"/>
    </row>
    <row r="445" spans="2:6">
      <c r="B445" s="432"/>
      <c r="C445" s="432"/>
      <c r="D445" s="80"/>
      <c r="E445" s="81"/>
    </row>
    <row r="446" spans="2:6">
      <c r="B446" s="433"/>
      <c r="C446" s="433"/>
      <c r="D446" s="80"/>
      <c r="E446" s="81"/>
    </row>
    <row r="447" spans="2:6" ht="15.75">
      <c r="B447" s="435" t="s">
        <v>655</v>
      </c>
      <c r="C447" s="436"/>
      <c r="D447" s="437"/>
      <c r="E447" s="82">
        <f>SUM(E437:E446)</f>
        <v>400</v>
      </c>
      <c r="F447" s="83" t="e">
        <f>+VLOOKUP(B442,'Tổng,SUMMARY'!C:Q,15,0)</f>
        <v>#N/A</v>
      </c>
    </row>
    <row r="448" spans="2:6">
      <c r="B448" s="431" t="s">
        <v>165</v>
      </c>
      <c r="C448" s="431" t="s">
        <v>166</v>
      </c>
      <c r="D448" s="80" t="s">
        <v>707</v>
      </c>
      <c r="E448" s="81">
        <v>500</v>
      </c>
    </row>
    <row r="449" spans="2:6">
      <c r="B449" s="432"/>
      <c r="C449" s="432"/>
      <c r="D449" s="80" t="s">
        <v>708</v>
      </c>
      <c r="E449" s="81">
        <v>1200</v>
      </c>
    </row>
    <row r="450" spans="2:6">
      <c r="B450" s="432"/>
      <c r="C450" s="432"/>
      <c r="D450" s="80" t="s">
        <v>709</v>
      </c>
      <c r="E450" s="81">
        <v>1200</v>
      </c>
    </row>
    <row r="451" spans="2:6">
      <c r="B451" s="432"/>
      <c r="C451" s="432"/>
      <c r="D451" s="80" t="s">
        <v>710</v>
      </c>
      <c r="E451" s="81">
        <v>1200</v>
      </c>
    </row>
    <row r="452" spans="2:6">
      <c r="B452" s="432"/>
      <c r="C452" s="432"/>
      <c r="D452" s="80" t="s">
        <v>711</v>
      </c>
      <c r="E452" s="81">
        <v>1200</v>
      </c>
    </row>
    <row r="453" spans="2:6">
      <c r="B453" s="432"/>
      <c r="C453" s="432"/>
      <c r="D453" s="80" t="s">
        <v>712</v>
      </c>
      <c r="E453" s="81">
        <v>1200</v>
      </c>
    </row>
    <row r="454" spans="2:6">
      <c r="B454" s="432"/>
      <c r="C454" s="432"/>
      <c r="D454" s="80" t="s">
        <v>713</v>
      </c>
      <c r="E454" s="81">
        <v>1200</v>
      </c>
    </row>
    <row r="455" spans="2:6">
      <c r="B455" s="432"/>
      <c r="C455" s="432"/>
      <c r="D455" s="80" t="s">
        <v>714</v>
      </c>
      <c r="E455" s="81">
        <v>1200</v>
      </c>
    </row>
    <row r="456" spans="2:6">
      <c r="B456" s="432"/>
      <c r="C456" s="432"/>
      <c r="D456" s="80" t="s">
        <v>715</v>
      </c>
      <c r="E456" s="81">
        <v>1200</v>
      </c>
    </row>
    <row r="457" spans="2:6">
      <c r="B457" s="432"/>
      <c r="C457" s="432"/>
      <c r="D457" s="80" t="s">
        <v>716</v>
      </c>
      <c r="E457" s="81">
        <v>100</v>
      </c>
    </row>
    <row r="458" spans="2:6">
      <c r="B458" s="432"/>
      <c r="C458" s="432"/>
      <c r="D458" s="80"/>
      <c r="E458" s="81"/>
    </row>
    <row r="459" spans="2:6">
      <c r="B459" s="432"/>
      <c r="C459" s="432"/>
      <c r="D459" s="80"/>
      <c r="E459" s="81"/>
    </row>
    <row r="460" spans="2:6">
      <c r="B460" s="433"/>
      <c r="C460" s="433"/>
      <c r="D460" s="80"/>
      <c r="E460" s="81"/>
    </row>
    <row r="461" spans="2:6" ht="15.75">
      <c r="B461" s="435" t="s">
        <v>655</v>
      </c>
      <c r="C461" s="436"/>
      <c r="D461" s="437"/>
      <c r="E461" s="82">
        <f>SUM(E448:E460)</f>
        <v>10200</v>
      </c>
      <c r="F461" s="83" t="e">
        <f>+VLOOKUP(B456,'Tổng,SUMMARY'!C:Q,15,0)</f>
        <v>#N/A</v>
      </c>
    </row>
    <row r="462" spans="2:6">
      <c r="B462" s="431" t="s">
        <v>473</v>
      </c>
      <c r="C462" s="431" t="s">
        <v>474</v>
      </c>
      <c r="D462" s="80" t="s">
        <v>717</v>
      </c>
      <c r="E462" s="81">
        <v>100</v>
      </c>
    </row>
    <row r="463" spans="2:6">
      <c r="B463" s="432"/>
      <c r="C463" s="432"/>
      <c r="D463" s="80" t="s">
        <v>1083</v>
      </c>
      <c r="E463" s="81">
        <v>100</v>
      </c>
    </row>
    <row r="464" spans="2:6">
      <c r="B464" s="432"/>
      <c r="C464" s="432"/>
      <c r="D464" s="80" t="s">
        <v>1084</v>
      </c>
      <c r="E464" s="81">
        <v>400</v>
      </c>
    </row>
    <row r="465" spans="2:7">
      <c r="B465" s="432"/>
      <c r="C465" s="432"/>
      <c r="D465" s="80"/>
      <c r="E465" s="81"/>
    </row>
    <row r="466" spans="2:7">
      <c r="B466" s="432"/>
      <c r="C466" s="432"/>
      <c r="D466" s="80"/>
      <c r="E466" s="81"/>
    </row>
    <row r="467" spans="2:7">
      <c r="B467" s="432"/>
      <c r="C467" s="432"/>
      <c r="D467" s="80"/>
      <c r="E467" s="81"/>
    </row>
    <row r="468" spans="2:7">
      <c r="B468" s="432"/>
      <c r="C468" s="432"/>
      <c r="D468" s="80"/>
      <c r="E468" s="81"/>
    </row>
    <row r="469" spans="2:7">
      <c r="B469" s="432"/>
      <c r="C469" s="432"/>
      <c r="D469" s="80"/>
      <c r="E469" s="81"/>
    </row>
    <row r="470" spans="2:7">
      <c r="B470" s="432"/>
      <c r="C470" s="432"/>
      <c r="D470" s="80"/>
      <c r="E470" s="81"/>
      <c r="G470" s="8" t="s">
        <v>1270</v>
      </c>
    </row>
    <row r="471" spans="2:7">
      <c r="B471" s="433"/>
      <c r="C471" s="433"/>
      <c r="D471" s="80"/>
      <c r="E471" s="81"/>
    </row>
    <row r="472" spans="2:7" ht="15.75">
      <c r="B472" s="435" t="s">
        <v>655</v>
      </c>
      <c r="C472" s="436"/>
      <c r="D472" s="437"/>
      <c r="E472" s="82">
        <f>SUM(E462:E471)</f>
        <v>600</v>
      </c>
      <c r="F472" s="83">
        <f>+'Tổng,SUMMARY'!$Q$183</f>
        <v>600</v>
      </c>
    </row>
    <row r="473" spans="2:7">
      <c r="B473" s="431" t="s">
        <v>471</v>
      </c>
      <c r="C473" s="431" t="s">
        <v>472</v>
      </c>
      <c r="D473" s="80" t="s">
        <v>718</v>
      </c>
      <c r="E473" s="81">
        <v>1000</v>
      </c>
    </row>
    <row r="474" spans="2:7">
      <c r="B474" s="432"/>
      <c r="C474" s="432"/>
      <c r="D474" s="80" t="s">
        <v>719</v>
      </c>
      <c r="E474" s="81">
        <v>550</v>
      </c>
    </row>
    <row r="475" spans="2:7">
      <c r="B475" s="432"/>
      <c r="C475" s="432"/>
      <c r="D475" s="80" t="s">
        <v>720</v>
      </c>
      <c r="E475" s="81">
        <v>1000</v>
      </c>
    </row>
    <row r="476" spans="2:7">
      <c r="B476" s="432"/>
      <c r="C476" s="432"/>
      <c r="D476" s="80"/>
      <c r="E476" s="81"/>
    </row>
    <row r="477" spans="2:7">
      <c r="B477" s="432"/>
      <c r="C477" s="432"/>
      <c r="D477" s="80"/>
      <c r="E477" s="81"/>
    </row>
    <row r="478" spans="2:7">
      <c r="B478" s="432"/>
      <c r="C478" s="432"/>
      <c r="D478" s="80"/>
      <c r="E478" s="81"/>
    </row>
    <row r="479" spans="2:7">
      <c r="B479" s="432"/>
      <c r="C479" s="432"/>
      <c r="D479" s="80"/>
      <c r="E479" s="81"/>
    </row>
    <row r="480" spans="2:7">
      <c r="B480" s="432"/>
      <c r="C480" s="432"/>
      <c r="D480" s="80"/>
      <c r="E480" s="81"/>
    </row>
    <row r="481" spans="2:6">
      <c r="B481" s="433"/>
      <c r="C481" s="433"/>
      <c r="D481" s="80"/>
      <c r="E481" s="81"/>
    </row>
    <row r="482" spans="2:6" ht="15.75">
      <c r="B482" s="435" t="s">
        <v>655</v>
      </c>
      <c r="C482" s="436"/>
      <c r="D482" s="437"/>
      <c r="E482" s="82">
        <f>SUM(E473:E481)</f>
        <v>2550</v>
      </c>
      <c r="F482" s="83" t="e">
        <f>+VLOOKUP(B477,'Tổng,SUMMARY'!C:Q,15,0)</f>
        <v>#N/A</v>
      </c>
    </row>
    <row r="483" spans="2:6">
      <c r="B483" s="431" t="s">
        <v>209</v>
      </c>
      <c r="C483" s="431" t="s">
        <v>210</v>
      </c>
      <c r="D483" s="80"/>
      <c r="E483" s="81"/>
      <c r="F483" s="8"/>
    </row>
    <row r="484" spans="2:6">
      <c r="B484" s="432"/>
      <c r="C484" s="432"/>
      <c r="D484" s="80"/>
      <c r="E484" s="81"/>
      <c r="F484" s="8"/>
    </row>
    <row r="485" spans="2:6">
      <c r="B485" s="432"/>
      <c r="C485" s="432"/>
      <c r="D485" s="80" t="s">
        <v>935</v>
      </c>
      <c r="E485" s="81">
        <v>1200</v>
      </c>
      <c r="F485" s="8"/>
    </row>
    <row r="486" spans="2:6">
      <c r="B486" s="432"/>
      <c r="C486" s="432"/>
      <c r="D486" s="80" t="s">
        <v>1114</v>
      </c>
      <c r="E486" s="81">
        <v>1200</v>
      </c>
      <c r="F486" s="8"/>
    </row>
    <row r="487" spans="2:6">
      <c r="B487" s="432"/>
      <c r="C487" s="432"/>
      <c r="D487" s="80" t="s">
        <v>1146</v>
      </c>
      <c r="E487" s="81">
        <v>550</v>
      </c>
      <c r="F487" s="8"/>
    </row>
    <row r="488" spans="2:6">
      <c r="B488" s="432"/>
      <c r="C488" s="432"/>
      <c r="D488" s="80" t="s">
        <v>1227</v>
      </c>
      <c r="E488" s="81">
        <v>1200</v>
      </c>
      <c r="F488" s="8"/>
    </row>
    <row r="489" spans="2:6">
      <c r="B489" s="432"/>
      <c r="C489" s="432"/>
      <c r="D489" s="80" t="s">
        <v>1228</v>
      </c>
      <c r="E489" s="81">
        <v>1200</v>
      </c>
      <c r="F489" s="8"/>
    </row>
    <row r="490" spans="2:6">
      <c r="B490" s="432"/>
      <c r="C490" s="432"/>
      <c r="D490" s="80" t="s">
        <v>1229</v>
      </c>
      <c r="E490" s="81">
        <v>1200</v>
      </c>
      <c r="F490" s="8"/>
    </row>
    <row r="491" spans="2:6">
      <c r="B491" s="432"/>
      <c r="C491" s="432"/>
      <c r="D491" s="80" t="s">
        <v>1230</v>
      </c>
      <c r="E491" s="81">
        <v>1200</v>
      </c>
      <c r="F491" s="8"/>
    </row>
    <row r="492" spans="2:6">
      <c r="B492" s="432"/>
      <c r="C492" s="432"/>
      <c r="D492" s="80" t="s">
        <v>1332</v>
      </c>
      <c r="E492" s="81">
        <v>1200</v>
      </c>
      <c r="F492" s="8"/>
    </row>
    <row r="493" spans="2:6">
      <c r="B493" s="432"/>
      <c r="C493" s="432"/>
      <c r="D493" s="80" t="s">
        <v>1333</v>
      </c>
      <c r="E493" s="81">
        <v>1200</v>
      </c>
      <c r="F493" s="8"/>
    </row>
    <row r="494" spans="2:6">
      <c r="B494" s="432"/>
      <c r="C494" s="432"/>
      <c r="D494" s="80" t="s">
        <v>1336</v>
      </c>
      <c r="E494" s="81">
        <v>1200</v>
      </c>
      <c r="F494" s="8"/>
    </row>
    <row r="495" spans="2:6">
      <c r="B495" s="432"/>
      <c r="C495" s="432"/>
      <c r="D495" s="80" t="s">
        <v>1337</v>
      </c>
      <c r="E495" s="81">
        <v>1200</v>
      </c>
      <c r="F495" s="8"/>
    </row>
    <row r="496" spans="2:6">
      <c r="B496" s="432"/>
      <c r="C496" s="432"/>
      <c r="D496" s="80" t="s">
        <v>1435</v>
      </c>
      <c r="E496" s="81">
        <v>1200</v>
      </c>
      <c r="F496" s="8"/>
    </row>
    <row r="497" spans="2:7">
      <c r="B497" s="432"/>
      <c r="C497" s="432"/>
      <c r="D497" s="80" t="s">
        <v>1436</v>
      </c>
      <c r="E497" s="81">
        <v>1200</v>
      </c>
      <c r="F497" s="8"/>
    </row>
    <row r="498" spans="2:7">
      <c r="B498" s="432"/>
      <c r="C498" s="432"/>
      <c r="D498" s="80" t="s">
        <v>1446</v>
      </c>
      <c r="E498" s="81">
        <v>1200</v>
      </c>
      <c r="F498" s="8"/>
    </row>
    <row r="499" spans="2:7">
      <c r="B499" s="432"/>
      <c r="C499" s="432"/>
      <c r="D499" s="80" t="s">
        <v>1447</v>
      </c>
      <c r="E499" s="81">
        <v>1200</v>
      </c>
      <c r="F499" s="8"/>
    </row>
    <row r="500" spans="2:7">
      <c r="B500" s="432"/>
      <c r="C500" s="432"/>
      <c r="D500" s="80" t="s">
        <v>1499</v>
      </c>
      <c r="E500" s="81">
        <v>1200</v>
      </c>
      <c r="F500" s="8"/>
    </row>
    <row r="501" spans="2:7">
      <c r="B501" s="432"/>
      <c r="C501" s="432"/>
      <c r="D501" s="80" t="s">
        <v>1500</v>
      </c>
      <c r="E501" s="81">
        <v>1200</v>
      </c>
      <c r="F501" s="8"/>
    </row>
    <row r="502" spans="2:7">
      <c r="B502" s="432"/>
      <c r="C502" s="432"/>
      <c r="D502" s="80"/>
      <c r="E502" s="81"/>
      <c r="F502" s="8"/>
    </row>
    <row r="503" spans="2:7">
      <c r="B503" s="433"/>
      <c r="C503" s="433"/>
      <c r="D503" s="80"/>
      <c r="E503" s="81"/>
      <c r="F503" s="8"/>
    </row>
    <row r="504" spans="2:7" ht="15.75">
      <c r="B504" s="435" t="s">
        <v>655</v>
      </c>
      <c r="C504" s="436"/>
      <c r="D504" s="437"/>
      <c r="E504" s="82">
        <f>SUM(E483:E503)</f>
        <v>19750</v>
      </c>
      <c r="F504" s="83">
        <f>+'Tổng,SUMMARY'!$Q$126</f>
        <v>19750</v>
      </c>
      <c r="G504" s="88">
        <f>+F504-E504</f>
        <v>0</v>
      </c>
    </row>
    <row r="505" spans="2:7">
      <c r="B505" s="438" t="s">
        <v>479</v>
      </c>
      <c r="C505" s="438" t="s">
        <v>480</v>
      </c>
      <c r="D505" s="80" t="s">
        <v>678</v>
      </c>
      <c r="E505" s="81">
        <v>100</v>
      </c>
    </row>
    <row r="506" spans="2:7">
      <c r="B506" s="438"/>
      <c r="C506" s="438"/>
      <c r="D506" s="80" t="s">
        <v>721</v>
      </c>
      <c r="E506" s="81">
        <v>200</v>
      </c>
    </row>
    <row r="507" spans="2:7">
      <c r="B507" s="438"/>
      <c r="C507" s="438"/>
      <c r="D507" s="80"/>
      <c r="E507" s="81"/>
    </row>
    <row r="508" spans="2:7" ht="15.75">
      <c r="B508" s="435" t="s">
        <v>655</v>
      </c>
      <c r="C508" s="436"/>
      <c r="D508" s="437"/>
      <c r="E508" s="82">
        <f>SUM(E505:E507)</f>
        <v>300</v>
      </c>
      <c r="F508" s="83" t="e">
        <f>+VLOOKUP(B503,'Tổng,SUMMARY'!C:Q,15,0)</f>
        <v>#N/A</v>
      </c>
    </row>
    <row r="509" spans="2:7">
      <c r="B509" s="438" t="s">
        <v>253</v>
      </c>
      <c r="C509" s="438" t="s">
        <v>254</v>
      </c>
      <c r="D509" s="80" t="s">
        <v>722</v>
      </c>
      <c r="E509" s="81">
        <v>200</v>
      </c>
    </row>
    <row r="510" spans="2:7">
      <c r="B510" s="438"/>
      <c r="C510" s="438"/>
      <c r="D510" s="80" t="s">
        <v>856</v>
      </c>
      <c r="E510" s="81">
        <v>1000</v>
      </c>
    </row>
    <row r="511" spans="2:7">
      <c r="B511" s="438"/>
      <c r="C511" s="438"/>
      <c r="D511" s="80" t="s">
        <v>857</v>
      </c>
      <c r="E511" s="81">
        <v>200</v>
      </c>
    </row>
    <row r="512" spans="2:7">
      <c r="B512" s="438"/>
      <c r="C512" s="438"/>
      <c r="D512" s="80" t="s">
        <v>836</v>
      </c>
      <c r="E512" s="81">
        <v>1100</v>
      </c>
    </row>
    <row r="513" spans="2:6">
      <c r="B513" s="438"/>
      <c r="C513" s="438"/>
      <c r="D513" s="80"/>
      <c r="E513" s="81"/>
    </row>
    <row r="514" spans="2:6">
      <c r="B514" s="438"/>
      <c r="C514" s="438"/>
      <c r="D514" s="80"/>
      <c r="E514" s="81"/>
    </row>
    <row r="515" spans="2:6">
      <c r="B515" s="438"/>
      <c r="C515" s="438"/>
      <c r="D515" s="80"/>
      <c r="E515" s="81"/>
    </row>
    <row r="516" spans="2:6" ht="15.75">
      <c r="B516" s="435" t="s">
        <v>655</v>
      </c>
      <c r="C516" s="436"/>
      <c r="D516" s="437"/>
      <c r="E516" s="82">
        <f>SUM(E509:E515)</f>
        <v>2500</v>
      </c>
      <c r="F516" s="83">
        <f>+'Tổng,SUMMARY'!$Q$45</f>
        <v>500</v>
      </c>
    </row>
    <row r="517" spans="2:6">
      <c r="B517" s="438" t="s">
        <v>346</v>
      </c>
      <c r="C517" s="438" t="s">
        <v>347</v>
      </c>
      <c r="D517" s="80"/>
      <c r="E517" s="81">
        <v>1200</v>
      </c>
    </row>
    <row r="518" spans="2:6">
      <c r="B518" s="438"/>
      <c r="C518" s="438"/>
      <c r="D518" s="80"/>
      <c r="E518" s="81"/>
    </row>
    <row r="519" spans="2:6">
      <c r="B519" s="438"/>
      <c r="C519" s="438"/>
      <c r="D519" s="80" t="s">
        <v>1074</v>
      </c>
      <c r="E519" s="81">
        <v>300</v>
      </c>
    </row>
    <row r="520" spans="2:6">
      <c r="B520" s="438"/>
      <c r="C520" s="438"/>
      <c r="D520" s="80" t="s">
        <v>1075</v>
      </c>
      <c r="E520" s="81">
        <v>1200</v>
      </c>
    </row>
    <row r="521" spans="2:6">
      <c r="B521" s="438"/>
      <c r="C521" s="438"/>
      <c r="D521" s="80" t="s">
        <v>1076</v>
      </c>
      <c r="E521" s="81">
        <v>1200</v>
      </c>
    </row>
    <row r="522" spans="2:6">
      <c r="B522" s="438"/>
      <c r="C522" s="438"/>
      <c r="D522" s="80"/>
      <c r="E522" s="81"/>
    </row>
    <row r="523" spans="2:6">
      <c r="B523" s="438"/>
      <c r="C523" s="438"/>
      <c r="D523" s="80" t="s">
        <v>1119</v>
      </c>
      <c r="E523" s="81">
        <v>50</v>
      </c>
    </row>
    <row r="524" spans="2:6">
      <c r="B524" s="438"/>
      <c r="C524" s="438"/>
      <c r="D524" s="80" t="s">
        <v>1157</v>
      </c>
      <c r="E524" s="81">
        <v>1200</v>
      </c>
    </row>
    <row r="525" spans="2:6">
      <c r="B525" s="438"/>
      <c r="C525" s="438"/>
      <c r="D525" s="80" t="s">
        <v>1217</v>
      </c>
      <c r="E525" s="81">
        <v>1200</v>
      </c>
    </row>
    <row r="526" spans="2:6">
      <c r="B526" s="438"/>
      <c r="C526" s="438"/>
      <c r="D526" s="80"/>
      <c r="E526" s="81"/>
    </row>
    <row r="527" spans="2:6">
      <c r="B527" s="438"/>
      <c r="C527" s="438"/>
      <c r="D527" s="80" t="s">
        <v>1074</v>
      </c>
      <c r="E527" s="81">
        <v>650</v>
      </c>
    </row>
    <row r="528" spans="2:6">
      <c r="B528" s="438"/>
      <c r="C528" s="438"/>
      <c r="D528" s="80"/>
      <c r="E528" s="81"/>
    </row>
    <row r="529" spans="2:7">
      <c r="B529" s="438"/>
      <c r="C529" s="438"/>
      <c r="D529" s="80"/>
      <c r="E529" s="81"/>
    </row>
    <row r="530" spans="2:7">
      <c r="B530" s="438"/>
      <c r="C530" s="438"/>
      <c r="D530" s="80"/>
      <c r="E530" s="81"/>
    </row>
    <row r="531" spans="2:7">
      <c r="B531" s="438"/>
      <c r="C531" s="438"/>
      <c r="D531" s="80"/>
      <c r="E531" s="81"/>
    </row>
    <row r="532" spans="2:7">
      <c r="B532" s="438"/>
      <c r="C532" s="438"/>
      <c r="D532" s="80"/>
      <c r="E532" s="81"/>
    </row>
    <row r="533" spans="2:7" ht="15.75">
      <c r="B533" s="435" t="s">
        <v>655</v>
      </c>
      <c r="C533" s="436"/>
      <c r="D533" s="437"/>
      <c r="E533" s="82">
        <f>SUM(E517:E532)</f>
        <v>7000</v>
      </c>
      <c r="F533" s="83">
        <f>+'Tổng,SUMMARY'!$Q$173</f>
        <v>7000</v>
      </c>
      <c r="G533" s="88">
        <f>+F533-E533</f>
        <v>0</v>
      </c>
    </row>
    <row r="534" spans="2:7">
      <c r="B534" s="431" t="s">
        <v>305</v>
      </c>
      <c r="C534" s="431" t="s">
        <v>306</v>
      </c>
      <c r="D534" s="80"/>
      <c r="E534" s="81"/>
    </row>
    <row r="535" spans="2:7">
      <c r="B535" s="432"/>
      <c r="C535" s="432"/>
      <c r="D535" s="80" t="s">
        <v>1291</v>
      </c>
      <c r="E535" s="81">
        <v>600</v>
      </c>
    </row>
    <row r="536" spans="2:7">
      <c r="B536" s="432"/>
      <c r="C536" s="432"/>
      <c r="D536" s="80" t="s">
        <v>1304</v>
      </c>
      <c r="E536" s="81">
        <v>1200</v>
      </c>
    </row>
    <row r="537" spans="2:7">
      <c r="B537" s="432"/>
      <c r="C537" s="432"/>
      <c r="D537" s="80"/>
      <c r="E537" s="81"/>
    </row>
    <row r="538" spans="2:7">
      <c r="B538" s="432"/>
      <c r="C538" s="432"/>
      <c r="D538" s="80"/>
      <c r="E538" s="81"/>
    </row>
    <row r="539" spans="2:7">
      <c r="B539" s="432"/>
      <c r="C539" s="432"/>
      <c r="D539" s="80"/>
      <c r="E539" s="81"/>
    </row>
    <row r="540" spans="2:7">
      <c r="B540" s="432"/>
      <c r="C540" s="432"/>
      <c r="D540" s="80"/>
      <c r="E540" s="81"/>
    </row>
    <row r="541" spans="2:7">
      <c r="B541" s="433"/>
      <c r="C541" s="433"/>
      <c r="D541" s="80"/>
      <c r="E541" s="81"/>
    </row>
    <row r="542" spans="2:7" ht="15.75">
      <c r="B542" s="435" t="s">
        <v>655</v>
      </c>
      <c r="C542" s="436"/>
      <c r="D542" s="437"/>
      <c r="E542" s="82">
        <f>SUM(E534:E541)</f>
        <v>1800</v>
      </c>
      <c r="F542" s="83">
        <f>+'Tổng,SUMMARY'!$Q$226</f>
        <v>1800</v>
      </c>
      <c r="G542" s="88"/>
    </row>
    <row r="543" spans="2:7">
      <c r="B543" s="431" t="s">
        <v>460</v>
      </c>
      <c r="C543" s="431" t="s">
        <v>461</v>
      </c>
      <c r="D543" s="80" t="s">
        <v>707</v>
      </c>
      <c r="E543" s="81">
        <v>10500</v>
      </c>
    </row>
    <row r="544" spans="2:7">
      <c r="B544" s="432"/>
      <c r="C544" s="432"/>
      <c r="D544" s="80" t="s">
        <v>723</v>
      </c>
      <c r="E544" s="81">
        <v>1200</v>
      </c>
    </row>
    <row r="545" spans="2:6">
      <c r="B545" s="432"/>
      <c r="C545" s="432"/>
      <c r="D545" s="80" t="s">
        <v>724</v>
      </c>
      <c r="E545" s="81">
        <v>300</v>
      </c>
    </row>
    <row r="546" spans="2:6">
      <c r="B546" s="432"/>
      <c r="C546" s="432"/>
      <c r="D546" s="80"/>
      <c r="E546" s="81"/>
    </row>
    <row r="547" spans="2:6">
      <c r="B547" s="432"/>
      <c r="C547" s="432"/>
      <c r="D547" s="80"/>
      <c r="E547" s="81"/>
    </row>
    <row r="548" spans="2:6">
      <c r="B548" s="432"/>
      <c r="C548" s="432"/>
      <c r="D548" s="80"/>
      <c r="E548" s="81"/>
    </row>
    <row r="549" spans="2:6">
      <c r="B549" s="432"/>
      <c r="C549" s="432"/>
      <c r="D549" s="80"/>
      <c r="E549" s="81"/>
    </row>
    <row r="550" spans="2:6">
      <c r="B550" s="432"/>
      <c r="C550" s="432"/>
      <c r="D550" s="80"/>
      <c r="E550" s="81"/>
    </row>
    <row r="551" spans="2:6">
      <c r="B551" s="432"/>
      <c r="C551" s="432"/>
      <c r="D551" s="80"/>
      <c r="E551" s="81"/>
    </row>
    <row r="552" spans="2:6">
      <c r="B552" s="432"/>
      <c r="C552" s="432"/>
      <c r="D552" s="80"/>
      <c r="E552" s="81"/>
    </row>
    <row r="553" spans="2:6">
      <c r="B553" s="432"/>
      <c r="C553" s="432"/>
      <c r="D553" s="80"/>
      <c r="E553" s="81"/>
    </row>
    <row r="554" spans="2:6">
      <c r="B554" s="432"/>
      <c r="C554" s="432"/>
      <c r="D554" s="80"/>
      <c r="E554" s="81"/>
    </row>
    <row r="555" spans="2:6">
      <c r="B555" s="433"/>
      <c r="C555" s="433"/>
      <c r="D555" s="80"/>
      <c r="E555" s="81"/>
    </row>
    <row r="556" spans="2:6" ht="15.75">
      <c r="B556" s="435" t="s">
        <v>655</v>
      </c>
      <c r="C556" s="436"/>
      <c r="D556" s="437"/>
      <c r="E556" s="82">
        <f>SUM(E543:E555)</f>
        <v>12000</v>
      </c>
      <c r="F556" s="83">
        <f>+'Tổng,SUMMARY'!$Q$230</f>
        <v>12000</v>
      </c>
    </row>
    <row r="557" spans="2:6">
      <c r="B557" s="438" t="s">
        <v>264</v>
      </c>
      <c r="C557" s="438" t="s">
        <v>265</v>
      </c>
      <c r="D557" s="80"/>
      <c r="E557" s="81"/>
    </row>
    <row r="558" spans="2:6">
      <c r="B558" s="438"/>
      <c r="C558" s="438"/>
      <c r="D558" s="80" t="s">
        <v>791</v>
      </c>
      <c r="E558" s="81">
        <v>700</v>
      </c>
    </row>
    <row r="559" spans="2:6">
      <c r="B559" s="438"/>
      <c r="C559" s="438"/>
      <c r="D559" s="80" t="s">
        <v>811</v>
      </c>
      <c r="E559" s="81">
        <v>1200</v>
      </c>
    </row>
    <row r="560" spans="2:6">
      <c r="B560" s="438"/>
      <c r="C560" s="438"/>
      <c r="D560" s="80" t="s">
        <v>812</v>
      </c>
      <c r="E560" s="81">
        <v>500</v>
      </c>
    </row>
    <row r="561" spans="2:6">
      <c r="B561" s="438"/>
      <c r="C561" s="438"/>
      <c r="D561" s="80" t="s">
        <v>833</v>
      </c>
      <c r="E561" s="81">
        <v>1150</v>
      </c>
    </row>
    <row r="562" spans="2:6">
      <c r="B562" s="438"/>
      <c r="C562" s="438"/>
      <c r="D562" s="80" t="s">
        <v>866</v>
      </c>
      <c r="E562" s="81">
        <v>600</v>
      </c>
    </row>
    <row r="563" spans="2:6">
      <c r="B563" s="438"/>
      <c r="C563" s="438"/>
      <c r="D563" s="80" t="s">
        <v>867</v>
      </c>
      <c r="E563" s="81">
        <v>600</v>
      </c>
    </row>
    <row r="564" spans="2:6">
      <c r="B564" s="438"/>
      <c r="C564" s="438"/>
      <c r="D564" s="80" t="s">
        <v>878</v>
      </c>
      <c r="E564" s="81">
        <v>400</v>
      </c>
    </row>
    <row r="565" spans="2:6">
      <c r="B565" s="438"/>
      <c r="C565" s="438"/>
      <c r="D565" s="80" t="s">
        <v>881</v>
      </c>
      <c r="E565" s="81">
        <v>450</v>
      </c>
    </row>
    <row r="566" spans="2:6">
      <c r="B566" s="438"/>
      <c r="C566" s="438"/>
      <c r="D566" s="80"/>
      <c r="E566" s="81"/>
    </row>
    <row r="567" spans="2:6" ht="15.75">
      <c r="B567" s="435" t="s">
        <v>655</v>
      </c>
      <c r="C567" s="436"/>
      <c r="D567" s="437"/>
      <c r="E567" s="82">
        <f>SUM(E557:E566)</f>
        <v>5600</v>
      </c>
      <c r="F567" s="83">
        <f>+'Tổng,SUMMARY'!$Q$23</f>
        <v>2600</v>
      </c>
    </row>
    <row r="568" spans="2:6">
      <c r="B568" s="431" t="s">
        <v>370</v>
      </c>
      <c r="C568" s="431" t="s">
        <v>371</v>
      </c>
      <c r="D568" s="80" t="s">
        <v>678</v>
      </c>
      <c r="E568" s="81">
        <v>300</v>
      </c>
    </row>
    <row r="569" spans="2:6">
      <c r="B569" s="432"/>
      <c r="C569" s="432"/>
      <c r="D569" s="80"/>
      <c r="E569" s="81"/>
    </row>
    <row r="570" spans="2:6">
      <c r="B570" s="432"/>
      <c r="C570" s="432"/>
      <c r="D570" s="80"/>
      <c r="E570" s="81"/>
    </row>
    <row r="571" spans="2:6">
      <c r="B571" s="432"/>
      <c r="C571" s="432"/>
      <c r="D571" s="80"/>
      <c r="E571" s="81"/>
    </row>
    <row r="572" spans="2:6">
      <c r="B572" s="432"/>
      <c r="C572" s="432"/>
      <c r="D572" s="80"/>
      <c r="E572" s="81"/>
    </row>
    <row r="573" spans="2:6">
      <c r="B573" s="432"/>
      <c r="C573" s="432"/>
      <c r="D573" s="80"/>
      <c r="E573" s="81"/>
    </row>
    <row r="574" spans="2:6">
      <c r="B574" s="432"/>
      <c r="C574" s="432"/>
      <c r="D574" s="80"/>
      <c r="E574" s="81"/>
    </row>
    <row r="575" spans="2:6">
      <c r="B575" s="432"/>
      <c r="C575" s="432"/>
      <c r="D575" s="80"/>
      <c r="E575" s="81"/>
    </row>
    <row r="576" spans="2:6">
      <c r="B576" s="432"/>
      <c r="C576" s="432"/>
      <c r="D576" s="80"/>
      <c r="E576" s="81"/>
    </row>
    <row r="577" spans="2:7">
      <c r="B577" s="432"/>
      <c r="C577" s="432"/>
      <c r="D577" s="80"/>
      <c r="E577" s="81"/>
    </row>
    <row r="578" spans="2:7">
      <c r="B578" s="432"/>
      <c r="C578" s="432"/>
      <c r="D578" s="80"/>
      <c r="E578" s="81"/>
    </row>
    <row r="579" spans="2:7">
      <c r="B579" s="432"/>
      <c r="C579" s="432"/>
      <c r="D579" s="80"/>
      <c r="E579" s="81"/>
    </row>
    <row r="580" spans="2:7">
      <c r="B580" s="432"/>
      <c r="C580" s="432"/>
      <c r="D580" s="80"/>
      <c r="E580" s="81"/>
    </row>
    <row r="581" spans="2:7">
      <c r="B581" s="432"/>
      <c r="C581" s="432"/>
      <c r="D581" s="80"/>
      <c r="E581" s="81"/>
    </row>
    <row r="582" spans="2:7">
      <c r="B582" s="433"/>
      <c r="C582" s="433"/>
      <c r="D582" s="80"/>
      <c r="E582" s="81"/>
      <c r="G582" s="88"/>
    </row>
    <row r="583" spans="2:7" ht="15.75">
      <c r="B583" s="435" t="s">
        <v>655</v>
      </c>
      <c r="C583" s="436"/>
      <c r="D583" s="437"/>
      <c r="E583" s="82">
        <f>SUM(E568:E582)</f>
        <v>300</v>
      </c>
      <c r="F583" s="83">
        <f>+'Tổng,SUMMARY'!$Q$251</f>
        <v>300</v>
      </c>
      <c r="G583" s="88">
        <f>+F583-E583</f>
        <v>0</v>
      </c>
    </row>
    <row r="584" spans="2:7">
      <c r="B584" s="431" t="s">
        <v>1158</v>
      </c>
      <c r="C584" s="431" t="s">
        <v>268</v>
      </c>
      <c r="D584" s="80"/>
      <c r="E584" s="89">
        <v>8640</v>
      </c>
      <c r="F584" s="76">
        <v>10470</v>
      </c>
    </row>
    <row r="585" spans="2:7">
      <c r="B585" s="432"/>
      <c r="C585" s="432"/>
      <c r="D585" s="80"/>
      <c r="E585" s="81"/>
    </row>
    <row r="586" spans="2:7">
      <c r="B586" s="432"/>
      <c r="C586" s="432"/>
      <c r="D586" s="80" t="s">
        <v>1032</v>
      </c>
      <c r="E586" s="81">
        <v>660</v>
      </c>
      <c r="F586" s="76">
        <f>+E586-660</f>
        <v>0</v>
      </c>
    </row>
    <row r="587" spans="2:7">
      <c r="B587" s="432"/>
      <c r="C587" s="432"/>
      <c r="D587" s="80" t="s">
        <v>1049</v>
      </c>
      <c r="E587" s="81">
        <v>690</v>
      </c>
    </row>
    <row r="588" spans="2:7">
      <c r="B588" s="432"/>
      <c r="C588" s="432"/>
      <c r="D588" s="80" t="s">
        <v>1160</v>
      </c>
      <c r="E588" s="81">
        <v>780</v>
      </c>
    </row>
    <row r="589" spans="2:7">
      <c r="B589" s="432"/>
      <c r="C589" s="432"/>
      <c r="D589" s="80" t="s">
        <v>1161</v>
      </c>
      <c r="E589" s="81">
        <v>780</v>
      </c>
    </row>
    <row r="590" spans="2:7">
      <c r="B590" s="432"/>
      <c r="C590" s="432"/>
      <c r="D590" s="80" t="s">
        <v>1173</v>
      </c>
      <c r="E590" s="81">
        <v>780</v>
      </c>
    </row>
    <row r="591" spans="2:7">
      <c r="B591" s="432"/>
      <c r="C591" s="432"/>
      <c r="D591" s="80" t="s">
        <v>1199</v>
      </c>
      <c r="E591" s="81">
        <v>750</v>
      </c>
    </row>
    <row r="592" spans="2:7">
      <c r="B592" s="432"/>
      <c r="C592" s="432"/>
      <c r="D592" s="80" t="s">
        <v>1200</v>
      </c>
      <c r="E592" s="81">
        <v>630</v>
      </c>
    </row>
    <row r="593" spans="2:5">
      <c r="B593" s="432"/>
      <c r="C593" s="432"/>
      <c r="D593" s="80" t="s">
        <v>1201</v>
      </c>
      <c r="E593" s="81">
        <v>780</v>
      </c>
    </row>
    <row r="594" spans="2:5">
      <c r="B594" s="432"/>
      <c r="C594" s="432"/>
      <c r="D594" s="80" t="s">
        <v>1202</v>
      </c>
      <c r="E594" s="81">
        <v>780</v>
      </c>
    </row>
    <row r="595" spans="2:5">
      <c r="B595" s="432"/>
      <c r="C595" s="432"/>
      <c r="D595" s="80" t="s">
        <v>1258</v>
      </c>
      <c r="E595" s="81">
        <v>780</v>
      </c>
    </row>
    <row r="596" spans="2:5">
      <c r="B596" s="432"/>
      <c r="C596" s="432"/>
      <c r="D596" s="80" t="s">
        <v>1259</v>
      </c>
      <c r="E596" s="81">
        <v>450</v>
      </c>
    </row>
    <row r="597" spans="2:5">
      <c r="B597" s="432"/>
      <c r="C597" s="432"/>
      <c r="D597" s="80" t="s">
        <v>1282</v>
      </c>
      <c r="E597" s="81">
        <v>780</v>
      </c>
    </row>
    <row r="598" spans="2:5">
      <c r="B598" s="432"/>
      <c r="C598" s="432"/>
      <c r="D598" s="80" t="s">
        <v>1283</v>
      </c>
      <c r="E598" s="81">
        <v>780</v>
      </c>
    </row>
    <row r="599" spans="2:5">
      <c r="B599" s="432"/>
      <c r="C599" s="432"/>
      <c r="D599" s="80" t="s">
        <v>1284</v>
      </c>
      <c r="E599" s="81">
        <v>780</v>
      </c>
    </row>
    <row r="600" spans="2:5">
      <c r="B600" s="432"/>
      <c r="C600" s="432"/>
      <c r="D600" s="80" t="s">
        <v>1285</v>
      </c>
      <c r="E600" s="81">
        <v>780</v>
      </c>
    </row>
    <row r="601" spans="2:5">
      <c r="B601" s="432"/>
      <c r="C601" s="432"/>
      <c r="D601" s="80" t="s">
        <v>1317</v>
      </c>
      <c r="E601" s="81">
        <v>780</v>
      </c>
    </row>
    <row r="602" spans="2:5">
      <c r="B602" s="432"/>
      <c r="C602" s="432"/>
      <c r="D602" s="80" t="s">
        <v>1318</v>
      </c>
      <c r="E602" s="81">
        <v>780</v>
      </c>
    </row>
    <row r="603" spans="2:5">
      <c r="B603" s="432"/>
      <c r="C603" s="432"/>
      <c r="D603" s="80" t="s">
        <v>1319</v>
      </c>
      <c r="E603" s="81">
        <v>780</v>
      </c>
    </row>
    <row r="604" spans="2:5">
      <c r="B604" s="432"/>
      <c r="C604" s="432"/>
      <c r="D604" s="80" t="s">
        <v>1459</v>
      </c>
      <c r="E604" s="81">
        <v>780</v>
      </c>
    </row>
    <row r="605" spans="2:5">
      <c r="B605" s="432"/>
      <c r="C605" s="432"/>
      <c r="D605" s="80" t="s">
        <v>1460</v>
      </c>
      <c r="E605" s="81">
        <v>780</v>
      </c>
    </row>
    <row r="606" spans="2:5">
      <c r="B606" s="432"/>
      <c r="C606" s="432"/>
      <c r="D606" s="80" t="s">
        <v>1461</v>
      </c>
      <c r="E606" s="81">
        <v>780</v>
      </c>
    </row>
    <row r="607" spans="2:5">
      <c r="B607" s="432"/>
      <c r="C607" s="432"/>
      <c r="D607" s="80" t="s">
        <v>1462</v>
      </c>
      <c r="E607" s="81">
        <v>390</v>
      </c>
    </row>
    <row r="608" spans="2:5">
      <c r="B608" s="432"/>
      <c r="C608" s="432"/>
      <c r="D608" s="80" t="s">
        <v>1463</v>
      </c>
      <c r="E608" s="81"/>
    </row>
    <row r="609" spans="2:7">
      <c r="B609" s="432"/>
      <c r="C609" s="432"/>
      <c r="D609" s="80"/>
      <c r="E609" s="81"/>
    </row>
    <row r="610" spans="2:7">
      <c r="B610" s="432"/>
      <c r="C610" s="432"/>
      <c r="D610" s="80"/>
      <c r="E610" s="81"/>
    </row>
    <row r="611" spans="2:7">
      <c r="B611" s="432"/>
      <c r="C611" s="432"/>
      <c r="D611" s="80"/>
      <c r="E611" s="81"/>
    </row>
    <row r="612" spans="2:7">
      <c r="B612" s="433"/>
      <c r="C612" s="433"/>
      <c r="D612" s="80"/>
      <c r="E612" s="81"/>
      <c r="G612" s="88"/>
    </row>
    <row r="613" spans="2:7" ht="15.75">
      <c r="B613" s="435" t="s">
        <v>655</v>
      </c>
      <c r="C613" s="436"/>
      <c r="D613" s="437"/>
      <c r="E613" s="82">
        <f>SUM(E584:E612)</f>
        <v>24690</v>
      </c>
      <c r="F613" s="83">
        <f>+'Tổng,SUMMARY'!$Q$254</f>
        <v>24690</v>
      </c>
      <c r="G613" s="88">
        <f>+F613-E613</f>
        <v>0</v>
      </c>
    </row>
    <row r="614" spans="2:7">
      <c r="B614" s="431" t="s">
        <v>1051</v>
      </c>
      <c r="C614" s="431" t="s">
        <v>1052</v>
      </c>
      <c r="D614" s="80" t="s">
        <v>1053</v>
      </c>
      <c r="E614" s="81">
        <v>780</v>
      </c>
      <c r="G614" s="88"/>
    </row>
    <row r="615" spans="2:7">
      <c r="B615" s="432"/>
      <c r="C615" s="432"/>
      <c r="D615" s="80" t="s">
        <v>1065</v>
      </c>
      <c r="E615" s="81">
        <v>750</v>
      </c>
    </row>
    <row r="616" spans="2:7">
      <c r="B616" s="432"/>
      <c r="C616" s="432"/>
      <c r="D616" s="80"/>
      <c r="E616" s="81"/>
    </row>
    <row r="617" spans="2:7">
      <c r="B617" s="432"/>
      <c r="C617" s="432"/>
      <c r="D617" s="80"/>
      <c r="E617" s="81"/>
    </row>
    <row r="618" spans="2:7">
      <c r="B618" s="432"/>
      <c r="C618" s="432"/>
      <c r="D618" s="80"/>
      <c r="E618" s="81"/>
    </row>
    <row r="619" spans="2:7">
      <c r="B619" s="432"/>
      <c r="C619" s="432"/>
      <c r="D619" s="80"/>
      <c r="E619" s="81"/>
    </row>
    <row r="620" spans="2:7">
      <c r="B620" s="432"/>
      <c r="C620" s="432"/>
      <c r="D620" s="80"/>
      <c r="E620" s="81"/>
    </row>
    <row r="621" spans="2:7">
      <c r="B621" s="432"/>
      <c r="C621" s="432"/>
      <c r="D621" s="80"/>
      <c r="E621" s="81"/>
    </row>
    <row r="622" spans="2:7">
      <c r="B622" s="432"/>
      <c r="C622" s="432"/>
      <c r="D622" s="80"/>
      <c r="E622" s="81"/>
    </row>
    <row r="623" spans="2:7">
      <c r="B623" s="432"/>
      <c r="C623" s="432"/>
      <c r="D623" s="80"/>
      <c r="E623" s="81"/>
    </row>
    <row r="624" spans="2:7">
      <c r="B624" s="432"/>
      <c r="C624" s="432"/>
      <c r="D624" s="80"/>
      <c r="E624" s="81"/>
    </row>
    <row r="625" spans="2:7">
      <c r="B625" s="433"/>
      <c r="C625" s="433"/>
      <c r="D625" s="80"/>
      <c r="E625" s="81"/>
      <c r="G625" s="88"/>
    </row>
    <row r="626" spans="2:7" ht="15.75">
      <c r="B626" s="435" t="s">
        <v>655</v>
      </c>
      <c r="C626" s="436"/>
      <c r="D626" s="437"/>
      <c r="E626" s="82">
        <f>SUM(E614:E625)</f>
        <v>1530</v>
      </c>
      <c r="F626" s="83">
        <f>+'Tổng,SUMMARY'!$Q$255</f>
        <v>0</v>
      </c>
      <c r="G626" s="88">
        <f>+F626-E626</f>
        <v>-1530</v>
      </c>
    </row>
    <row r="627" spans="2:7">
      <c r="B627" s="431" t="s">
        <v>1394</v>
      </c>
      <c r="C627" s="431" t="s">
        <v>1395</v>
      </c>
      <c r="D627" s="80"/>
      <c r="E627" s="81">
        <v>630</v>
      </c>
      <c r="G627" s="88"/>
    </row>
    <row r="628" spans="2:7">
      <c r="B628" s="432"/>
      <c r="C628" s="432"/>
      <c r="D628" s="80" t="s">
        <v>1396</v>
      </c>
      <c r="E628" s="81">
        <v>780</v>
      </c>
    </row>
    <row r="629" spans="2:7">
      <c r="B629" s="432"/>
      <c r="C629" s="432"/>
      <c r="D629" s="80" t="s">
        <v>1397</v>
      </c>
      <c r="E629" s="81">
        <v>780</v>
      </c>
    </row>
    <row r="630" spans="2:7">
      <c r="B630" s="432"/>
      <c r="C630" s="432"/>
      <c r="D630" s="80" t="s">
        <v>1475</v>
      </c>
      <c r="E630" s="81">
        <v>180</v>
      </c>
    </row>
    <row r="631" spans="2:7">
      <c r="B631" s="432"/>
      <c r="C631" s="432"/>
      <c r="D631" s="80"/>
      <c r="E631" s="81"/>
    </row>
    <row r="632" spans="2:7">
      <c r="B632" s="432"/>
      <c r="C632" s="432"/>
      <c r="D632" s="80"/>
      <c r="E632" s="81"/>
    </row>
    <row r="633" spans="2:7">
      <c r="B633" s="432"/>
      <c r="C633" s="432"/>
      <c r="D633" s="80"/>
      <c r="E633" s="81"/>
    </row>
    <row r="634" spans="2:7">
      <c r="B634" s="432"/>
      <c r="C634" s="432"/>
      <c r="D634" s="80"/>
      <c r="E634" s="81"/>
    </row>
    <row r="635" spans="2:7">
      <c r="B635" s="432"/>
      <c r="C635" s="432"/>
      <c r="D635" s="80"/>
      <c r="E635" s="81"/>
    </row>
    <row r="636" spans="2:7">
      <c r="B636" s="432"/>
      <c r="C636" s="432"/>
      <c r="D636" s="80"/>
      <c r="E636" s="81"/>
    </row>
    <row r="637" spans="2:7">
      <c r="B637" s="432"/>
      <c r="C637" s="432"/>
      <c r="D637" s="80"/>
      <c r="E637" s="81"/>
    </row>
    <row r="638" spans="2:7">
      <c r="B638" s="433"/>
      <c r="C638" s="433"/>
      <c r="D638" s="80"/>
      <c r="E638" s="81"/>
      <c r="G638" s="88"/>
    </row>
    <row r="639" spans="2:7" ht="15.75">
      <c r="B639" s="435" t="s">
        <v>655</v>
      </c>
      <c r="C639" s="436"/>
      <c r="D639" s="437"/>
      <c r="E639" s="82">
        <f>SUM(E627:E638)</f>
        <v>2370</v>
      </c>
      <c r="F639" s="83">
        <f>+'Tổng,SUMMARY'!$Q$256</f>
        <v>2370</v>
      </c>
      <c r="G639" s="88">
        <f>+F639-E639</f>
        <v>0</v>
      </c>
    </row>
    <row r="640" spans="2:7">
      <c r="B640" s="431" t="s">
        <v>332</v>
      </c>
      <c r="C640" s="431" t="s">
        <v>333</v>
      </c>
      <c r="D640" s="80"/>
      <c r="E640" s="81">
        <v>250</v>
      </c>
      <c r="G640" s="88"/>
    </row>
    <row r="641" spans="2:7">
      <c r="B641" s="432"/>
      <c r="C641" s="432"/>
      <c r="D641" s="85" t="s">
        <v>1403</v>
      </c>
      <c r="E641" s="81">
        <v>1200</v>
      </c>
    </row>
    <row r="642" spans="2:7">
      <c r="B642" s="432"/>
      <c r="C642" s="432"/>
      <c r="D642" s="85" t="s">
        <v>1404</v>
      </c>
      <c r="E642" s="81">
        <v>1200</v>
      </c>
    </row>
    <row r="643" spans="2:7">
      <c r="B643" s="432"/>
      <c r="C643" s="432"/>
      <c r="D643" s="80"/>
      <c r="E643" s="81"/>
    </row>
    <row r="644" spans="2:7">
      <c r="B644" s="432"/>
      <c r="C644" s="432"/>
      <c r="D644" s="80"/>
      <c r="E644" s="81"/>
    </row>
    <row r="645" spans="2:7">
      <c r="B645" s="432"/>
      <c r="C645" s="432"/>
      <c r="D645" s="80"/>
      <c r="E645" s="81"/>
    </row>
    <row r="646" spans="2:7">
      <c r="B646" s="432"/>
      <c r="C646" s="432"/>
      <c r="D646" s="80"/>
      <c r="E646" s="81"/>
    </row>
    <row r="647" spans="2:7">
      <c r="B647" s="432"/>
      <c r="C647" s="432"/>
      <c r="D647" s="80"/>
      <c r="E647" s="81"/>
    </row>
    <row r="648" spans="2:7">
      <c r="B648" s="432"/>
      <c r="C648" s="432"/>
      <c r="D648" s="80"/>
      <c r="E648" s="81"/>
    </row>
    <row r="649" spans="2:7">
      <c r="B649" s="432"/>
      <c r="C649" s="432"/>
      <c r="D649" s="80"/>
      <c r="E649" s="81"/>
    </row>
    <row r="650" spans="2:7">
      <c r="B650" s="432"/>
      <c r="C650" s="432"/>
      <c r="D650" s="80"/>
      <c r="E650" s="81"/>
    </row>
    <row r="651" spans="2:7">
      <c r="B651" s="433"/>
      <c r="C651" s="433"/>
      <c r="D651" s="80"/>
      <c r="E651" s="81"/>
      <c r="G651" s="88"/>
    </row>
    <row r="652" spans="2:7" ht="15.75">
      <c r="B652" s="435" t="s">
        <v>655</v>
      </c>
      <c r="C652" s="436"/>
      <c r="D652" s="437"/>
      <c r="E652" s="82">
        <f>SUM(E640:E651)</f>
        <v>2650</v>
      </c>
      <c r="F652" s="83">
        <f>+'Tổng,SUMMARY'!$Q$237</f>
        <v>2650</v>
      </c>
      <c r="G652" s="88">
        <f>+F652-E652</f>
        <v>0</v>
      </c>
    </row>
    <row r="653" spans="2:7">
      <c r="B653" s="431" t="s">
        <v>485</v>
      </c>
      <c r="C653" s="431" t="s">
        <v>486</v>
      </c>
      <c r="D653" s="80" t="s">
        <v>678</v>
      </c>
      <c r="E653" s="81">
        <v>100</v>
      </c>
    </row>
    <row r="654" spans="2:7">
      <c r="B654" s="432"/>
      <c r="C654" s="432"/>
      <c r="D654" s="85" t="s">
        <v>1166</v>
      </c>
      <c r="E654" s="86">
        <v>1200</v>
      </c>
    </row>
    <row r="655" spans="2:7">
      <c r="B655" s="432"/>
      <c r="C655" s="432"/>
      <c r="D655" s="85" t="s">
        <v>1167</v>
      </c>
      <c r="E655" s="86">
        <v>1200</v>
      </c>
    </row>
    <row r="656" spans="2:7">
      <c r="B656" s="432"/>
      <c r="C656" s="432"/>
      <c r="D656" s="85" t="s">
        <v>1093</v>
      </c>
      <c r="E656" s="81">
        <v>800</v>
      </c>
    </row>
    <row r="657" spans="2:7">
      <c r="B657" s="432"/>
      <c r="C657" s="432"/>
      <c r="D657" s="85" t="s">
        <v>1389</v>
      </c>
      <c r="E657" s="81">
        <v>1200</v>
      </c>
    </row>
    <row r="658" spans="2:7">
      <c r="B658" s="432"/>
      <c r="C658" s="432"/>
      <c r="D658" s="85" t="s">
        <v>1390</v>
      </c>
      <c r="E658" s="81">
        <v>1100</v>
      </c>
    </row>
    <row r="659" spans="2:7">
      <c r="B659" s="432"/>
      <c r="C659" s="432"/>
      <c r="D659" s="85" t="s">
        <v>1451</v>
      </c>
      <c r="E659" s="81">
        <v>1200</v>
      </c>
    </row>
    <row r="660" spans="2:7">
      <c r="B660" s="432"/>
      <c r="C660" s="432"/>
      <c r="D660" s="85" t="s">
        <v>1452</v>
      </c>
      <c r="E660" s="81">
        <v>1200</v>
      </c>
    </row>
    <row r="661" spans="2:7">
      <c r="B661" s="432"/>
      <c r="C661" s="432"/>
      <c r="D661" s="85" t="s">
        <v>1477</v>
      </c>
      <c r="E661" s="81">
        <v>1000</v>
      </c>
    </row>
    <row r="662" spans="2:7">
      <c r="B662" s="432"/>
      <c r="C662" s="432"/>
      <c r="D662" s="85"/>
      <c r="E662" s="81"/>
    </row>
    <row r="663" spans="2:7">
      <c r="B663" s="432"/>
      <c r="C663" s="432"/>
      <c r="D663" s="85"/>
      <c r="E663" s="81"/>
    </row>
    <row r="664" spans="2:7">
      <c r="B664" s="432"/>
      <c r="C664" s="432"/>
      <c r="D664" s="85"/>
      <c r="E664" s="81"/>
    </row>
    <row r="665" spans="2:7">
      <c r="B665" s="432"/>
      <c r="C665" s="432"/>
      <c r="D665" s="80"/>
      <c r="E665" s="81"/>
    </row>
    <row r="666" spans="2:7">
      <c r="B666" s="433"/>
      <c r="C666" s="433"/>
      <c r="D666" s="80"/>
      <c r="E666" s="81"/>
      <c r="G666" s="88"/>
    </row>
    <row r="667" spans="2:7" ht="15.75">
      <c r="B667" s="435" t="s">
        <v>655</v>
      </c>
      <c r="C667" s="436"/>
      <c r="D667" s="437"/>
      <c r="E667" s="82">
        <f>SUM(E653:E666)</f>
        <v>9000</v>
      </c>
      <c r="F667" s="83">
        <f>+'Tổng,SUMMARY'!$Q$129</f>
        <v>9000</v>
      </c>
      <c r="G667" s="88">
        <f>+F667-E667</f>
        <v>0</v>
      </c>
    </row>
    <row r="668" spans="2:7">
      <c r="B668" s="431" t="s">
        <v>73</v>
      </c>
      <c r="C668" s="431" t="s">
        <v>74</v>
      </c>
      <c r="D668" s="80" t="s">
        <v>678</v>
      </c>
      <c r="E668" s="81">
        <v>3800</v>
      </c>
    </row>
    <row r="669" spans="2:7">
      <c r="B669" s="432"/>
      <c r="C669" s="432"/>
      <c r="D669" s="80" t="s">
        <v>725</v>
      </c>
      <c r="E669" s="81">
        <v>1200</v>
      </c>
    </row>
    <row r="670" spans="2:7">
      <c r="B670" s="432"/>
      <c r="C670" s="432"/>
      <c r="D670" s="80" t="s">
        <v>726</v>
      </c>
      <c r="E670" s="81">
        <v>1200</v>
      </c>
    </row>
    <row r="671" spans="2:7">
      <c r="B671" s="432"/>
      <c r="C671" s="432"/>
      <c r="D671" s="80" t="s">
        <v>727</v>
      </c>
      <c r="E671" s="81">
        <v>1200</v>
      </c>
    </row>
    <row r="672" spans="2:7">
      <c r="B672" s="432"/>
      <c r="C672" s="432"/>
      <c r="D672" s="80" t="s">
        <v>728</v>
      </c>
      <c r="E672" s="81">
        <v>1200</v>
      </c>
    </row>
    <row r="673" spans="2:7">
      <c r="B673" s="432"/>
      <c r="C673" s="432"/>
      <c r="D673" s="80" t="s">
        <v>729</v>
      </c>
      <c r="E673" s="81">
        <v>1200</v>
      </c>
    </row>
    <row r="674" spans="2:7">
      <c r="B674" s="432"/>
      <c r="C674" s="432"/>
      <c r="D674" s="80" t="s">
        <v>730</v>
      </c>
      <c r="E674" s="81">
        <v>1200</v>
      </c>
    </row>
    <row r="675" spans="2:7">
      <c r="B675" s="432"/>
      <c r="C675" s="432"/>
      <c r="D675" s="80" t="s">
        <v>731</v>
      </c>
      <c r="E675" s="81">
        <v>400</v>
      </c>
    </row>
    <row r="676" spans="2:7">
      <c r="B676" s="432"/>
      <c r="C676" s="432"/>
      <c r="D676" s="80" t="s">
        <v>1322</v>
      </c>
      <c r="E676" s="81">
        <v>1200</v>
      </c>
    </row>
    <row r="677" spans="2:7">
      <c r="B677" s="432"/>
      <c r="C677" s="432"/>
      <c r="D677" s="80" t="s">
        <v>1323</v>
      </c>
      <c r="E677" s="81">
        <v>1200</v>
      </c>
    </row>
    <row r="678" spans="2:7">
      <c r="B678" s="432"/>
      <c r="C678" s="432"/>
      <c r="D678" s="80" t="s">
        <v>1324</v>
      </c>
      <c r="E678" s="81">
        <v>1200</v>
      </c>
    </row>
    <row r="679" spans="2:7">
      <c r="B679" s="432"/>
      <c r="C679" s="432"/>
      <c r="D679" s="80" t="s">
        <v>1415</v>
      </c>
      <c r="E679" s="81">
        <v>1200</v>
      </c>
    </row>
    <row r="680" spans="2:7">
      <c r="B680" s="432"/>
      <c r="C680" s="432"/>
      <c r="D680" s="80" t="s">
        <v>1416</v>
      </c>
      <c r="E680" s="81">
        <v>1200</v>
      </c>
    </row>
    <row r="681" spans="2:7">
      <c r="B681" s="432"/>
      <c r="C681" s="432"/>
      <c r="D681" s="80" t="s">
        <v>1417</v>
      </c>
      <c r="E681" s="81">
        <v>1200</v>
      </c>
    </row>
    <row r="682" spans="2:7">
      <c r="B682" s="432"/>
      <c r="C682" s="432"/>
      <c r="D682" s="80" t="s">
        <v>1418</v>
      </c>
      <c r="E682" s="81">
        <v>700</v>
      </c>
    </row>
    <row r="683" spans="2:7">
      <c r="B683" s="432"/>
      <c r="C683" s="432"/>
      <c r="D683" s="80"/>
      <c r="E683" s="81"/>
    </row>
    <row r="684" spans="2:7">
      <c r="B684" s="432"/>
      <c r="C684" s="432"/>
      <c r="D684" s="80"/>
      <c r="E684" s="81"/>
    </row>
    <row r="685" spans="2:7">
      <c r="B685" s="433"/>
      <c r="C685" s="433"/>
      <c r="D685" s="80"/>
      <c r="E685" s="81"/>
      <c r="G685" s="88"/>
    </row>
    <row r="686" spans="2:7" ht="15.75">
      <c r="B686" s="435" t="s">
        <v>655</v>
      </c>
      <c r="C686" s="436"/>
      <c r="D686" s="437"/>
      <c r="E686" s="82">
        <f>SUM(E668:E685)</f>
        <v>19300</v>
      </c>
      <c r="F686" s="83">
        <f>+'Tổng,SUMMARY'!$Q$120</f>
        <v>19300</v>
      </c>
      <c r="G686" s="88">
        <f>+F686-E686</f>
        <v>0</v>
      </c>
    </row>
    <row r="687" spans="2:7">
      <c r="B687" s="431" t="s">
        <v>903</v>
      </c>
      <c r="C687" s="431" t="s">
        <v>50</v>
      </c>
      <c r="D687" s="80" t="s">
        <v>904</v>
      </c>
      <c r="E687" s="81"/>
    </row>
    <row r="688" spans="2:7">
      <c r="B688" s="432"/>
      <c r="C688" s="432"/>
      <c r="D688" s="80"/>
      <c r="E688" s="81"/>
    </row>
    <row r="689" spans="2:7">
      <c r="B689" s="432"/>
      <c r="C689" s="432"/>
      <c r="D689" s="80"/>
      <c r="E689" s="81"/>
    </row>
    <row r="690" spans="2:7">
      <c r="B690" s="432"/>
      <c r="C690" s="432"/>
      <c r="D690" s="80"/>
      <c r="E690" s="81"/>
    </row>
    <row r="691" spans="2:7">
      <c r="B691" s="432"/>
      <c r="C691" s="432"/>
      <c r="D691" s="80"/>
      <c r="E691" s="81"/>
    </row>
    <row r="692" spans="2:7">
      <c r="B692" s="432"/>
      <c r="C692" s="432"/>
      <c r="D692" s="80"/>
      <c r="E692" s="81"/>
    </row>
    <row r="693" spans="2:7">
      <c r="B693" s="432"/>
      <c r="C693" s="432"/>
      <c r="D693" s="80"/>
      <c r="E693" s="81"/>
    </row>
    <row r="694" spans="2:7">
      <c r="B694" s="432"/>
      <c r="C694" s="432"/>
      <c r="D694" s="80"/>
      <c r="E694" s="81"/>
    </row>
    <row r="695" spans="2:7">
      <c r="B695" s="433"/>
      <c r="C695" s="433"/>
      <c r="D695" s="80"/>
      <c r="E695" s="81"/>
    </row>
    <row r="696" spans="2:7" s="74" customFormat="1" ht="24" customHeight="1">
      <c r="B696" s="435" t="s">
        <v>655</v>
      </c>
      <c r="C696" s="436"/>
      <c r="D696" s="437"/>
      <c r="E696" s="82">
        <f>SUM(E687:E695)</f>
        <v>0</v>
      </c>
      <c r="F696" s="83">
        <f>+'Tổng,SUMMARY'!$Q$8</f>
        <v>0</v>
      </c>
      <c r="G696" s="84">
        <f>+F696-E696</f>
        <v>0</v>
      </c>
    </row>
    <row r="697" spans="2:7">
      <c r="B697" s="431" t="s">
        <v>49</v>
      </c>
      <c r="C697" s="431" t="s">
        <v>50</v>
      </c>
      <c r="D697" s="80" t="s">
        <v>1147</v>
      </c>
      <c r="E697" s="81">
        <v>1200</v>
      </c>
    </row>
    <row r="698" spans="2:7">
      <c r="B698" s="432"/>
      <c r="C698" s="432"/>
      <c r="D698" s="80" t="s">
        <v>1148</v>
      </c>
      <c r="E698" s="81">
        <v>1200</v>
      </c>
    </row>
    <row r="699" spans="2:7">
      <c r="B699" s="432"/>
      <c r="C699" s="432"/>
      <c r="D699" s="80" t="s">
        <v>1149</v>
      </c>
      <c r="E699" s="81">
        <v>1200</v>
      </c>
    </row>
    <row r="700" spans="2:7">
      <c r="B700" s="432"/>
      <c r="C700" s="432"/>
      <c r="D700" s="80" t="s">
        <v>1183</v>
      </c>
      <c r="E700" s="81">
        <v>1200</v>
      </c>
    </row>
    <row r="701" spans="2:7">
      <c r="B701" s="432"/>
      <c r="C701" s="432"/>
      <c r="D701" s="80" t="s">
        <v>1184</v>
      </c>
      <c r="E701" s="81">
        <v>1200</v>
      </c>
    </row>
    <row r="702" spans="2:7">
      <c r="B702" s="432"/>
      <c r="C702" s="432"/>
      <c r="D702" s="80" t="s">
        <v>1185</v>
      </c>
      <c r="E702" s="81">
        <v>1200</v>
      </c>
    </row>
    <row r="703" spans="2:7">
      <c r="B703" s="432"/>
      <c r="C703" s="432"/>
      <c r="D703" s="80" t="s">
        <v>1184</v>
      </c>
      <c r="E703" s="81">
        <v>1200</v>
      </c>
    </row>
    <row r="704" spans="2:7">
      <c r="B704" s="432"/>
      <c r="C704" s="432"/>
      <c r="D704" s="80" t="s">
        <v>1183</v>
      </c>
      <c r="E704" s="81">
        <v>900</v>
      </c>
    </row>
    <row r="705" spans="2:9">
      <c r="B705" s="432"/>
      <c r="C705" s="432"/>
      <c r="D705" s="80" t="s">
        <v>1185</v>
      </c>
      <c r="E705" s="81">
        <v>1200</v>
      </c>
    </row>
    <row r="706" spans="2:9">
      <c r="B706" s="432"/>
      <c r="C706" s="432"/>
      <c r="D706" s="80"/>
      <c r="E706" s="81"/>
    </row>
    <row r="707" spans="2:9">
      <c r="B707" s="432"/>
      <c r="C707" s="432"/>
      <c r="D707" s="80"/>
      <c r="E707" s="81"/>
    </row>
    <row r="708" spans="2:9">
      <c r="B708" s="433"/>
      <c r="C708" s="433"/>
      <c r="D708" s="80"/>
      <c r="E708" s="81"/>
    </row>
    <row r="709" spans="2:9" s="74" customFormat="1" ht="24" customHeight="1">
      <c r="B709" s="435" t="s">
        <v>655</v>
      </c>
      <c r="C709" s="436"/>
      <c r="D709" s="437"/>
      <c r="E709" s="82">
        <f>SUM(E697:E708)</f>
        <v>10500</v>
      </c>
      <c r="F709" s="83">
        <f>+'Tổng,SUMMARY'!$Q$7</f>
        <v>10500</v>
      </c>
      <c r="G709" s="84">
        <f>+F709-E709</f>
        <v>0</v>
      </c>
    </row>
    <row r="710" spans="2:9">
      <c r="B710" s="431" t="s">
        <v>241</v>
      </c>
      <c r="C710" s="431" t="s">
        <v>1263</v>
      </c>
      <c r="D710" s="80" t="s">
        <v>678</v>
      </c>
      <c r="E710" s="81">
        <v>250</v>
      </c>
      <c r="I710" s="8" t="s">
        <v>491</v>
      </c>
    </row>
    <row r="711" spans="2:9">
      <c r="B711" s="432"/>
      <c r="C711" s="432"/>
      <c r="D711" s="80"/>
      <c r="E711" s="81"/>
    </row>
    <row r="712" spans="2:9">
      <c r="B712" s="432"/>
      <c r="C712" s="432"/>
      <c r="D712" s="80" t="s">
        <v>1312</v>
      </c>
      <c r="E712" s="81">
        <v>750</v>
      </c>
    </row>
    <row r="713" spans="2:9">
      <c r="B713" s="432"/>
      <c r="C713" s="432"/>
      <c r="D713" s="80" t="s">
        <v>932</v>
      </c>
      <c r="E713" s="81">
        <v>1200</v>
      </c>
    </row>
    <row r="714" spans="2:9">
      <c r="B714" s="432"/>
      <c r="C714" s="432"/>
      <c r="D714" s="80"/>
      <c r="E714" s="81"/>
    </row>
    <row r="715" spans="2:9">
      <c r="B715" s="432"/>
      <c r="C715" s="432"/>
      <c r="D715" s="80"/>
      <c r="E715" s="81"/>
    </row>
    <row r="716" spans="2:9">
      <c r="B716" s="432"/>
      <c r="C716" s="432"/>
      <c r="D716" s="80"/>
      <c r="E716" s="81"/>
    </row>
    <row r="717" spans="2:9">
      <c r="B717" s="432"/>
      <c r="C717" s="432"/>
      <c r="D717" s="80"/>
      <c r="E717" s="81"/>
    </row>
    <row r="718" spans="2:9">
      <c r="B718" s="433"/>
      <c r="C718" s="433"/>
      <c r="D718" s="80"/>
      <c r="E718" s="81"/>
    </row>
    <row r="719" spans="2:9" s="74" customFormat="1" ht="24" customHeight="1">
      <c r="B719" s="435" t="s">
        <v>655</v>
      </c>
      <c r="C719" s="436"/>
      <c r="D719" s="437"/>
      <c r="E719" s="82">
        <f>SUM(E710:E718)</f>
        <v>2200</v>
      </c>
      <c r="F719" s="83">
        <f>+'Tổng,SUMMARY'!$Q$138</f>
        <v>2200</v>
      </c>
      <c r="G719" s="84">
        <f>+F719-E719</f>
        <v>0</v>
      </c>
    </row>
    <row r="720" spans="2:9">
      <c r="B720" s="432" t="s">
        <v>1262</v>
      </c>
      <c r="C720" s="432" t="s">
        <v>1264</v>
      </c>
      <c r="D720" s="80" t="s">
        <v>1265</v>
      </c>
      <c r="E720" s="81">
        <v>1200</v>
      </c>
    </row>
    <row r="721" spans="2:6">
      <c r="B721" s="432"/>
      <c r="C721" s="432"/>
      <c r="D721" s="80" t="s">
        <v>1266</v>
      </c>
      <c r="E721" s="81">
        <v>100</v>
      </c>
    </row>
    <row r="722" spans="2:6">
      <c r="B722" s="432"/>
      <c r="C722" s="432"/>
      <c r="D722" s="80" t="s">
        <v>1267</v>
      </c>
      <c r="E722" s="81">
        <v>300</v>
      </c>
    </row>
    <row r="723" spans="2:6">
      <c r="B723" s="432"/>
      <c r="C723" s="432"/>
      <c r="D723" s="80" t="s">
        <v>1268</v>
      </c>
      <c r="E723" s="81">
        <v>1150</v>
      </c>
    </row>
    <row r="724" spans="2:6">
      <c r="B724" s="432"/>
      <c r="C724" s="432"/>
      <c r="D724" s="80" t="s">
        <v>1269</v>
      </c>
      <c r="E724" s="81">
        <v>1200</v>
      </c>
    </row>
    <row r="725" spans="2:6">
      <c r="B725" s="432"/>
      <c r="C725" s="432"/>
      <c r="D725" s="80" t="s">
        <v>1278</v>
      </c>
      <c r="E725" s="81">
        <v>1200</v>
      </c>
    </row>
    <row r="726" spans="2:6">
      <c r="B726" s="432"/>
      <c r="C726" s="432"/>
      <c r="D726" s="80" t="s">
        <v>1381</v>
      </c>
      <c r="E726" s="81">
        <v>950</v>
      </c>
    </row>
    <row r="727" spans="2:6">
      <c r="B727" s="432"/>
      <c r="C727" s="432"/>
      <c r="D727" s="80"/>
      <c r="E727" s="81"/>
    </row>
    <row r="728" spans="2:6">
      <c r="B728" s="433"/>
      <c r="C728" s="433"/>
      <c r="D728" s="80"/>
      <c r="E728" s="81"/>
    </row>
    <row r="729" spans="2:6" s="74" customFormat="1" ht="24" customHeight="1">
      <c r="B729" s="435" t="s">
        <v>655</v>
      </c>
      <c r="C729" s="436"/>
      <c r="D729" s="437"/>
      <c r="E729" s="82">
        <f>SUM(E720:E728)</f>
        <v>6100</v>
      </c>
      <c r="F729" s="83">
        <f>+'Tổng,SUMMARY'!$Q$160</f>
        <v>6100</v>
      </c>
    </row>
    <row r="730" spans="2:6">
      <c r="B730" s="431" t="s">
        <v>102</v>
      </c>
      <c r="C730" s="431" t="s">
        <v>101</v>
      </c>
      <c r="D730" s="80" t="s">
        <v>678</v>
      </c>
      <c r="E730" s="81">
        <v>2800</v>
      </c>
    </row>
    <row r="731" spans="2:6">
      <c r="B731" s="432"/>
      <c r="C731" s="432"/>
      <c r="D731" s="80" t="s">
        <v>1101</v>
      </c>
      <c r="E731" s="81"/>
    </row>
    <row r="732" spans="2:6">
      <c r="B732" s="432"/>
      <c r="C732" s="432"/>
      <c r="D732" s="80"/>
      <c r="E732" s="81"/>
    </row>
    <row r="733" spans="2:6">
      <c r="B733" s="432"/>
      <c r="C733" s="432"/>
      <c r="D733" s="80"/>
      <c r="E733" s="81"/>
    </row>
    <row r="734" spans="2:6">
      <c r="B734" s="432"/>
      <c r="C734" s="432"/>
      <c r="D734" s="80"/>
      <c r="E734" s="81"/>
    </row>
    <row r="735" spans="2:6">
      <c r="B735" s="432"/>
      <c r="C735" s="432"/>
      <c r="D735" s="80"/>
      <c r="E735" s="81"/>
    </row>
    <row r="736" spans="2:6">
      <c r="B736" s="432"/>
      <c r="C736" s="432"/>
      <c r="D736" s="80"/>
      <c r="E736" s="81"/>
    </row>
    <row r="737" spans="2:5">
      <c r="B737" s="432"/>
      <c r="C737" s="432"/>
      <c r="D737" s="80"/>
      <c r="E737" s="81"/>
    </row>
    <row r="738" spans="2:5">
      <c r="B738" s="432"/>
      <c r="C738" s="432"/>
      <c r="D738" s="80"/>
      <c r="E738" s="81"/>
    </row>
    <row r="739" spans="2:5">
      <c r="B739" s="432"/>
      <c r="C739" s="432"/>
      <c r="D739" s="80"/>
      <c r="E739" s="81"/>
    </row>
    <row r="740" spans="2:5">
      <c r="B740" s="432"/>
      <c r="C740" s="432"/>
      <c r="D740" s="80"/>
      <c r="E740" s="81"/>
    </row>
    <row r="741" spans="2:5">
      <c r="B741" s="432"/>
      <c r="C741" s="432"/>
      <c r="D741" s="80"/>
      <c r="E741" s="81"/>
    </row>
    <row r="742" spans="2:5">
      <c r="B742" s="432"/>
      <c r="C742" s="432"/>
      <c r="D742" s="80"/>
      <c r="E742" s="81"/>
    </row>
    <row r="743" spans="2:5">
      <c r="B743" s="432"/>
      <c r="C743" s="432"/>
      <c r="D743" s="80"/>
      <c r="E743" s="81"/>
    </row>
    <row r="744" spans="2:5">
      <c r="B744" s="432"/>
      <c r="C744" s="432"/>
      <c r="D744" s="80"/>
      <c r="E744" s="81"/>
    </row>
    <row r="745" spans="2:5">
      <c r="B745" s="432"/>
      <c r="C745" s="432"/>
      <c r="D745" s="80"/>
      <c r="E745" s="81"/>
    </row>
    <row r="746" spans="2:5">
      <c r="B746" s="432"/>
      <c r="C746" s="432"/>
      <c r="D746" s="80"/>
      <c r="E746" s="81"/>
    </row>
    <row r="747" spans="2:5">
      <c r="B747" s="432"/>
      <c r="C747" s="432"/>
      <c r="D747" s="80"/>
      <c r="E747" s="81"/>
    </row>
    <row r="748" spans="2:5">
      <c r="B748" s="432"/>
      <c r="C748" s="432"/>
      <c r="D748" s="80"/>
      <c r="E748" s="81"/>
    </row>
    <row r="749" spans="2:5">
      <c r="B749" s="432"/>
      <c r="C749" s="432"/>
      <c r="D749" s="80"/>
      <c r="E749" s="81"/>
    </row>
    <row r="750" spans="2:5">
      <c r="B750" s="432"/>
      <c r="C750" s="432"/>
      <c r="D750" s="80"/>
      <c r="E750" s="81"/>
    </row>
    <row r="751" spans="2:5">
      <c r="B751" s="432"/>
      <c r="C751" s="432"/>
      <c r="D751" s="80"/>
      <c r="E751" s="81"/>
    </row>
    <row r="752" spans="2:5">
      <c r="B752" s="432"/>
      <c r="C752" s="432"/>
      <c r="D752" s="80"/>
      <c r="E752" s="81"/>
    </row>
    <row r="753" spans="2:7">
      <c r="B753" s="432"/>
      <c r="C753" s="432"/>
      <c r="D753" s="80"/>
      <c r="E753" s="81"/>
    </row>
    <row r="754" spans="2:7">
      <c r="B754" s="433"/>
      <c r="C754" s="433"/>
      <c r="D754" s="80"/>
      <c r="E754" s="81"/>
    </row>
    <row r="755" spans="2:7" s="74" customFormat="1" ht="24" customHeight="1">
      <c r="B755" s="435" t="s">
        <v>655</v>
      </c>
      <c r="C755" s="436"/>
      <c r="D755" s="437"/>
      <c r="E755" s="82">
        <f>SUM(E730:E754)</f>
        <v>2800</v>
      </c>
      <c r="F755" s="83">
        <f>+'Tổng,SUMMARY'!$Q$247</f>
        <v>2800</v>
      </c>
      <c r="G755" s="84">
        <f>+F755-E755</f>
        <v>0</v>
      </c>
    </row>
    <row r="756" spans="2:7">
      <c r="B756" s="431" t="s">
        <v>409</v>
      </c>
      <c r="C756" s="431" t="s">
        <v>410</v>
      </c>
      <c r="D756" s="80"/>
      <c r="E756" s="81"/>
    </row>
    <row r="757" spans="2:7">
      <c r="B757" s="432"/>
      <c r="C757" s="432"/>
      <c r="D757" s="80"/>
      <c r="E757" s="81"/>
    </row>
    <row r="758" spans="2:7">
      <c r="B758" s="432"/>
      <c r="C758" s="432"/>
      <c r="D758" s="80"/>
      <c r="E758" s="81"/>
    </row>
    <row r="759" spans="2:7">
      <c r="B759" s="432"/>
      <c r="C759" s="432"/>
      <c r="D759" s="80"/>
      <c r="E759" s="81"/>
    </row>
    <row r="760" spans="2:7">
      <c r="B760" s="432"/>
      <c r="C760" s="432"/>
      <c r="D760" s="80" t="s">
        <v>1024</v>
      </c>
      <c r="E760" s="81">
        <v>500</v>
      </c>
    </row>
    <row r="761" spans="2:7">
      <c r="B761" s="432"/>
      <c r="C761" s="432"/>
      <c r="D761" s="80"/>
      <c r="E761" s="81"/>
    </row>
    <row r="762" spans="2:7">
      <c r="B762" s="432"/>
      <c r="C762" s="432"/>
      <c r="D762" s="80"/>
      <c r="E762" s="81"/>
    </row>
    <row r="763" spans="2:7">
      <c r="B763" s="433"/>
      <c r="C763" s="433"/>
      <c r="D763" s="80"/>
      <c r="E763" s="81"/>
    </row>
    <row r="764" spans="2:7" s="74" customFormat="1" ht="24" customHeight="1">
      <c r="B764" s="435" t="s">
        <v>655</v>
      </c>
      <c r="C764" s="436"/>
      <c r="D764" s="437"/>
      <c r="E764" s="82">
        <f>SUM(E756:E763)</f>
        <v>500</v>
      </c>
      <c r="F764" s="83">
        <f>+'Tổng,SUMMARY'!$Q$65</f>
        <v>500</v>
      </c>
    </row>
    <row r="765" spans="2:7">
      <c r="B765" s="431" t="s">
        <v>151</v>
      </c>
      <c r="C765" s="431" t="s">
        <v>152</v>
      </c>
      <c r="D765" s="80" t="s">
        <v>678</v>
      </c>
      <c r="E765" s="81">
        <v>300</v>
      </c>
    </row>
    <row r="766" spans="2:7">
      <c r="B766" s="432"/>
      <c r="C766" s="432"/>
      <c r="D766" s="80" t="s">
        <v>732</v>
      </c>
      <c r="E766" s="81">
        <v>1150</v>
      </c>
    </row>
    <row r="767" spans="2:7">
      <c r="B767" s="432"/>
      <c r="C767" s="432"/>
      <c r="D767" s="80" t="s">
        <v>733</v>
      </c>
      <c r="E767" s="81">
        <v>200</v>
      </c>
    </row>
    <row r="768" spans="2:7">
      <c r="B768" s="432"/>
      <c r="C768" s="432"/>
      <c r="D768" s="80"/>
      <c r="E768" s="81"/>
    </row>
    <row r="769" spans="2:6">
      <c r="B769" s="432"/>
      <c r="C769" s="432"/>
      <c r="D769" s="80"/>
      <c r="E769" s="81"/>
    </row>
    <row r="770" spans="2:6">
      <c r="B770" s="432"/>
      <c r="C770" s="432"/>
      <c r="D770" s="80"/>
      <c r="E770" s="81"/>
    </row>
    <row r="771" spans="2:6">
      <c r="B771" s="432"/>
      <c r="C771" s="432"/>
      <c r="D771" s="80"/>
      <c r="E771" s="81"/>
    </row>
    <row r="772" spans="2:6">
      <c r="B772" s="432"/>
      <c r="C772" s="432"/>
      <c r="D772" s="80"/>
      <c r="E772" s="81"/>
    </row>
    <row r="773" spans="2:6">
      <c r="B773" s="432"/>
      <c r="C773" s="432"/>
      <c r="D773" s="80"/>
      <c r="E773" s="81"/>
    </row>
    <row r="774" spans="2:6">
      <c r="B774" s="433"/>
      <c r="C774" s="433"/>
      <c r="D774" s="80"/>
      <c r="E774" s="81"/>
    </row>
    <row r="775" spans="2:6" s="74" customFormat="1" ht="24" customHeight="1">
      <c r="B775" s="435" t="s">
        <v>655</v>
      </c>
      <c r="C775" s="436"/>
      <c r="D775" s="437"/>
      <c r="E775" s="82">
        <f>SUM(E765:E774)</f>
        <v>1650</v>
      </c>
      <c r="F775" s="83" t="e">
        <f>+VLOOKUP(B770,'Tổng,SUMMARY'!C:Q,15,0)</f>
        <v>#N/A</v>
      </c>
    </row>
    <row r="776" spans="2:6">
      <c r="B776" s="431" t="s">
        <v>407</v>
      </c>
      <c r="C776" s="431" t="s">
        <v>408</v>
      </c>
      <c r="D776" s="80" t="s">
        <v>718</v>
      </c>
      <c r="E776" s="81">
        <v>500</v>
      </c>
    </row>
    <row r="777" spans="2:6">
      <c r="B777" s="432"/>
      <c r="C777" s="432"/>
      <c r="D777" s="80" t="s">
        <v>734</v>
      </c>
      <c r="E777" s="81">
        <v>150</v>
      </c>
    </row>
    <row r="778" spans="2:6">
      <c r="B778" s="432"/>
      <c r="C778" s="432"/>
      <c r="D778" s="80" t="s">
        <v>735</v>
      </c>
      <c r="E778" s="81">
        <f>1150-550</f>
        <v>600</v>
      </c>
    </row>
    <row r="779" spans="2:6">
      <c r="B779" s="432"/>
      <c r="C779" s="432"/>
      <c r="D779" s="80" t="s">
        <v>736</v>
      </c>
      <c r="E779" s="81">
        <v>550</v>
      </c>
    </row>
    <row r="780" spans="2:6">
      <c r="B780" s="432"/>
      <c r="C780" s="432"/>
      <c r="D780" s="80" t="s">
        <v>737</v>
      </c>
      <c r="E780" s="81">
        <v>600</v>
      </c>
    </row>
    <row r="781" spans="2:6">
      <c r="B781" s="432"/>
      <c r="C781" s="432"/>
      <c r="D781" s="80"/>
      <c r="E781" s="81"/>
    </row>
    <row r="782" spans="2:6">
      <c r="B782" s="432"/>
      <c r="C782" s="432"/>
      <c r="D782" s="80"/>
      <c r="E782" s="81"/>
    </row>
    <row r="783" spans="2:6">
      <c r="B783" s="432"/>
      <c r="C783" s="432"/>
      <c r="D783" s="80"/>
      <c r="E783" s="81"/>
    </row>
    <row r="784" spans="2:6">
      <c r="B784" s="433"/>
      <c r="C784" s="433"/>
      <c r="D784" s="80"/>
      <c r="E784" s="81"/>
    </row>
    <row r="785" spans="2:6" s="74" customFormat="1" ht="24" customHeight="1">
      <c r="B785" s="435" t="s">
        <v>655</v>
      </c>
      <c r="C785" s="436"/>
      <c r="D785" s="437"/>
      <c r="E785" s="82">
        <f>SUM(E776:E784)</f>
        <v>2400</v>
      </c>
      <c r="F785" s="83">
        <f>+'Tổng,SUMMARY'!$Q$96</f>
        <v>2400</v>
      </c>
    </row>
    <row r="786" spans="2:6">
      <c r="B786" s="431" t="s">
        <v>71</v>
      </c>
      <c r="C786" s="431" t="s">
        <v>72</v>
      </c>
      <c r="D786" s="80"/>
      <c r="E786" s="81"/>
    </row>
    <row r="787" spans="2:6">
      <c r="B787" s="432"/>
      <c r="C787" s="432"/>
      <c r="D787" s="80"/>
      <c r="E787" s="81"/>
    </row>
    <row r="788" spans="2:6">
      <c r="B788" s="432"/>
      <c r="C788" s="432"/>
      <c r="D788" s="80" t="s">
        <v>738</v>
      </c>
      <c r="E788" s="81">
        <f>1150-650</f>
        <v>500</v>
      </c>
    </row>
    <row r="789" spans="2:6">
      <c r="B789" s="432"/>
      <c r="C789" s="432"/>
      <c r="D789" s="80"/>
      <c r="E789" s="81"/>
    </row>
    <row r="790" spans="2:6">
      <c r="B790" s="432"/>
      <c r="C790" s="432"/>
      <c r="D790" s="80"/>
      <c r="E790" s="81"/>
    </row>
    <row r="791" spans="2:6">
      <c r="B791" s="432"/>
      <c r="C791" s="432"/>
      <c r="D791" s="80"/>
      <c r="E791" s="81"/>
    </row>
    <row r="792" spans="2:6">
      <c r="B792" s="432"/>
      <c r="C792" s="432"/>
      <c r="D792" s="80"/>
      <c r="E792" s="81"/>
    </row>
    <row r="793" spans="2:6">
      <c r="B793" s="432"/>
      <c r="C793" s="432"/>
      <c r="D793" s="80"/>
      <c r="E793" s="81"/>
    </row>
    <row r="794" spans="2:6">
      <c r="B794" s="432"/>
      <c r="C794" s="432"/>
      <c r="D794" s="80"/>
      <c r="E794" s="81"/>
    </row>
    <row r="795" spans="2:6">
      <c r="B795" s="433"/>
      <c r="C795" s="433"/>
      <c r="D795" s="80"/>
      <c r="E795" s="81"/>
    </row>
    <row r="796" spans="2:6" s="74" customFormat="1" ht="24" customHeight="1">
      <c r="B796" s="435" t="s">
        <v>655</v>
      </c>
      <c r="C796" s="436"/>
      <c r="D796" s="437"/>
      <c r="E796" s="82">
        <f>SUM(E786:E795)</f>
        <v>500</v>
      </c>
      <c r="F796" s="83" t="e">
        <f>+VLOOKUP(B791,'Tổng,SUMMARY'!C:Q,15,0)</f>
        <v>#N/A</v>
      </c>
    </row>
    <row r="797" spans="2:6">
      <c r="B797" s="431" t="s">
        <v>241</v>
      </c>
      <c r="C797" s="431" t="s">
        <v>242</v>
      </c>
      <c r="D797" s="80" t="s">
        <v>739</v>
      </c>
      <c r="E797" s="81">
        <v>1200</v>
      </c>
    </row>
    <row r="798" spans="2:6">
      <c r="B798" s="432"/>
      <c r="C798" s="432"/>
      <c r="D798" s="80" t="s">
        <v>740</v>
      </c>
      <c r="E798" s="81">
        <v>1200</v>
      </c>
    </row>
    <row r="799" spans="2:6">
      <c r="B799" s="432"/>
      <c r="C799" s="432"/>
      <c r="D799" s="80" t="s">
        <v>741</v>
      </c>
      <c r="E799" s="81">
        <v>1200</v>
      </c>
    </row>
    <row r="800" spans="2:6">
      <c r="B800" s="432"/>
      <c r="C800" s="432"/>
      <c r="D800" s="80"/>
      <c r="E800" s="81"/>
    </row>
    <row r="801" spans="2:6">
      <c r="B801" s="432"/>
      <c r="C801" s="432"/>
      <c r="D801" s="80"/>
      <c r="E801" s="81"/>
    </row>
    <row r="802" spans="2:6">
      <c r="B802" s="432"/>
      <c r="C802" s="432"/>
      <c r="D802" s="80"/>
      <c r="E802" s="81"/>
    </row>
    <row r="803" spans="2:6">
      <c r="B803" s="432"/>
      <c r="C803" s="432"/>
      <c r="D803" s="80"/>
      <c r="E803" s="81"/>
    </row>
    <row r="804" spans="2:6">
      <c r="B804" s="432"/>
      <c r="C804" s="432"/>
      <c r="D804" s="80"/>
      <c r="E804" s="81"/>
    </row>
    <row r="805" spans="2:6">
      <c r="B805" s="433"/>
      <c r="C805" s="433"/>
      <c r="D805" s="80"/>
      <c r="E805" s="81"/>
    </row>
    <row r="806" spans="2:6" s="74" customFormat="1" ht="24" customHeight="1">
      <c r="B806" s="435" t="s">
        <v>655</v>
      </c>
      <c r="C806" s="436"/>
      <c r="D806" s="437"/>
      <c r="E806" s="82">
        <f>SUM(E797:E805)</f>
        <v>3600</v>
      </c>
      <c r="F806" s="83" t="e">
        <f>+VLOOKUP(B801,'Tổng,SUMMARY'!C:Q,15,0)</f>
        <v>#N/A</v>
      </c>
    </row>
    <row r="807" spans="2:6">
      <c r="B807" s="431" t="s">
        <v>294</v>
      </c>
      <c r="C807" s="431" t="s">
        <v>295</v>
      </c>
      <c r="D807" s="80"/>
      <c r="E807" s="81"/>
    </row>
    <row r="808" spans="2:6">
      <c r="B808" s="432"/>
      <c r="C808" s="432"/>
      <c r="D808" s="80" t="s">
        <v>742</v>
      </c>
      <c r="E808" s="81">
        <v>150</v>
      </c>
    </row>
    <row r="809" spans="2:6">
      <c r="B809" s="432"/>
      <c r="C809" s="432"/>
      <c r="D809" s="80" t="s">
        <v>743</v>
      </c>
      <c r="E809" s="81">
        <v>400</v>
      </c>
    </row>
    <row r="810" spans="2:6">
      <c r="B810" s="432"/>
      <c r="C810" s="432"/>
      <c r="D810" s="80" t="s">
        <v>744</v>
      </c>
      <c r="E810" s="81">
        <v>950</v>
      </c>
    </row>
    <row r="811" spans="2:6">
      <c r="B811" s="432"/>
      <c r="C811" s="432"/>
      <c r="D811" s="80" t="s">
        <v>745</v>
      </c>
      <c r="E811" s="81">
        <v>300</v>
      </c>
    </row>
    <row r="812" spans="2:6">
      <c r="B812" s="432"/>
      <c r="C812" s="432"/>
      <c r="D812" s="80" t="s">
        <v>803</v>
      </c>
      <c r="E812" s="81">
        <v>1250</v>
      </c>
    </row>
    <row r="813" spans="2:6">
      <c r="B813" s="432"/>
      <c r="C813" s="432"/>
      <c r="D813" s="80" t="s">
        <v>995</v>
      </c>
      <c r="E813" s="81">
        <v>650</v>
      </c>
    </row>
    <row r="814" spans="2:6">
      <c r="B814" s="432"/>
      <c r="C814" s="432"/>
      <c r="D814" s="80"/>
      <c r="E814" s="81"/>
    </row>
    <row r="815" spans="2:6">
      <c r="B815" s="432"/>
      <c r="C815" s="432"/>
      <c r="D815" s="80"/>
      <c r="E815" s="81"/>
    </row>
    <row r="816" spans="2:6">
      <c r="B816" s="433"/>
      <c r="C816" s="433"/>
      <c r="D816" s="80"/>
      <c r="E816" s="81"/>
    </row>
    <row r="817" spans="2:7" s="74" customFormat="1" ht="24" customHeight="1">
      <c r="B817" s="435" t="s">
        <v>655</v>
      </c>
      <c r="C817" s="436"/>
      <c r="D817" s="437"/>
      <c r="E817" s="82">
        <f>SUM(E807:E816)</f>
        <v>3700</v>
      </c>
      <c r="F817" s="83">
        <f>+'Tổng,SUMMARY'!$Q$137</f>
        <v>3700</v>
      </c>
      <c r="G817" s="84">
        <f>+F817-E817</f>
        <v>0</v>
      </c>
    </row>
    <row r="818" spans="2:7">
      <c r="B818" s="431" t="s">
        <v>892</v>
      </c>
      <c r="C818" s="431" t="s">
        <v>894</v>
      </c>
      <c r="D818" s="80" t="s">
        <v>896</v>
      </c>
      <c r="E818" s="81">
        <v>1200</v>
      </c>
    </row>
    <row r="819" spans="2:7">
      <c r="B819" s="432"/>
      <c r="C819" s="432"/>
      <c r="D819" s="80" t="s">
        <v>897</v>
      </c>
      <c r="E819" s="81">
        <v>1200</v>
      </c>
    </row>
    <row r="820" spans="2:7">
      <c r="B820" s="432"/>
      <c r="C820" s="432"/>
      <c r="D820" s="80" t="s">
        <v>907</v>
      </c>
      <c r="E820" s="81">
        <v>1200</v>
      </c>
    </row>
    <row r="821" spans="2:7">
      <c r="B821" s="432"/>
      <c r="C821" s="432"/>
      <c r="D821" s="80" t="s">
        <v>925</v>
      </c>
      <c r="E821" s="81">
        <v>1200</v>
      </c>
    </row>
    <row r="822" spans="2:7">
      <c r="B822" s="432"/>
      <c r="C822" s="432"/>
      <c r="D822" s="80" t="s">
        <v>926</v>
      </c>
      <c r="E822" s="81">
        <v>850</v>
      </c>
    </row>
    <row r="823" spans="2:7">
      <c r="B823" s="432"/>
      <c r="C823" s="432"/>
      <c r="D823" s="80" t="s">
        <v>938</v>
      </c>
      <c r="E823" s="81">
        <v>1200</v>
      </c>
    </row>
    <row r="824" spans="2:7">
      <c r="B824" s="432"/>
      <c r="C824" s="432"/>
      <c r="D824" s="80" t="s">
        <v>950</v>
      </c>
      <c r="E824" s="81">
        <v>1200</v>
      </c>
    </row>
    <row r="825" spans="2:7">
      <c r="B825" s="432"/>
      <c r="C825" s="432"/>
      <c r="D825" s="80" t="s">
        <v>951</v>
      </c>
      <c r="E825" s="81">
        <v>400</v>
      </c>
    </row>
    <row r="826" spans="2:7">
      <c r="B826" s="433"/>
      <c r="C826" s="433"/>
      <c r="D826" s="80"/>
      <c r="E826" s="81"/>
    </row>
    <row r="827" spans="2:7" s="74" customFormat="1" ht="24" customHeight="1">
      <c r="B827" s="435" t="s">
        <v>655</v>
      </c>
      <c r="C827" s="436"/>
      <c r="D827" s="437"/>
      <c r="E827" s="82">
        <f>SUM(E818:E826)</f>
        <v>8450</v>
      </c>
      <c r="F827" s="83">
        <f>+'Tổng,SUMMARY'!$Q$19</f>
        <v>4950</v>
      </c>
    </row>
    <row r="828" spans="2:7">
      <c r="B828" s="431" t="s">
        <v>96</v>
      </c>
      <c r="C828" s="431" t="s">
        <v>97</v>
      </c>
      <c r="D828" s="80"/>
      <c r="E828" s="81"/>
    </row>
    <row r="829" spans="2:7">
      <c r="B829" s="432"/>
      <c r="C829" s="432"/>
      <c r="D829" s="80"/>
      <c r="E829" s="81"/>
    </row>
    <row r="830" spans="2:7">
      <c r="B830" s="432"/>
      <c r="C830" s="432"/>
      <c r="D830" s="80"/>
      <c r="E830" s="81"/>
    </row>
    <row r="831" spans="2:7">
      <c r="B831" s="432"/>
      <c r="C831" s="432"/>
      <c r="D831" s="80"/>
      <c r="E831" s="81"/>
    </row>
    <row r="832" spans="2:7">
      <c r="B832" s="432"/>
      <c r="C832" s="432"/>
      <c r="D832" s="80" t="s">
        <v>901</v>
      </c>
      <c r="E832" s="81">
        <v>500</v>
      </c>
    </row>
    <row r="833" spans="2:7">
      <c r="B833" s="432"/>
      <c r="C833" s="432"/>
      <c r="D833" s="80"/>
      <c r="E833" s="81"/>
    </row>
    <row r="834" spans="2:7">
      <c r="B834" s="432"/>
      <c r="C834" s="432"/>
      <c r="D834" s="80"/>
      <c r="E834" s="81"/>
    </row>
    <row r="835" spans="2:7">
      <c r="B835" s="432"/>
      <c r="C835" s="432"/>
      <c r="D835" s="80"/>
      <c r="E835" s="81"/>
    </row>
    <row r="836" spans="2:7">
      <c r="B836" s="433"/>
      <c r="C836" s="433"/>
      <c r="D836" s="80"/>
      <c r="E836" s="81"/>
    </row>
    <row r="837" spans="2:7" s="74" customFormat="1" ht="24" customHeight="1">
      <c r="B837" s="435" t="s">
        <v>655</v>
      </c>
      <c r="C837" s="436"/>
      <c r="D837" s="437"/>
      <c r="E837" s="82">
        <f>SUM(E828:E836)</f>
        <v>500</v>
      </c>
      <c r="F837" s="83">
        <f>+'Tổng,SUMMARY'!$Q$132</f>
        <v>500</v>
      </c>
      <c r="G837" s="84">
        <f>+F837-E837</f>
        <v>0</v>
      </c>
    </row>
    <row r="838" spans="2:7">
      <c r="B838" s="438" t="s">
        <v>279</v>
      </c>
      <c r="C838" s="438" t="s">
        <v>280</v>
      </c>
      <c r="D838" s="90"/>
      <c r="E838" s="81"/>
    </row>
    <row r="839" spans="2:7">
      <c r="B839" s="438"/>
      <c r="C839" s="438"/>
      <c r="D839" s="90" t="s">
        <v>746</v>
      </c>
      <c r="E839" s="81">
        <f>1200-150</f>
        <v>1050</v>
      </c>
    </row>
    <row r="840" spans="2:7">
      <c r="B840" s="438"/>
      <c r="C840" s="438"/>
      <c r="D840" s="90" t="s">
        <v>747</v>
      </c>
      <c r="E840" s="81">
        <v>500</v>
      </c>
    </row>
    <row r="841" spans="2:7">
      <c r="B841" s="438"/>
      <c r="C841" s="438"/>
      <c r="D841" s="90" t="s">
        <v>748</v>
      </c>
      <c r="E841" s="81">
        <f>1200-350</f>
        <v>850</v>
      </c>
    </row>
    <row r="842" spans="2:7">
      <c r="B842" s="438"/>
      <c r="C842" s="438"/>
      <c r="D842" s="90"/>
      <c r="E842" s="81"/>
    </row>
    <row r="843" spans="2:7">
      <c r="B843" s="438"/>
      <c r="C843" s="438"/>
      <c r="D843" s="80"/>
      <c r="E843" s="81"/>
    </row>
    <row r="844" spans="2:7">
      <c r="B844" s="438"/>
      <c r="C844" s="438"/>
      <c r="D844" s="80"/>
      <c r="E844" s="81"/>
    </row>
    <row r="845" spans="2:7">
      <c r="B845" s="438"/>
      <c r="C845" s="438"/>
      <c r="D845" s="80"/>
      <c r="E845" s="81"/>
    </row>
    <row r="846" spans="2:7">
      <c r="B846" s="438"/>
      <c r="C846" s="438"/>
      <c r="D846" s="80"/>
      <c r="E846" s="81"/>
    </row>
    <row r="847" spans="2:7" s="74" customFormat="1" ht="24" customHeight="1">
      <c r="B847" s="435" t="s">
        <v>655</v>
      </c>
      <c r="C847" s="436"/>
      <c r="D847" s="437"/>
      <c r="E847" s="82">
        <f>SUM(E838:E846)</f>
        <v>2400</v>
      </c>
      <c r="F847" s="83" t="e">
        <f>+VLOOKUP(B842,'Tổng,SUMMARY'!C:Q,15,0)</f>
        <v>#N/A</v>
      </c>
    </row>
    <row r="848" spans="2:7">
      <c r="B848" s="438" t="s">
        <v>46</v>
      </c>
      <c r="C848" s="438" t="s">
        <v>1109</v>
      </c>
      <c r="D848" s="90" t="s">
        <v>1246</v>
      </c>
      <c r="E848" s="81">
        <v>1100</v>
      </c>
    </row>
    <row r="849" spans="2:7">
      <c r="B849" s="438"/>
      <c r="C849" s="438"/>
      <c r="D849" s="80" t="s">
        <v>1498</v>
      </c>
      <c r="E849" s="81">
        <v>1200</v>
      </c>
    </row>
    <row r="850" spans="2:7">
      <c r="B850" s="438"/>
      <c r="C850" s="438"/>
      <c r="D850" s="80" t="s">
        <v>1244</v>
      </c>
      <c r="E850" s="81">
        <v>550</v>
      </c>
    </row>
    <row r="851" spans="2:7">
      <c r="B851" s="438"/>
      <c r="C851" s="438"/>
      <c r="D851" s="80"/>
      <c r="E851" s="81"/>
    </row>
    <row r="852" spans="2:7">
      <c r="B852" s="438"/>
      <c r="C852" s="438"/>
      <c r="D852" s="80"/>
      <c r="E852" s="81"/>
    </row>
    <row r="853" spans="2:7">
      <c r="B853" s="438"/>
      <c r="C853" s="438"/>
      <c r="D853" s="80"/>
      <c r="E853" s="81"/>
    </row>
    <row r="854" spans="2:7">
      <c r="B854" s="438"/>
      <c r="C854" s="438"/>
      <c r="D854" s="80" t="s">
        <v>929</v>
      </c>
      <c r="E854" s="81">
        <v>150</v>
      </c>
    </row>
    <row r="855" spans="2:7">
      <c r="B855" s="438"/>
      <c r="C855" s="438"/>
      <c r="D855" s="80" t="s">
        <v>930</v>
      </c>
      <c r="E855" s="81">
        <v>600</v>
      </c>
    </row>
    <row r="856" spans="2:7">
      <c r="B856" s="438"/>
      <c r="C856" s="438"/>
      <c r="D856" s="80"/>
      <c r="E856" s="81"/>
    </row>
    <row r="857" spans="2:7">
      <c r="B857" s="438"/>
      <c r="C857" s="438"/>
      <c r="D857" s="80"/>
      <c r="E857" s="81"/>
    </row>
    <row r="858" spans="2:7">
      <c r="B858" s="438"/>
      <c r="C858" s="438"/>
      <c r="D858" s="80"/>
      <c r="E858" s="81"/>
    </row>
    <row r="859" spans="2:7">
      <c r="B859" s="438"/>
      <c r="C859" s="438"/>
      <c r="D859" s="80"/>
      <c r="E859" s="81"/>
    </row>
    <row r="860" spans="2:7">
      <c r="B860" s="438"/>
      <c r="C860" s="438"/>
      <c r="D860" s="80"/>
      <c r="E860" s="81"/>
    </row>
    <row r="861" spans="2:7">
      <c r="B861" s="438"/>
      <c r="C861" s="438"/>
      <c r="D861" s="80"/>
      <c r="E861" s="81"/>
    </row>
    <row r="862" spans="2:7">
      <c r="B862" s="438"/>
      <c r="C862" s="438"/>
      <c r="D862" s="80"/>
      <c r="E862" s="81"/>
    </row>
    <row r="863" spans="2:7" s="74" customFormat="1" ht="24" customHeight="1">
      <c r="B863" s="435" t="s">
        <v>655</v>
      </c>
      <c r="C863" s="436"/>
      <c r="D863" s="437"/>
      <c r="E863" s="82">
        <f>SUM(E848:E862)</f>
        <v>3600</v>
      </c>
      <c r="F863" s="83">
        <f>+'Tổng,SUMMARY'!$Q$21</f>
        <v>3600</v>
      </c>
      <c r="G863" s="84">
        <f>+F863-E863</f>
        <v>0</v>
      </c>
    </row>
    <row r="864" spans="2:7">
      <c r="B864" s="438" t="s">
        <v>1107</v>
      </c>
      <c r="C864" s="438" t="s">
        <v>1110</v>
      </c>
      <c r="D864" s="80" t="s">
        <v>1111</v>
      </c>
      <c r="E864" s="81">
        <v>1750</v>
      </c>
    </row>
    <row r="865" spans="2:7">
      <c r="B865" s="438"/>
      <c r="C865" s="438"/>
      <c r="D865" s="80" t="s">
        <v>1243</v>
      </c>
      <c r="E865" s="81">
        <v>1100</v>
      </c>
    </row>
    <row r="866" spans="2:7">
      <c r="B866" s="438"/>
      <c r="C866" s="438"/>
      <c r="D866" s="80" t="s">
        <v>1244</v>
      </c>
      <c r="E866" s="81">
        <v>1200</v>
      </c>
    </row>
    <row r="867" spans="2:7">
      <c r="B867" s="438"/>
      <c r="C867" s="438"/>
      <c r="D867" s="80" t="s">
        <v>1245</v>
      </c>
      <c r="E867" s="81">
        <v>1200</v>
      </c>
    </row>
    <row r="868" spans="2:7">
      <c r="B868" s="438"/>
      <c r="C868" s="438"/>
      <c r="D868" s="80" t="s">
        <v>1246</v>
      </c>
      <c r="E868" s="81">
        <v>100</v>
      </c>
    </row>
    <row r="869" spans="2:7">
      <c r="B869" s="438"/>
      <c r="C869" s="438"/>
      <c r="D869" s="90"/>
      <c r="E869" s="81"/>
    </row>
    <row r="870" spans="2:7">
      <c r="B870" s="438"/>
      <c r="C870" s="438"/>
      <c r="D870" s="90"/>
      <c r="E870" s="81"/>
    </row>
    <row r="871" spans="2:7">
      <c r="B871" s="438"/>
      <c r="C871" s="438"/>
      <c r="D871" s="90"/>
      <c r="E871" s="81"/>
    </row>
    <row r="872" spans="2:7">
      <c r="B872" s="438"/>
      <c r="C872" s="438"/>
      <c r="D872" s="90"/>
      <c r="E872" s="81"/>
    </row>
    <row r="873" spans="2:7">
      <c r="B873" s="438"/>
      <c r="C873" s="438"/>
      <c r="D873" s="80"/>
      <c r="E873" s="81"/>
    </row>
    <row r="874" spans="2:7">
      <c r="B874" s="438"/>
      <c r="C874" s="438"/>
      <c r="D874" s="80"/>
      <c r="E874" s="81"/>
    </row>
    <row r="875" spans="2:7" s="74" customFormat="1" ht="24" customHeight="1">
      <c r="B875" s="435" t="s">
        <v>655</v>
      </c>
      <c r="C875" s="436"/>
      <c r="D875" s="437"/>
      <c r="E875" s="82">
        <f>SUM(E864:E874)</f>
        <v>5350</v>
      </c>
      <c r="F875" s="83">
        <f>+'Tổng,SUMMARY'!$Q$22</f>
        <v>5350</v>
      </c>
      <c r="G875" s="84"/>
    </row>
    <row r="876" spans="2:7">
      <c r="B876" s="438" t="s">
        <v>32</v>
      </c>
      <c r="C876" s="438" t="s">
        <v>33</v>
      </c>
      <c r="D876" s="80" t="s">
        <v>749</v>
      </c>
      <c r="E876" s="81">
        <v>120</v>
      </c>
    </row>
    <row r="877" spans="2:7">
      <c r="B877" s="438"/>
      <c r="C877" s="438"/>
      <c r="D877" s="90"/>
      <c r="E877" s="81"/>
    </row>
    <row r="878" spans="2:7">
      <c r="B878" s="438"/>
      <c r="C878" s="438"/>
      <c r="D878" s="90"/>
      <c r="E878" s="81"/>
    </row>
    <row r="879" spans="2:7">
      <c r="B879" s="438"/>
      <c r="C879" s="438"/>
      <c r="D879" s="90"/>
      <c r="E879" s="81"/>
    </row>
    <row r="880" spans="2:7">
      <c r="B880" s="438"/>
      <c r="C880" s="438"/>
      <c r="D880" s="90"/>
      <c r="E880" s="81"/>
    </row>
    <row r="881" spans="2:7">
      <c r="B881" s="438"/>
      <c r="C881" s="438"/>
      <c r="D881" s="90"/>
      <c r="E881" s="81"/>
    </row>
    <row r="882" spans="2:7">
      <c r="B882" s="438"/>
      <c r="C882" s="438"/>
      <c r="D882" s="90"/>
      <c r="E882" s="81"/>
    </row>
    <row r="883" spans="2:7">
      <c r="B883" s="438"/>
      <c r="C883" s="438"/>
      <c r="D883" s="90"/>
      <c r="E883" s="81"/>
    </row>
    <row r="884" spans="2:7">
      <c r="B884" s="438"/>
      <c r="C884" s="438"/>
      <c r="D884" s="90"/>
      <c r="E884" s="81"/>
    </row>
    <row r="885" spans="2:7">
      <c r="B885" s="438"/>
      <c r="C885" s="438"/>
      <c r="D885" s="80"/>
      <c r="E885" s="81"/>
    </row>
    <row r="886" spans="2:7">
      <c r="B886" s="438"/>
      <c r="C886" s="438"/>
      <c r="D886" s="80"/>
      <c r="E886" s="81"/>
    </row>
    <row r="887" spans="2:7" s="74" customFormat="1" ht="24" customHeight="1">
      <c r="B887" s="435" t="s">
        <v>655</v>
      </c>
      <c r="C887" s="436"/>
      <c r="D887" s="437"/>
      <c r="E887" s="82">
        <f>SUM(E876:E886)</f>
        <v>120</v>
      </c>
      <c r="F887" s="83">
        <f>+'Tổng,SUMMARY'!$Q$260</f>
        <v>0</v>
      </c>
      <c r="G887" s="84"/>
    </row>
    <row r="888" spans="2:7">
      <c r="B888" s="438" t="s">
        <v>143</v>
      </c>
      <c r="C888" s="438" t="s">
        <v>144</v>
      </c>
      <c r="D888" s="90"/>
      <c r="E888" s="81"/>
    </row>
    <row r="889" spans="2:7">
      <c r="B889" s="438"/>
      <c r="C889" s="438"/>
      <c r="D889" s="90" t="s">
        <v>750</v>
      </c>
      <c r="E889" s="81">
        <v>1000</v>
      </c>
    </row>
    <row r="890" spans="2:7">
      <c r="B890" s="438"/>
      <c r="C890" s="438"/>
      <c r="D890" s="90" t="s">
        <v>751</v>
      </c>
      <c r="E890" s="81">
        <v>900</v>
      </c>
    </row>
    <row r="891" spans="2:7">
      <c r="B891" s="438"/>
      <c r="C891" s="438"/>
      <c r="D891" s="90"/>
      <c r="E891" s="81"/>
    </row>
    <row r="892" spans="2:7">
      <c r="B892" s="438"/>
      <c r="C892" s="438"/>
      <c r="D892" s="80"/>
      <c r="E892" s="81"/>
    </row>
    <row r="893" spans="2:7">
      <c r="B893" s="438"/>
      <c r="C893" s="438"/>
      <c r="D893" s="80"/>
      <c r="E893" s="81"/>
    </row>
    <row r="894" spans="2:7">
      <c r="B894" s="438"/>
      <c r="C894" s="438"/>
      <c r="D894" s="80"/>
      <c r="E894" s="81"/>
    </row>
    <row r="895" spans="2:7">
      <c r="B895" s="438"/>
      <c r="C895" s="438"/>
      <c r="D895" s="80"/>
      <c r="E895" s="81"/>
    </row>
    <row r="896" spans="2:7">
      <c r="B896" s="438"/>
      <c r="C896" s="438"/>
      <c r="D896" s="80"/>
      <c r="E896" s="81"/>
    </row>
    <row r="897" spans="2:7" s="74" customFormat="1" ht="24" customHeight="1">
      <c r="B897" s="435" t="s">
        <v>655</v>
      </c>
      <c r="C897" s="436"/>
      <c r="D897" s="437"/>
      <c r="E897" s="82">
        <f>SUM(E888:E896)</f>
        <v>1900</v>
      </c>
      <c r="F897" s="83">
        <f>+'Tổng,SUMMARY'!$Q$178</f>
        <v>1900</v>
      </c>
      <c r="G897" s="84">
        <f>+F897-E897</f>
        <v>0</v>
      </c>
    </row>
    <row r="898" spans="2:7">
      <c r="B898" s="431" t="s">
        <v>884</v>
      </c>
      <c r="C898" s="431" t="s">
        <v>886</v>
      </c>
      <c r="D898" s="90" t="s">
        <v>662</v>
      </c>
      <c r="E898" s="81">
        <v>50</v>
      </c>
    </row>
    <row r="899" spans="2:7">
      <c r="B899" s="432"/>
      <c r="C899" s="432"/>
      <c r="D899" s="80"/>
      <c r="E899" s="81"/>
    </row>
    <row r="900" spans="2:7">
      <c r="B900" s="432"/>
      <c r="C900" s="432"/>
      <c r="D900" s="90"/>
      <c r="E900" s="81"/>
    </row>
    <row r="901" spans="2:7">
      <c r="B901" s="432"/>
      <c r="C901" s="432"/>
      <c r="D901" s="80"/>
      <c r="E901" s="81"/>
    </row>
    <row r="902" spans="2:7">
      <c r="B902" s="432"/>
      <c r="C902" s="432"/>
      <c r="D902" s="80"/>
      <c r="E902" s="81"/>
    </row>
    <row r="903" spans="2:7">
      <c r="B903" s="432"/>
      <c r="C903" s="432"/>
      <c r="D903" s="80"/>
      <c r="E903" s="81"/>
    </row>
    <row r="904" spans="2:7">
      <c r="B904" s="432"/>
      <c r="C904" s="432"/>
      <c r="D904" s="80"/>
      <c r="E904" s="81"/>
    </row>
    <row r="905" spans="2:7">
      <c r="B905" s="432"/>
      <c r="C905" s="432"/>
      <c r="D905" s="80"/>
      <c r="E905" s="81"/>
    </row>
    <row r="906" spans="2:7">
      <c r="B906" s="432"/>
      <c r="C906" s="432"/>
      <c r="D906" s="80"/>
      <c r="E906" s="81"/>
    </row>
    <row r="907" spans="2:7">
      <c r="B907" s="433"/>
      <c r="C907" s="433"/>
      <c r="D907" s="80"/>
      <c r="E907" s="81"/>
      <c r="G907" s="88"/>
    </row>
    <row r="908" spans="2:7" ht="15.75">
      <c r="B908" s="435" t="s">
        <v>655</v>
      </c>
      <c r="C908" s="436"/>
      <c r="D908" s="437"/>
      <c r="E908" s="82">
        <f>SUM(E898:E907)</f>
        <v>50</v>
      </c>
      <c r="F908" s="83">
        <f>+'Tổng,SUMMARY'!$Q$98</f>
        <v>50</v>
      </c>
      <c r="G908" s="88">
        <f>+F908-E908</f>
        <v>0</v>
      </c>
    </row>
    <row r="909" spans="2:7">
      <c r="B909" s="431" t="s">
        <v>259</v>
      </c>
      <c r="C909" s="431" t="s">
        <v>260</v>
      </c>
      <c r="D909" s="90"/>
      <c r="E909" s="81"/>
    </row>
    <row r="910" spans="2:7">
      <c r="B910" s="432"/>
      <c r="C910" s="432"/>
      <c r="D910" s="80" t="s">
        <v>752</v>
      </c>
      <c r="E910" s="81">
        <v>350</v>
      </c>
    </row>
    <row r="911" spans="2:7">
      <c r="B911" s="432"/>
      <c r="C911" s="432"/>
      <c r="D911" s="80"/>
      <c r="E911" s="81"/>
    </row>
    <row r="912" spans="2:7">
      <c r="B912" s="432"/>
      <c r="C912" s="432"/>
      <c r="D912" s="80" t="s">
        <v>967</v>
      </c>
      <c r="E912" s="81">
        <v>250</v>
      </c>
    </row>
    <row r="913" spans="2:7">
      <c r="B913" s="432"/>
      <c r="C913" s="432"/>
      <c r="D913" s="80"/>
      <c r="E913" s="81"/>
    </row>
    <row r="914" spans="2:7">
      <c r="B914" s="433"/>
      <c r="C914" s="433"/>
      <c r="D914" s="80"/>
      <c r="E914" s="81"/>
      <c r="G914" s="88"/>
    </row>
    <row r="915" spans="2:7" ht="15.75">
      <c r="B915" s="435" t="s">
        <v>655</v>
      </c>
      <c r="C915" s="436"/>
      <c r="D915" s="437"/>
      <c r="E915" s="82">
        <f>SUM(E909:E914)</f>
        <v>600</v>
      </c>
      <c r="F915" s="83">
        <f>+'Tổng,SUMMARY'!$Q$25</f>
        <v>600</v>
      </c>
      <c r="G915" s="88">
        <f>+F915-E915</f>
        <v>0</v>
      </c>
    </row>
    <row r="916" spans="2:7">
      <c r="B916" s="431" t="s">
        <v>1356</v>
      </c>
      <c r="C916" s="431" t="s">
        <v>250</v>
      </c>
      <c r="D916" s="90" t="s">
        <v>1150</v>
      </c>
      <c r="E916" s="81">
        <v>100</v>
      </c>
    </row>
    <row r="917" spans="2:7">
      <c r="B917" s="432"/>
      <c r="C917" s="432"/>
      <c r="D917" s="90" t="s">
        <v>1169</v>
      </c>
      <c r="E917" s="81">
        <v>50</v>
      </c>
    </row>
    <row r="918" spans="2:7">
      <c r="B918" s="432"/>
      <c r="C918" s="432"/>
      <c r="D918" s="90" t="s">
        <v>1496</v>
      </c>
      <c r="E918" s="81">
        <v>800</v>
      </c>
    </row>
    <row r="919" spans="2:7">
      <c r="B919" s="432"/>
      <c r="C919" s="432"/>
      <c r="D919" s="80" t="s">
        <v>1497</v>
      </c>
      <c r="E919" s="81">
        <v>1200</v>
      </c>
    </row>
    <row r="920" spans="2:7">
      <c r="B920" s="432"/>
      <c r="C920" s="432"/>
      <c r="D920" s="80"/>
      <c r="E920" s="81"/>
    </row>
    <row r="921" spans="2:7">
      <c r="B921" s="432"/>
      <c r="C921" s="432"/>
      <c r="D921" s="80"/>
      <c r="E921" s="81"/>
    </row>
    <row r="922" spans="2:7">
      <c r="B922" s="432"/>
      <c r="C922" s="432"/>
      <c r="D922" s="80"/>
      <c r="E922" s="81"/>
    </row>
    <row r="923" spans="2:7">
      <c r="B923" s="432"/>
      <c r="C923" s="432"/>
      <c r="D923" s="80"/>
      <c r="E923" s="81"/>
    </row>
    <row r="924" spans="2:7">
      <c r="B924" s="432"/>
      <c r="C924" s="432"/>
      <c r="D924" s="80"/>
      <c r="E924" s="81"/>
    </row>
    <row r="925" spans="2:7">
      <c r="B925" s="432"/>
      <c r="C925" s="432"/>
      <c r="D925" s="80"/>
      <c r="E925" s="81"/>
    </row>
    <row r="926" spans="2:7">
      <c r="B926" s="432"/>
      <c r="C926" s="432"/>
      <c r="D926" s="80"/>
      <c r="E926" s="81"/>
    </row>
    <row r="927" spans="2:7">
      <c r="B927" s="432"/>
      <c r="C927" s="432"/>
      <c r="D927" s="80"/>
      <c r="E927" s="81"/>
    </row>
    <row r="928" spans="2:7">
      <c r="B928" s="432"/>
      <c r="C928" s="432"/>
      <c r="D928" s="80"/>
      <c r="E928" s="81"/>
    </row>
    <row r="929" spans="2:7">
      <c r="B929" s="432"/>
      <c r="C929" s="432"/>
      <c r="D929" s="80"/>
      <c r="E929" s="81"/>
    </row>
    <row r="930" spans="2:7">
      <c r="B930" s="432"/>
      <c r="C930" s="432"/>
      <c r="D930" s="80"/>
      <c r="E930" s="81"/>
    </row>
    <row r="931" spans="2:7">
      <c r="B931" s="433"/>
      <c r="C931" s="433"/>
      <c r="D931" s="80"/>
      <c r="E931" s="81"/>
      <c r="G931" s="88"/>
    </row>
    <row r="932" spans="2:7" ht="15.75">
      <c r="B932" s="435" t="s">
        <v>655</v>
      </c>
      <c r="C932" s="436"/>
      <c r="D932" s="437"/>
      <c r="E932" s="82">
        <f>SUM(E916:E931)</f>
        <v>2150</v>
      </c>
      <c r="F932" s="83">
        <f>+'Tổng,SUMMARY'!$Q$219</f>
        <v>2150</v>
      </c>
      <c r="G932" s="88">
        <f>+F932-E932</f>
        <v>0</v>
      </c>
    </row>
    <row r="933" spans="2:7">
      <c r="B933" s="431" t="s">
        <v>272</v>
      </c>
      <c r="C933" s="431" t="s">
        <v>273</v>
      </c>
      <c r="D933" s="90"/>
      <c r="E933" s="81"/>
    </row>
    <row r="934" spans="2:7">
      <c r="B934" s="432"/>
      <c r="C934" s="432"/>
      <c r="D934" s="90" t="s">
        <v>810</v>
      </c>
      <c r="E934" s="81">
        <v>400</v>
      </c>
    </row>
    <row r="935" spans="2:7">
      <c r="B935" s="432"/>
      <c r="C935" s="432"/>
      <c r="D935" s="90"/>
      <c r="E935" s="81"/>
    </row>
    <row r="936" spans="2:7">
      <c r="B936" s="432"/>
      <c r="C936" s="432"/>
      <c r="D936" s="80"/>
      <c r="E936" s="81"/>
    </row>
    <row r="937" spans="2:7">
      <c r="B937" s="432"/>
      <c r="C937" s="432"/>
      <c r="D937" s="80"/>
      <c r="E937" s="81"/>
    </row>
    <row r="938" spans="2:7">
      <c r="B938" s="432"/>
      <c r="C938" s="432"/>
      <c r="D938" s="80"/>
      <c r="E938" s="81"/>
    </row>
    <row r="939" spans="2:7">
      <c r="B939" s="432"/>
      <c r="C939" s="432"/>
      <c r="D939" s="80"/>
      <c r="E939" s="81"/>
    </row>
    <row r="940" spans="2:7">
      <c r="B940" s="433"/>
      <c r="C940" s="433"/>
      <c r="D940" s="80"/>
      <c r="E940" s="81"/>
      <c r="G940" s="88"/>
    </row>
    <row r="941" spans="2:7" ht="15.75">
      <c r="B941" s="435" t="s">
        <v>655</v>
      </c>
      <c r="C941" s="436"/>
      <c r="D941" s="437"/>
      <c r="E941" s="82">
        <f>SUM(E933:E940)</f>
        <v>400</v>
      </c>
      <c r="F941" s="83">
        <f>+'Tổng,SUMMARY'!$Q$133</f>
        <v>400</v>
      </c>
      <c r="G941" s="88">
        <f>+F941-E941</f>
        <v>0</v>
      </c>
    </row>
    <row r="942" spans="2:7">
      <c r="B942" s="431" t="s">
        <v>431</v>
      </c>
      <c r="C942" s="431" t="s">
        <v>432</v>
      </c>
      <c r="D942" s="80" t="s">
        <v>678</v>
      </c>
      <c r="E942" s="81">
        <v>300</v>
      </c>
    </row>
    <row r="943" spans="2:7">
      <c r="B943" s="432"/>
      <c r="C943" s="432"/>
      <c r="D943" s="80" t="s">
        <v>1162</v>
      </c>
      <c r="E943" s="81">
        <v>1200</v>
      </c>
    </row>
    <row r="944" spans="2:7">
      <c r="B944" s="432"/>
      <c r="C944" s="432"/>
      <c r="D944" s="80" t="s">
        <v>1163</v>
      </c>
      <c r="E944" s="81">
        <v>1200</v>
      </c>
    </row>
    <row r="945" spans="2:7">
      <c r="B945" s="432"/>
      <c r="C945" s="432"/>
      <c r="D945" s="80" t="s">
        <v>1164</v>
      </c>
      <c r="E945" s="81">
        <v>1200</v>
      </c>
    </row>
    <row r="946" spans="2:7">
      <c r="B946" s="432"/>
      <c r="C946" s="432"/>
      <c r="D946" s="80" t="s">
        <v>1130</v>
      </c>
      <c r="E946" s="81">
        <v>1200</v>
      </c>
      <c r="F946" s="76" t="s">
        <v>1165</v>
      </c>
    </row>
    <row r="947" spans="2:7">
      <c r="B947" s="432"/>
      <c r="C947" s="432"/>
      <c r="D947" s="80" t="s">
        <v>1131</v>
      </c>
      <c r="E947" s="81">
        <v>1200</v>
      </c>
      <c r="F947" s="76" t="s">
        <v>1165</v>
      </c>
    </row>
    <row r="948" spans="2:7">
      <c r="B948" s="432"/>
      <c r="C948" s="432"/>
      <c r="D948" s="80"/>
      <c r="E948" s="81"/>
    </row>
    <row r="949" spans="2:7">
      <c r="B949" s="432"/>
      <c r="C949" s="432"/>
      <c r="D949" s="80"/>
      <c r="E949" s="81"/>
    </row>
    <row r="950" spans="2:7">
      <c r="B950" s="432"/>
      <c r="C950" s="432"/>
      <c r="D950" s="80" t="s">
        <v>1130</v>
      </c>
      <c r="E950" s="81">
        <v>1200</v>
      </c>
    </row>
    <row r="951" spans="2:7">
      <c r="B951" s="432"/>
      <c r="C951" s="432"/>
      <c r="D951" s="80" t="s">
        <v>1131</v>
      </c>
      <c r="E951" s="81">
        <v>1000</v>
      </c>
    </row>
    <row r="952" spans="2:7">
      <c r="B952" s="432"/>
      <c r="C952" s="432"/>
      <c r="D952" s="80" t="s">
        <v>1172</v>
      </c>
      <c r="E952" s="81">
        <v>700</v>
      </c>
    </row>
    <row r="953" spans="2:7">
      <c r="B953" s="432"/>
      <c r="C953" s="432"/>
      <c r="D953" s="80"/>
      <c r="E953" s="81"/>
    </row>
    <row r="954" spans="2:7">
      <c r="B954" s="432"/>
      <c r="C954" s="432"/>
      <c r="D954" s="80"/>
      <c r="E954" s="81"/>
    </row>
    <row r="955" spans="2:7">
      <c r="B955" s="433"/>
      <c r="C955" s="433"/>
      <c r="D955" s="80"/>
      <c r="E955" s="81"/>
      <c r="G955" s="88"/>
    </row>
    <row r="956" spans="2:7" ht="15.75">
      <c r="B956" s="435" t="s">
        <v>655</v>
      </c>
      <c r="C956" s="436"/>
      <c r="D956" s="437"/>
      <c r="E956" s="82">
        <f>SUM(E942:E955)</f>
        <v>9200</v>
      </c>
      <c r="F956" s="83">
        <f>+'Tổng,SUMMARY'!$Q$198</f>
        <v>9200</v>
      </c>
      <c r="G956" s="88">
        <f>+F956-E956</f>
        <v>0</v>
      </c>
    </row>
    <row r="957" spans="2:7">
      <c r="B957" s="431" t="s">
        <v>324</v>
      </c>
      <c r="C957" s="431" t="s">
        <v>325</v>
      </c>
      <c r="D957" s="80" t="s">
        <v>753</v>
      </c>
      <c r="E957" s="81">
        <v>1200</v>
      </c>
    </row>
    <row r="958" spans="2:7">
      <c r="B958" s="432"/>
      <c r="C958" s="432"/>
      <c r="D958" s="80" t="s">
        <v>754</v>
      </c>
      <c r="E958" s="81">
        <v>400</v>
      </c>
    </row>
    <row r="959" spans="2:7">
      <c r="B959" s="432"/>
      <c r="C959" s="432"/>
      <c r="D959" s="80" t="s">
        <v>1077</v>
      </c>
      <c r="E959" s="81">
        <v>350</v>
      </c>
    </row>
    <row r="960" spans="2:7">
      <c r="B960" s="432"/>
      <c r="C960" s="432"/>
      <c r="D960" s="80" t="s">
        <v>1078</v>
      </c>
      <c r="E960" s="81">
        <v>400</v>
      </c>
    </row>
    <row r="961" spans="2:7">
      <c r="B961" s="432"/>
      <c r="C961" s="432"/>
      <c r="D961" s="80" t="s">
        <v>1085</v>
      </c>
      <c r="E961" s="81">
        <v>1200</v>
      </c>
    </row>
    <row r="962" spans="2:7">
      <c r="B962" s="432"/>
      <c r="C962" s="432"/>
      <c r="D962" s="80" t="s">
        <v>1086</v>
      </c>
      <c r="E962" s="81">
        <v>1200</v>
      </c>
    </row>
    <row r="963" spans="2:7">
      <c r="B963" s="432"/>
      <c r="C963" s="432"/>
      <c r="D963" s="80"/>
      <c r="E963" s="81"/>
    </row>
    <row r="964" spans="2:7">
      <c r="B964" s="432"/>
      <c r="C964" s="432"/>
      <c r="D964" s="80"/>
      <c r="E964" s="81"/>
    </row>
    <row r="965" spans="2:7">
      <c r="B965" s="432"/>
      <c r="C965" s="432"/>
      <c r="D965" s="80"/>
      <c r="E965" s="81"/>
    </row>
    <row r="966" spans="2:7">
      <c r="B966" s="433"/>
      <c r="C966" s="433"/>
      <c r="D966" s="80"/>
      <c r="E966" s="81"/>
      <c r="G966" s="88"/>
    </row>
    <row r="967" spans="2:7" ht="15.75">
      <c r="B967" s="435" t="s">
        <v>655</v>
      </c>
      <c r="C967" s="436"/>
      <c r="D967" s="437"/>
      <c r="E967" s="82">
        <f>SUM(E957:E966)</f>
        <v>4750</v>
      </c>
      <c r="F967" s="83">
        <f>+'Tổng,SUMMARY'!Q157</f>
        <v>4750</v>
      </c>
      <c r="G967" s="88">
        <f>+F967-E967</f>
        <v>0</v>
      </c>
    </row>
    <row r="968" spans="2:7">
      <c r="B968" s="431" t="s">
        <v>1019</v>
      </c>
      <c r="C968" s="431" t="s">
        <v>149</v>
      </c>
      <c r="D968" s="80"/>
      <c r="E968" s="81"/>
    </row>
    <row r="969" spans="2:7">
      <c r="B969" s="432"/>
      <c r="C969" s="432"/>
      <c r="D969" s="80" t="s">
        <v>793</v>
      </c>
      <c r="E969" s="81">
        <v>1200</v>
      </c>
    </row>
    <row r="970" spans="2:7">
      <c r="B970" s="432"/>
      <c r="C970" s="432"/>
      <c r="D970" s="80" t="s">
        <v>794</v>
      </c>
      <c r="E970" s="81">
        <v>1200</v>
      </c>
    </row>
    <row r="971" spans="2:7">
      <c r="B971" s="432"/>
      <c r="C971" s="432"/>
      <c r="D971" s="80" t="s">
        <v>795</v>
      </c>
      <c r="E971" s="81">
        <v>1200</v>
      </c>
    </row>
    <row r="972" spans="2:7">
      <c r="B972" s="432"/>
      <c r="C972" s="432"/>
      <c r="D972" s="80" t="s">
        <v>796</v>
      </c>
      <c r="E972" s="81">
        <v>400</v>
      </c>
    </row>
    <row r="973" spans="2:7">
      <c r="B973" s="432"/>
      <c r="C973" s="432"/>
      <c r="D973" s="80" t="s">
        <v>818</v>
      </c>
      <c r="E973" s="81">
        <v>1200</v>
      </c>
    </row>
    <row r="974" spans="2:7">
      <c r="B974" s="432"/>
      <c r="C974" s="432"/>
      <c r="D974" s="80" t="s">
        <v>819</v>
      </c>
      <c r="E974" s="81">
        <v>600</v>
      </c>
    </row>
    <row r="975" spans="2:7">
      <c r="B975" s="432"/>
      <c r="C975" s="432"/>
      <c r="D975" s="80" t="s">
        <v>830</v>
      </c>
      <c r="E975" s="81">
        <v>1100</v>
      </c>
    </row>
    <row r="976" spans="2:7">
      <c r="B976" s="432"/>
      <c r="C976" s="432"/>
      <c r="D976" s="80" t="s">
        <v>1020</v>
      </c>
      <c r="E976" s="81">
        <v>1100</v>
      </c>
    </row>
    <row r="977" spans="2:7">
      <c r="B977" s="432"/>
      <c r="C977" s="432"/>
      <c r="D977" s="80" t="s">
        <v>1021</v>
      </c>
      <c r="E977" s="81">
        <v>100</v>
      </c>
    </row>
    <row r="978" spans="2:7">
      <c r="B978" s="432"/>
      <c r="C978" s="432"/>
      <c r="D978" s="80" t="s">
        <v>1022</v>
      </c>
      <c r="E978" s="81">
        <v>1200</v>
      </c>
    </row>
    <row r="979" spans="2:7">
      <c r="B979" s="432"/>
      <c r="C979" s="432"/>
      <c r="D979" s="80"/>
      <c r="E979" s="81"/>
    </row>
    <row r="980" spans="2:7">
      <c r="B980" s="432"/>
      <c r="C980" s="432"/>
      <c r="D980" s="80"/>
      <c r="E980" s="81"/>
    </row>
    <row r="981" spans="2:7">
      <c r="B981" s="433"/>
      <c r="C981" s="433"/>
      <c r="D981" s="80"/>
      <c r="E981" s="81"/>
      <c r="G981" s="88"/>
    </row>
    <row r="982" spans="2:7" ht="15.75">
      <c r="B982" s="435" t="s">
        <v>655</v>
      </c>
      <c r="C982" s="436"/>
      <c r="D982" s="437"/>
      <c r="E982" s="82">
        <f>SUM(E968:E981)</f>
        <v>9300</v>
      </c>
      <c r="F982" s="83">
        <f>+'Tổng,SUMMARY'!$Q$185</f>
        <v>9300</v>
      </c>
      <c r="G982" s="88">
        <f>+F982-E982</f>
        <v>0</v>
      </c>
    </row>
    <row r="983" spans="2:7">
      <c r="B983" s="438" t="s">
        <v>458</v>
      </c>
      <c r="C983" s="438" t="s">
        <v>459</v>
      </c>
      <c r="D983" s="80"/>
      <c r="E983" s="81"/>
    </row>
    <row r="984" spans="2:7">
      <c r="B984" s="438"/>
      <c r="C984" s="438"/>
      <c r="D984" s="80" t="s">
        <v>1327</v>
      </c>
      <c r="E984" s="81">
        <v>1200</v>
      </c>
    </row>
    <row r="985" spans="2:7">
      <c r="B985" s="438"/>
      <c r="C985" s="438"/>
      <c r="D985" s="80" t="s">
        <v>1328</v>
      </c>
      <c r="E985" s="81">
        <v>1200</v>
      </c>
    </row>
    <row r="986" spans="2:7">
      <c r="B986" s="438"/>
      <c r="C986" s="438"/>
      <c r="D986" s="85" t="s">
        <v>1329</v>
      </c>
      <c r="E986" s="86">
        <v>1200</v>
      </c>
    </row>
    <row r="987" spans="2:7">
      <c r="B987" s="438"/>
      <c r="C987" s="438"/>
      <c r="D987" s="85" t="s">
        <v>1437</v>
      </c>
      <c r="E987" s="86">
        <v>1200</v>
      </c>
    </row>
    <row r="988" spans="2:7">
      <c r="B988" s="438"/>
      <c r="C988" s="438"/>
      <c r="D988" s="85" t="s">
        <v>1438</v>
      </c>
      <c r="E988" s="86">
        <v>1200</v>
      </c>
    </row>
    <row r="989" spans="2:7">
      <c r="B989" s="438"/>
      <c r="C989" s="438"/>
      <c r="D989" s="85" t="s">
        <v>1439</v>
      </c>
      <c r="E989" s="86">
        <v>1200</v>
      </c>
    </row>
    <row r="990" spans="2:7">
      <c r="B990" s="438"/>
      <c r="C990" s="438"/>
      <c r="D990" s="90"/>
      <c r="E990" s="81"/>
    </row>
    <row r="991" spans="2:7">
      <c r="B991" s="438"/>
      <c r="C991" s="438"/>
      <c r="D991" s="80"/>
      <c r="E991" s="81"/>
    </row>
    <row r="992" spans="2:7">
      <c r="B992" s="438"/>
      <c r="C992" s="438"/>
      <c r="D992" s="80"/>
      <c r="E992" s="81"/>
    </row>
    <row r="993" spans="2:7" s="74" customFormat="1" ht="24" customHeight="1">
      <c r="B993" s="435" t="s">
        <v>655</v>
      </c>
      <c r="C993" s="436"/>
      <c r="D993" s="437"/>
      <c r="E993" s="82">
        <f>SUM(E983:E992)</f>
        <v>7200</v>
      </c>
      <c r="F993" s="83">
        <f>+'Tổng,SUMMARY'!$Q$159</f>
        <v>7200</v>
      </c>
      <c r="G993" s="84">
        <f>+F993-E993</f>
        <v>0</v>
      </c>
    </row>
    <row r="994" spans="2:7">
      <c r="B994" s="431" t="s">
        <v>799</v>
      </c>
      <c r="C994" s="431" t="s">
        <v>212</v>
      </c>
      <c r="D994" s="80" t="s">
        <v>678</v>
      </c>
      <c r="E994" s="81">
        <v>950</v>
      </c>
    </row>
    <row r="995" spans="2:7">
      <c r="B995" s="432"/>
      <c r="C995" s="432"/>
      <c r="D995" s="80" t="s">
        <v>755</v>
      </c>
      <c r="E995" s="81">
        <v>500</v>
      </c>
    </row>
    <row r="996" spans="2:7">
      <c r="B996" s="432"/>
      <c r="C996" s="432"/>
      <c r="D996" s="80" t="s">
        <v>756</v>
      </c>
      <c r="E996" s="81">
        <v>750</v>
      </c>
    </row>
    <row r="997" spans="2:7">
      <c r="B997" s="432"/>
      <c r="C997" s="432"/>
      <c r="D997" s="80" t="s">
        <v>757</v>
      </c>
      <c r="E997" s="81">
        <v>150</v>
      </c>
    </row>
    <row r="998" spans="2:7">
      <c r="B998" s="432"/>
      <c r="C998" s="432"/>
      <c r="D998" s="80"/>
      <c r="E998" s="81"/>
    </row>
    <row r="999" spans="2:7">
      <c r="B999" s="432"/>
      <c r="C999" s="432"/>
      <c r="D999" s="80"/>
      <c r="E999" s="81"/>
    </row>
    <row r="1000" spans="2:7">
      <c r="B1000" s="432"/>
      <c r="C1000" s="432"/>
      <c r="D1000" s="80"/>
      <c r="E1000" s="81"/>
    </row>
    <row r="1001" spans="2:7">
      <c r="B1001" s="433"/>
      <c r="C1001" s="433"/>
      <c r="D1001" s="80"/>
      <c r="E1001" s="81"/>
      <c r="G1001" s="88"/>
    </row>
    <row r="1002" spans="2:7" ht="15.75">
      <c r="B1002" s="435" t="s">
        <v>655</v>
      </c>
      <c r="C1002" s="436"/>
      <c r="D1002" s="437"/>
      <c r="E1002" s="82">
        <f>SUM(E994:E1001)</f>
        <v>2350</v>
      </c>
      <c r="F1002" s="83">
        <f>+'Tổng,SUMMARY'!$Q$116</f>
        <v>2350</v>
      </c>
      <c r="G1002" s="88">
        <f>+F1002-E1002</f>
        <v>0</v>
      </c>
    </row>
    <row r="1003" spans="2:7">
      <c r="B1003" s="431" t="s">
        <v>436</v>
      </c>
      <c r="C1003" s="431" t="s">
        <v>437</v>
      </c>
      <c r="D1003" s="80"/>
      <c r="E1003" s="81"/>
    </row>
    <row r="1004" spans="2:7">
      <c r="B1004" s="432"/>
      <c r="C1004" s="432"/>
      <c r="D1004" s="80" t="s">
        <v>1095</v>
      </c>
      <c r="E1004" s="81">
        <v>750</v>
      </c>
    </row>
    <row r="1005" spans="2:7">
      <c r="B1005" s="432"/>
      <c r="C1005" s="432"/>
      <c r="D1005" s="80" t="s">
        <v>1096</v>
      </c>
      <c r="E1005" s="81">
        <v>540</v>
      </c>
    </row>
    <row r="1006" spans="2:7">
      <c r="B1006" s="432"/>
      <c r="C1006" s="432"/>
      <c r="D1006" s="80" t="s">
        <v>1095</v>
      </c>
      <c r="E1006" s="81">
        <v>780</v>
      </c>
      <c r="F1006" s="76" t="s">
        <v>1097</v>
      </c>
    </row>
    <row r="1007" spans="2:7">
      <c r="B1007" s="432"/>
      <c r="C1007" s="432"/>
      <c r="D1007" s="80" t="s">
        <v>1098</v>
      </c>
      <c r="E1007" s="81">
        <v>780</v>
      </c>
    </row>
    <row r="1008" spans="2:7">
      <c r="B1008" s="432"/>
      <c r="C1008" s="432"/>
      <c r="D1008" s="80" t="s">
        <v>1099</v>
      </c>
      <c r="E1008" s="81">
        <v>300</v>
      </c>
    </row>
    <row r="1009" spans="2:7">
      <c r="B1009" s="432"/>
      <c r="C1009" s="432"/>
      <c r="D1009" s="80"/>
      <c r="E1009" s="81"/>
    </row>
    <row r="1010" spans="2:7">
      <c r="B1010" s="432"/>
      <c r="C1010" s="432"/>
      <c r="D1010" s="80"/>
      <c r="E1010" s="81"/>
    </row>
    <row r="1011" spans="2:7">
      <c r="B1011" s="432"/>
      <c r="C1011" s="432"/>
      <c r="D1011" s="80"/>
      <c r="E1011" s="81"/>
    </row>
    <row r="1012" spans="2:7">
      <c r="B1012" s="432"/>
      <c r="C1012" s="432"/>
      <c r="D1012" s="80" t="s">
        <v>960</v>
      </c>
      <c r="E1012" s="81">
        <v>780</v>
      </c>
    </row>
    <row r="1013" spans="2:7">
      <c r="B1013" s="432"/>
      <c r="C1013" s="432"/>
      <c r="D1013" s="80"/>
      <c r="E1013" s="81"/>
    </row>
    <row r="1014" spans="2:7">
      <c r="B1014" s="432"/>
      <c r="C1014" s="432"/>
      <c r="D1014" s="80"/>
      <c r="E1014" s="81"/>
    </row>
    <row r="1015" spans="2:7">
      <c r="B1015" s="432"/>
      <c r="C1015" s="432"/>
      <c r="D1015" s="80"/>
      <c r="E1015" s="81"/>
    </row>
    <row r="1016" spans="2:7">
      <c r="B1016" s="433"/>
      <c r="C1016" s="433"/>
      <c r="D1016" s="80"/>
      <c r="E1016" s="81"/>
      <c r="G1016" s="88"/>
    </row>
    <row r="1017" spans="2:7" ht="15.75">
      <c r="B1017" s="435" t="s">
        <v>655</v>
      </c>
      <c r="C1017" s="436"/>
      <c r="D1017" s="437"/>
      <c r="E1017" s="82">
        <f>SUM(E1003:E1016)</f>
        <v>3930</v>
      </c>
      <c r="F1017" s="83">
        <f>+'Tổng,SUMMARY'!$Q$261</f>
        <v>3930</v>
      </c>
      <c r="G1017" s="88">
        <f>+F1017-E1017</f>
        <v>0</v>
      </c>
    </row>
    <row r="1018" spans="2:7">
      <c r="B1018" s="431" t="s">
        <v>360</v>
      </c>
      <c r="C1018" s="431" t="s">
        <v>361</v>
      </c>
      <c r="D1018" s="80" t="s">
        <v>678</v>
      </c>
      <c r="E1018" s="81">
        <v>100</v>
      </c>
    </row>
    <row r="1019" spans="2:7">
      <c r="B1019" s="432"/>
      <c r="C1019" s="432"/>
      <c r="D1019" s="80" t="s">
        <v>758</v>
      </c>
      <c r="E1019" s="81">
        <v>250</v>
      </c>
    </row>
    <row r="1020" spans="2:7">
      <c r="B1020" s="432"/>
      <c r="C1020" s="432"/>
      <c r="D1020" s="80"/>
      <c r="E1020" s="81"/>
    </row>
    <row r="1021" spans="2:7">
      <c r="B1021" s="432"/>
      <c r="C1021" s="432"/>
      <c r="D1021" s="80"/>
      <c r="E1021" s="81"/>
    </row>
    <row r="1022" spans="2:7">
      <c r="B1022" s="432"/>
      <c r="C1022" s="432"/>
      <c r="D1022" s="80"/>
      <c r="E1022" s="81"/>
    </row>
    <row r="1023" spans="2:7">
      <c r="B1023" s="433"/>
      <c r="C1023" s="433"/>
      <c r="D1023" s="80"/>
      <c r="E1023" s="81"/>
      <c r="G1023" s="88"/>
    </row>
    <row r="1024" spans="2:7" ht="15.75">
      <c r="B1024" s="435" t="s">
        <v>655</v>
      </c>
      <c r="C1024" s="436"/>
      <c r="D1024" s="437"/>
      <c r="E1024" s="82">
        <f>SUM(E1018:E1023)</f>
        <v>350</v>
      </c>
      <c r="F1024" s="83">
        <f>+'Tổng,SUMMARY'!$Q$91</f>
        <v>350</v>
      </c>
      <c r="G1024" s="88"/>
    </row>
    <row r="1025" spans="2:6">
      <c r="B1025" s="431" t="s">
        <v>479</v>
      </c>
      <c r="C1025" s="431" t="s">
        <v>480</v>
      </c>
      <c r="D1025" s="80" t="s">
        <v>759</v>
      </c>
      <c r="E1025" s="81">
        <v>600</v>
      </c>
    </row>
    <row r="1026" spans="2:6">
      <c r="B1026" s="432"/>
      <c r="C1026" s="432"/>
      <c r="D1026" s="80"/>
      <c r="E1026" s="81"/>
    </row>
    <row r="1027" spans="2:6">
      <c r="B1027" s="432"/>
      <c r="C1027" s="432"/>
      <c r="D1027" s="80"/>
      <c r="E1027" s="81"/>
    </row>
    <row r="1028" spans="2:6">
      <c r="B1028" s="432"/>
      <c r="C1028" s="432"/>
      <c r="D1028" s="80"/>
      <c r="E1028" s="81"/>
    </row>
    <row r="1029" spans="2:6">
      <c r="B1029" s="432"/>
      <c r="C1029" s="432"/>
      <c r="D1029" s="80"/>
      <c r="E1029" s="81"/>
    </row>
    <row r="1030" spans="2:6">
      <c r="B1030" s="433"/>
      <c r="C1030" s="433"/>
      <c r="D1030" s="80"/>
      <c r="E1030" s="81"/>
    </row>
    <row r="1031" spans="2:6" s="74" customFormat="1" ht="24" customHeight="1">
      <c r="B1031" s="434" t="s">
        <v>655</v>
      </c>
      <c r="C1031" s="434"/>
      <c r="D1031" s="434"/>
      <c r="E1031" s="82">
        <f>SUM(E1025:E1030)</f>
        <v>600</v>
      </c>
      <c r="F1031" s="83">
        <f>+'Tổng,SUMMARY'!$Q$245</f>
        <v>600</v>
      </c>
    </row>
    <row r="1032" spans="2:6">
      <c r="B1032" s="431" t="s">
        <v>190</v>
      </c>
      <c r="C1032" s="431" t="s">
        <v>191</v>
      </c>
      <c r="D1032" s="80" t="s">
        <v>678</v>
      </c>
      <c r="E1032" s="81">
        <v>250</v>
      </c>
    </row>
    <row r="1033" spans="2:6">
      <c r="B1033" s="432"/>
      <c r="C1033" s="432"/>
      <c r="D1033" s="80" t="s">
        <v>1153</v>
      </c>
      <c r="E1033" s="81">
        <v>50</v>
      </c>
    </row>
    <row r="1034" spans="2:6">
      <c r="B1034" s="432"/>
      <c r="C1034" s="432"/>
      <c r="D1034" s="80" t="s">
        <v>1378</v>
      </c>
      <c r="E1034" s="81">
        <v>1100</v>
      </c>
    </row>
    <row r="1035" spans="2:6">
      <c r="B1035" s="432"/>
      <c r="C1035" s="432"/>
      <c r="D1035" s="80"/>
      <c r="E1035" s="81"/>
    </row>
    <row r="1036" spans="2:6">
      <c r="B1036" s="432"/>
      <c r="C1036" s="432"/>
      <c r="D1036" s="80"/>
      <c r="E1036" s="81"/>
    </row>
    <row r="1037" spans="2:6">
      <c r="B1037" s="432"/>
      <c r="C1037" s="432"/>
      <c r="D1037" s="80"/>
      <c r="E1037" s="81"/>
    </row>
    <row r="1038" spans="2:6">
      <c r="B1038" s="432"/>
      <c r="C1038" s="432"/>
      <c r="D1038" s="80"/>
      <c r="E1038" s="81"/>
    </row>
    <row r="1039" spans="2:6">
      <c r="B1039" s="432"/>
      <c r="C1039" s="432"/>
      <c r="D1039" s="80"/>
      <c r="E1039" s="81"/>
    </row>
    <row r="1040" spans="2:6">
      <c r="B1040" s="432"/>
      <c r="C1040" s="432"/>
      <c r="D1040" s="80"/>
      <c r="E1040" s="81"/>
    </row>
    <row r="1041" spans="2:7">
      <c r="B1041" s="432"/>
      <c r="C1041" s="432"/>
      <c r="D1041" s="80"/>
      <c r="E1041" s="81"/>
    </row>
    <row r="1042" spans="2:7">
      <c r="B1042" s="433"/>
      <c r="C1042" s="433"/>
      <c r="D1042" s="80"/>
      <c r="E1042" s="81"/>
    </row>
    <row r="1043" spans="2:7" s="74" customFormat="1" ht="24" customHeight="1">
      <c r="B1043" s="434" t="s">
        <v>655</v>
      </c>
      <c r="C1043" s="434"/>
      <c r="D1043" s="434"/>
      <c r="E1043" s="82">
        <f>SUM(E1032:E1042)</f>
        <v>1400</v>
      </c>
      <c r="F1043" s="83">
        <f>+'Tổng,SUMMARY'!$Q$94</f>
        <v>1400</v>
      </c>
    </row>
    <row r="1044" spans="2:7">
      <c r="B1044" s="431" t="s">
        <v>418</v>
      </c>
      <c r="C1044" s="431" t="s">
        <v>419</v>
      </c>
      <c r="D1044" s="80"/>
      <c r="E1044" s="81"/>
    </row>
    <row r="1045" spans="2:7">
      <c r="B1045" s="432"/>
      <c r="C1045" s="432"/>
      <c r="D1045" s="80" t="s">
        <v>760</v>
      </c>
      <c r="E1045" s="81">
        <v>100</v>
      </c>
    </row>
    <row r="1046" spans="2:7">
      <c r="B1046" s="432"/>
      <c r="C1046" s="432"/>
      <c r="D1046" s="80" t="s">
        <v>761</v>
      </c>
      <c r="E1046" s="81">
        <v>100</v>
      </c>
    </row>
    <row r="1047" spans="2:7">
      <c r="B1047" s="432"/>
      <c r="C1047" s="432"/>
      <c r="D1047" s="80" t="s">
        <v>762</v>
      </c>
      <c r="E1047" s="81">
        <v>1200</v>
      </c>
    </row>
    <row r="1048" spans="2:7">
      <c r="B1048" s="432"/>
      <c r="C1048" s="432"/>
      <c r="D1048" s="80"/>
      <c r="E1048" s="81"/>
    </row>
    <row r="1049" spans="2:7">
      <c r="B1049" s="432"/>
      <c r="C1049" s="432"/>
      <c r="D1049" s="80"/>
      <c r="E1049" s="81"/>
    </row>
    <row r="1050" spans="2:7">
      <c r="B1050" s="432"/>
      <c r="C1050" s="432"/>
      <c r="D1050" s="80"/>
      <c r="E1050" s="81"/>
    </row>
    <row r="1051" spans="2:7">
      <c r="B1051" s="432"/>
      <c r="C1051" s="432"/>
      <c r="D1051" s="80"/>
      <c r="E1051" s="81"/>
    </row>
    <row r="1052" spans="2:7">
      <c r="B1052" s="433"/>
      <c r="C1052" s="433"/>
      <c r="D1052" s="80"/>
      <c r="E1052" s="81"/>
    </row>
    <row r="1053" spans="2:7" s="74" customFormat="1" ht="24" customHeight="1">
      <c r="B1053" s="434" t="s">
        <v>655</v>
      </c>
      <c r="C1053" s="434"/>
      <c r="D1053" s="434"/>
      <c r="E1053" s="82">
        <f>SUM(E1044:E1052)</f>
        <v>1400</v>
      </c>
      <c r="F1053" s="83">
        <f>+'Tổng,SUMMARY'!$Q$27</f>
        <v>1400</v>
      </c>
      <c r="G1053" s="84">
        <f>+F1053-E1053</f>
        <v>0</v>
      </c>
    </row>
    <row r="1054" spans="2:7">
      <c r="B1054" s="431" t="s">
        <v>1272</v>
      </c>
      <c r="C1054" s="431" t="s">
        <v>868</v>
      </c>
      <c r="D1054" s="80"/>
      <c r="E1054" s="81"/>
    </row>
    <row r="1055" spans="2:7">
      <c r="B1055" s="432"/>
      <c r="C1055" s="432"/>
      <c r="D1055" s="80" t="s">
        <v>1214</v>
      </c>
      <c r="E1055" s="81">
        <v>100</v>
      </c>
    </row>
    <row r="1056" spans="2:7">
      <c r="B1056" s="432"/>
      <c r="C1056" s="432"/>
      <c r="D1056" s="80" t="s">
        <v>1215</v>
      </c>
      <c r="E1056" s="81">
        <v>800</v>
      </c>
    </row>
    <row r="1057" spans="2:7">
      <c r="B1057" s="432"/>
      <c r="C1057" s="432"/>
      <c r="D1057" s="80" t="s">
        <v>1260</v>
      </c>
      <c r="E1057" s="81">
        <v>1000</v>
      </c>
    </row>
    <row r="1058" spans="2:7">
      <c r="B1058" s="432"/>
      <c r="C1058" s="432"/>
      <c r="D1058" s="80" t="s">
        <v>1261</v>
      </c>
      <c r="E1058" s="81">
        <v>250</v>
      </c>
    </row>
    <row r="1059" spans="2:7">
      <c r="B1059" s="432"/>
      <c r="C1059" s="432"/>
      <c r="D1059" s="80"/>
      <c r="E1059" s="81"/>
    </row>
    <row r="1060" spans="2:7">
      <c r="B1060" s="432"/>
      <c r="C1060" s="432"/>
      <c r="D1060" s="80"/>
      <c r="E1060" s="81"/>
    </row>
    <row r="1061" spans="2:7">
      <c r="B1061" s="433"/>
      <c r="C1061" s="433"/>
      <c r="D1061" s="80"/>
      <c r="E1061" s="81"/>
    </row>
    <row r="1062" spans="2:7" s="74" customFormat="1" ht="24" customHeight="1">
      <c r="B1062" s="434" t="s">
        <v>655</v>
      </c>
      <c r="C1062" s="434"/>
      <c r="D1062" s="434"/>
      <c r="E1062" s="82">
        <f>SUM(E1054:E1061)</f>
        <v>2150</v>
      </c>
      <c r="F1062" s="83">
        <f>+'Tổng,SUMMARY'!$Q$90</f>
        <v>2150</v>
      </c>
      <c r="G1062" s="84">
        <f>+F1062-E1062</f>
        <v>0</v>
      </c>
    </row>
    <row r="1063" spans="2:7">
      <c r="B1063" s="431" t="s">
        <v>869</v>
      </c>
      <c r="C1063" s="431" t="s">
        <v>178</v>
      </c>
      <c r="D1063" s="80"/>
      <c r="E1063" s="81"/>
    </row>
    <row r="1064" spans="2:7">
      <c r="B1064" s="432"/>
      <c r="C1064" s="432"/>
      <c r="D1064" s="80" t="s">
        <v>905</v>
      </c>
      <c r="E1064" s="81">
        <v>200</v>
      </c>
    </row>
    <row r="1065" spans="2:7">
      <c r="B1065" s="432"/>
      <c r="C1065" s="432"/>
      <c r="D1065" s="80" t="s">
        <v>1035</v>
      </c>
      <c r="E1065" s="81">
        <v>1200</v>
      </c>
    </row>
    <row r="1066" spans="2:7">
      <c r="B1066" s="432"/>
      <c r="C1066" s="432"/>
      <c r="D1066" s="80" t="s">
        <v>1036</v>
      </c>
      <c r="E1066" s="81">
        <v>1100</v>
      </c>
    </row>
    <row r="1067" spans="2:7">
      <c r="B1067" s="432"/>
      <c r="C1067" s="432"/>
      <c r="D1067" s="80" t="s">
        <v>1057</v>
      </c>
      <c r="E1067" s="81">
        <v>1200</v>
      </c>
    </row>
    <row r="1068" spans="2:7">
      <c r="B1068" s="432"/>
      <c r="C1068" s="432"/>
      <c r="D1068" s="80" t="s">
        <v>1058</v>
      </c>
      <c r="E1068" s="81">
        <v>1200</v>
      </c>
    </row>
    <row r="1069" spans="2:7">
      <c r="B1069" s="432"/>
      <c r="C1069" s="432"/>
      <c r="D1069" s="80"/>
      <c r="E1069" s="81"/>
    </row>
    <row r="1070" spans="2:7">
      <c r="B1070" s="433"/>
      <c r="C1070" s="433"/>
      <c r="D1070" s="80"/>
      <c r="E1070" s="81"/>
    </row>
    <row r="1071" spans="2:7" s="74" customFormat="1" ht="24" customHeight="1">
      <c r="B1071" s="434" t="s">
        <v>655</v>
      </c>
      <c r="C1071" s="434"/>
      <c r="D1071" s="434"/>
      <c r="E1071" s="82">
        <f>SUM(E1063:E1070)</f>
        <v>4900</v>
      </c>
      <c r="F1071" s="83">
        <f>+'Tổng,SUMMARY'!$Q$13</f>
        <v>4700</v>
      </c>
      <c r="G1071" s="84">
        <f>+F1071-E1071</f>
        <v>-200</v>
      </c>
    </row>
    <row r="1072" spans="2:7">
      <c r="B1072" s="431" t="s">
        <v>1374</v>
      </c>
      <c r="C1072" s="431" t="s">
        <v>228</v>
      </c>
      <c r="D1072" s="80"/>
      <c r="E1072" s="81">
        <v>50</v>
      </c>
    </row>
    <row r="1073" spans="2:6">
      <c r="B1073" s="432"/>
      <c r="C1073" s="432"/>
      <c r="D1073" s="80" t="s">
        <v>1375</v>
      </c>
      <c r="E1073" s="81">
        <v>1100</v>
      </c>
    </row>
    <row r="1074" spans="2:6">
      <c r="B1074" s="432"/>
      <c r="C1074" s="432"/>
      <c r="D1074" s="80"/>
      <c r="E1074" s="81"/>
    </row>
    <row r="1075" spans="2:6">
      <c r="B1075" s="432"/>
      <c r="C1075" s="432"/>
      <c r="D1075" s="80"/>
      <c r="E1075" s="81"/>
    </row>
    <row r="1076" spans="2:6">
      <c r="B1076" s="432"/>
      <c r="C1076" s="432"/>
      <c r="D1076" s="80"/>
      <c r="E1076" s="81"/>
    </row>
    <row r="1077" spans="2:6">
      <c r="B1077" s="432"/>
      <c r="C1077" s="432"/>
      <c r="D1077" s="80"/>
      <c r="E1077" s="81"/>
    </row>
    <row r="1078" spans="2:6">
      <c r="B1078" s="432"/>
      <c r="C1078" s="432"/>
      <c r="D1078" s="80"/>
      <c r="E1078" s="81"/>
    </row>
    <row r="1079" spans="2:6">
      <c r="B1079" s="432"/>
      <c r="C1079" s="432"/>
      <c r="D1079" s="80"/>
      <c r="E1079" s="81"/>
    </row>
    <row r="1080" spans="2:6">
      <c r="B1080" s="433"/>
      <c r="C1080" s="433"/>
      <c r="D1080" s="80"/>
      <c r="E1080" s="81"/>
    </row>
    <row r="1081" spans="2:6" s="74" customFormat="1" ht="24" customHeight="1">
      <c r="B1081" s="434" t="s">
        <v>655</v>
      </c>
      <c r="C1081" s="434"/>
      <c r="D1081" s="434"/>
      <c r="E1081" s="82">
        <f>SUM(E1072:E1080)</f>
        <v>1150</v>
      </c>
      <c r="F1081" s="83">
        <f>+'Tổng,SUMMARY'!$Q$34</f>
        <v>1150</v>
      </c>
    </row>
    <row r="1082" spans="2:6">
      <c r="B1082" s="431" t="s">
        <v>227</v>
      </c>
      <c r="C1082" s="431" t="s">
        <v>228</v>
      </c>
      <c r="D1082" s="80"/>
      <c r="E1082" s="81"/>
    </row>
    <row r="1083" spans="2:6">
      <c r="B1083" s="432"/>
      <c r="C1083" s="432"/>
      <c r="D1083" s="80" t="s">
        <v>1288</v>
      </c>
      <c r="E1083" s="81">
        <v>800</v>
      </c>
    </row>
    <row r="1084" spans="2:6">
      <c r="B1084" s="432"/>
      <c r="C1084" s="432"/>
      <c r="D1084" s="80" t="s">
        <v>1289</v>
      </c>
      <c r="E1084" s="81">
        <v>50</v>
      </c>
    </row>
    <row r="1085" spans="2:6">
      <c r="B1085" s="432"/>
      <c r="C1085" s="432"/>
      <c r="D1085" s="80" t="s">
        <v>1399</v>
      </c>
      <c r="E1085" s="81">
        <v>600</v>
      </c>
    </row>
    <row r="1086" spans="2:6">
      <c r="B1086" s="432"/>
      <c r="C1086" s="432"/>
      <c r="D1086" s="80" t="s">
        <v>1400</v>
      </c>
      <c r="E1086" s="81">
        <v>1150</v>
      </c>
    </row>
    <row r="1087" spans="2:6">
      <c r="B1087" s="432"/>
      <c r="C1087" s="432"/>
      <c r="D1087" s="80" t="s">
        <v>1402</v>
      </c>
      <c r="E1087" s="81">
        <v>500</v>
      </c>
      <c r="F1087" s="76" t="s">
        <v>1401</v>
      </c>
    </row>
    <row r="1088" spans="2:6">
      <c r="B1088" s="432"/>
      <c r="C1088" s="432"/>
      <c r="D1088" s="80" t="s">
        <v>1466</v>
      </c>
      <c r="E1088" s="81">
        <v>600</v>
      </c>
    </row>
    <row r="1089" spans="2:7">
      <c r="B1089" s="432"/>
      <c r="C1089" s="432"/>
      <c r="D1089" s="80"/>
      <c r="E1089" s="81"/>
    </row>
    <row r="1090" spans="2:7">
      <c r="B1090" s="432"/>
      <c r="C1090" s="432"/>
      <c r="D1090" s="80"/>
      <c r="E1090" s="81"/>
    </row>
    <row r="1091" spans="2:7">
      <c r="B1091" s="433"/>
      <c r="C1091" s="433"/>
      <c r="D1091" s="80"/>
      <c r="E1091" s="81"/>
    </row>
    <row r="1092" spans="2:7" s="74" customFormat="1" ht="24" customHeight="1">
      <c r="B1092" s="434" t="s">
        <v>655</v>
      </c>
      <c r="C1092" s="434"/>
      <c r="D1092" s="434"/>
      <c r="E1092" s="82">
        <f>SUM(E1082:E1091)</f>
        <v>3700</v>
      </c>
      <c r="F1092" s="83">
        <f>+'Tổng,SUMMARY'!$Q$33</f>
        <v>3700</v>
      </c>
    </row>
    <row r="1093" spans="2:7">
      <c r="B1093" s="431" t="s">
        <v>782</v>
      </c>
      <c r="C1093" s="431" t="s">
        <v>784</v>
      </c>
      <c r="D1093" s="80"/>
      <c r="E1093" s="81"/>
    </row>
    <row r="1094" spans="2:7">
      <c r="B1094" s="432"/>
      <c r="C1094" s="432"/>
      <c r="D1094" s="80" t="s">
        <v>946</v>
      </c>
      <c r="E1094" s="81">
        <v>200</v>
      </c>
    </row>
    <row r="1095" spans="2:7">
      <c r="B1095" s="432"/>
      <c r="C1095" s="432"/>
      <c r="D1095" s="80" t="s">
        <v>947</v>
      </c>
      <c r="E1095" s="81">
        <v>150</v>
      </c>
    </row>
    <row r="1096" spans="2:7">
      <c r="B1096" s="432"/>
      <c r="C1096" s="432"/>
      <c r="D1096" s="80" t="s">
        <v>1330</v>
      </c>
      <c r="E1096" s="81">
        <v>1200</v>
      </c>
    </row>
    <row r="1097" spans="2:7">
      <c r="B1097" s="432"/>
      <c r="C1097" s="432"/>
      <c r="D1097" s="80" t="s">
        <v>1331</v>
      </c>
      <c r="E1097" s="81">
        <v>850</v>
      </c>
    </row>
    <row r="1098" spans="2:7">
      <c r="B1098" s="432"/>
      <c r="C1098" s="432"/>
      <c r="D1098" s="80"/>
      <c r="E1098" s="81"/>
    </row>
    <row r="1099" spans="2:7">
      <c r="B1099" s="432"/>
      <c r="C1099" s="432"/>
      <c r="D1099" s="80"/>
      <c r="E1099" s="81"/>
    </row>
    <row r="1100" spans="2:7">
      <c r="B1100" s="432"/>
      <c r="C1100" s="432"/>
      <c r="D1100" s="80"/>
      <c r="E1100" s="81"/>
    </row>
    <row r="1101" spans="2:7">
      <c r="B1101" s="433"/>
      <c r="C1101" s="433"/>
      <c r="D1101" s="80"/>
      <c r="E1101" s="81"/>
    </row>
    <row r="1102" spans="2:7" ht="15.75">
      <c r="B1102" s="435" t="s">
        <v>655</v>
      </c>
      <c r="C1102" s="436"/>
      <c r="D1102" s="437"/>
      <c r="E1102" s="82">
        <f>SUM(E1093:E1101)</f>
        <v>2400</v>
      </c>
      <c r="F1102" s="83">
        <f>+'Tổng,SUMMARY'!$Q$57</f>
        <v>2400</v>
      </c>
      <c r="G1102" s="88">
        <f>+F1102-E1102</f>
        <v>0</v>
      </c>
    </row>
    <row r="1103" spans="2:7">
      <c r="B1103" s="431" t="s">
        <v>788</v>
      </c>
      <c r="C1103" s="431" t="s">
        <v>786</v>
      </c>
      <c r="D1103" s="80"/>
      <c r="E1103" s="81"/>
    </row>
    <row r="1104" spans="2:7">
      <c r="B1104" s="432"/>
      <c r="C1104" s="432"/>
      <c r="D1104" s="80" t="s">
        <v>789</v>
      </c>
      <c r="E1104" s="81">
        <v>400</v>
      </c>
    </row>
    <row r="1105" spans="2:6">
      <c r="B1105" s="432"/>
      <c r="C1105" s="432"/>
      <c r="D1105" s="80"/>
      <c r="E1105" s="81"/>
    </row>
    <row r="1106" spans="2:6">
      <c r="B1106" s="432"/>
      <c r="C1106" s="432"/>
      <c r="D1106" s="80"/>
      <c r="E1106" s="81"/>
    </row>
    <row r="1107" spans="2:6">
      <c r="B1107" s="432"/>
      <c r="C1107" s="432"/>
      <c r="D1107" s="80"/>
      <c r="E1107" s="81"/>
    </row>
    <row r="1108" spans="2:6">
      <c r="B1108" s="433"/>
      <c r="C1108" s="433"/>
      <c r="D1108" s="80"/>
      <c r="E1108" s="81"/>
    </row>
    <row r="1109" spans="2:6" s="74" customFormat="1" ht="24" customHeight="1">
      <c r="B1109" s="434"/>
      <c r="C1109" s="434"/>
      <c r="D1109" s="434"/>
      <c r="E1109" s="82">
        <f>SUM(E1103:E1108)</f>
        <v>400</v>
      </c>
      <c r="F1109" s="83">
        <f>+'Tổng,SUMMARY'!$Q$102</f>
        <v>400</v>
      </c>
    </row>
    <row r="1110" spans="2:6">
      <c r="B1110" s="431" t="s">
        <v>804</v>
      </c>
      <c r="C1110" s="431" t="s">
        <v>806</v>
      </c>
      <c r="D1110" s="80"/>
      <c r="E1110" s="81"/>
    </row>
    <row r="1111" spans="2:6">
      <c r="B1111" s="432"/>
      <c r="C1111" s="432"/>
      <c r="D1111" s="80" t="s">
        <v>807</v>
      </c>
      <c r="E1111" s="81">
        <v>700</v>
      </c>
    </row>
    <row r="1112" spans="2:6">
      <c r="B1112" s="432"/>
      <c r="C1112" s="432"/>
      <c r="D1112" s="80" t="s">
        <v>837</v>
      </c>
      <c r="E1112" s="81">
        <v>1200</v>
      </c>
    </row>
    <row r="1113" spans="2:6">
      <c r="B1113" s="432"/>
      <c r="C1113" s="432"/>
      <c r="D1113" s="80" t="s">
        <v>838</v>
      </c>
      <c r="E1113" s="81">
        <v>1200</v>
      </c>
    </row>
    <row r="1114" spans="2:6">
      <c r="B1114" s="432"/>
      <c r="C1114" s="432"/>
      <c r="D1114" s="80" t="s">
        <v>839</v>
      </c>
      <c r="E1114" s="81">
        <v>1200</v>
      </c>
    </row>
    <row r="1115" spans="2:6">
      <c r="B1115" s="432"/>
      <c r="C1115" s="432"/>
      <c r="D1115" s="80" t="s">
        <v>840</v>
      </c>
      <c r="E1115" s="81">
        <v>100</v>
      </c>
    </row>
    <row r="1116" spans="2:6">
      <c r="B1116" s="432"/>
      <c r="C1116" s="432"/>
      <c r="D1116" s="80" t="s">
        <v>851</v>
      </c>
      <c r="E1116" s="81">
        <v>250</v>
      </c>
    </row>
    <row r="1117" spans="2:6">
      <c r="B1117" s="432"/>
      <c r="C1117" s="432"/>
      <c r="D1117" s="80"/>
      <c r="E1117" s="81"/>
    </row>
    <row r="1118" spans="2:6">
      <c r="B1118" s="432"/>
      <c r="C1118" s="432"/>
      <c r="D1118" s="80"/>
      <c r="E1118" s="81"/>
    </row>
    <row r="1119" spans="2:6">
      <c r="B1119" s="432"/>
      <c r="C1119" s="432"/>
      <c r="D1119" s="80"/>
      <c r="E1119" s="81"/>
    </row>
    <row r="1120" spans="2:6">
      <c r="B1120" s="432"/>
      <c r="C1120" s="432"/>
      <c r="D1120" s="80"/>
      <c r="E1120" s="81"/>
    </row>
    <row r="1121" spans="2:8">
      <c r="B1121" s="433"/>
      <c r="C1121" s="433"/>
      <c r="D1121" s="80"/>
      <c r="E1121" s="81"/>
    </row>
    <row r="1122" spans="2:8" s="74" customFormat="1" ht="24" customHeight="1">
      <c r="B1122" s="434" t="s">
        <v>655</v>
      </c>
      <c r="C1122" s="434"/>
      <c r="D1122" s="434"/>
      <c r="E1122" s="82">
        <f>SUM(E1110:E1121)</f>
        <v>4650</v>
      </c>
      <c r="F1122" s="83">
        <f>+'Tổng,SUMMARY'!$Q$42</f>
        <v>4650</v>
      </c>
      <c r="G1122" s="84">
        <f>+F1122-E1122</f>
        <v>0</v>
      </c>
    </row>
    <row r="1123" spans="2:8">
      <c r="B1123" s="431" t="s">
        <v>813</v>
      </c>
      <c r="C1123" s="431" t="s">
        <v>814</v>
      </c>
      <c r="D1123" s="80"/>
      <c r="E1123" s="81"/>
    </row>
    <row r="1124" spans="2:8">
      <c r="B1124" s="432"/>
      <c r="C1124" s="432"/>
      <c r="D1124" s="85"/>
      <c r="E1124" s="81"/>
    </row>
    <row r="1125" spans="2:8">
      <c r="B1125" s="432"/>
      <c r="C1125" s="432"/>
      <c r="D1125" s="85" t="s">
        <v>1128</v>
      </c>
      <c r="E1125" s="81">
        <v>100</v>
      </c>
    </row>
    <row r="1126" spans="2:8">
      <c r="B1126" s="432"/>
      <c r="C1126" s="432"/>
      <c r="D1126" s="85" t="s">
        <v>1308</v>
      </c>
      <c r="E1126" s="81">
        <v>1200</v>
      </c>
    </row>
    <row r="1127" spans="2:8">
      <c r="B1127" s="432"/>
      <c r="C1127" s="432"/>
      <c r="D1127" s="85" t="s">
        <v>1372</v>
      </c>
      <c r="E1127" s="81">
        <v>1200</v>
      </c>
    </row>
    <row r="1128" spans="2:8">
      <c r="B1128" s="432"/>
      <c r="C1128" s="432"/>
      <c r="D1128" s="85" t="s">
        <v>1156</v>
      </c>
      <c r="E1128" s="81">
        <v>1200</v>
      </c>
    </row>
    <row r="1129" spans="2:8">
      <c r="B1129" s="432"/>
      <c r="C1129" s="432"/>
      <c r="D1129" s="85" t="s">
        <v>1168</v>
      </c>
      <c r="E1129" s="81">
        <v>100</v>
      </c>
    </row>
    <row r="1130" spans="2:8">
      <c r="B1130" s="432"/>
      <c r="C1130" s="432"/>
      <c r="D1130" s="85" t="s">
        <v>1476</v>
      </c>
      <c r="E1130" s="81">
        <v>1200</v>
      </c>
    </row>
    <row r="1131" spans="2:8">
      <c r="B1131" s="432"/>
      <c r="C1131" s="432"/>
      <c r="D1131" s="85"/>
      <c r="E1131" s="81"/>
    </row>
    <row r="1132" spans="2:8">
      <c r="B1132" s="432"/>
      <c r="C1132" s="432"/>
      <c r="D1132" s="85"/>
      <c r="E1132" s="81"/>
    </row>
    <row r="1133" spans="2:8">
      <c r="B1133" s="433"/>
      <c r="C1133" s="433"/>
      <c r="D1133" s="80"/>
      <c r="E1133" s="81"/>
    </row>
    <row r="1134" spans="2:8" s="74" customFormat="1" ht="24" customHeight="1">
      <c r="B1134" s="434" t="s">
        <v>655</v>
      </c>
      <c r="C1134" s="434"/>
      <c r="D1134" s="434"/>
      <c r="E1134" s="82">
        <f>SUM(E1123:E1133)</f>
        <v>5000</v>
      </c>
      <c r="F1134" s="83">
        <f>+'Tổng,SUMMARY'!$Q$192</f>
        <v>5000</v>
      </c>
      <c r="G1134" s="84">
        <f>+F1134-E1134</f>
        <v>0</v>
      </c>
      <c r="H1134" s="368"/>
    </row>
    <row r="1135" spans="2:8">
      <c r="B1135" s="431" t="s">
        <v>821</v>
      </c>
      <c r="C1135" s="431" t="s">
        <v>822</v>
      </c>
      <c r="D1135" s="80"/>
      <c r="E1135" s="81"/>
    </row>
    <row r="1136" spans="2:8">
      <c r="B1136" s="432"/>
      <c r="C1136" s="432"/>
      <c r="D1136" s="80" t="s">
        <v>823</v>
      </c>
      <c r="E1136" s="81">
        <v>1200</v>
      </c>
    </row>
    <row r="1137" spans="2:7">
      <c r="B1137" s="432"/>
      <c r="C1137" s="432"/>
      <c r="D1137" s="80" t="s">
        <v>824</v>
      </c>
      <c r="E1137" s="81">
        <v>1000</v>
      </c>
    </row>
    <row r="1138" spans="2:7">
      <c r="B1138" s="432"/>
      <c r="C1138" s="432"/>
      <c r="D1138" s="80" t="s">
        <v>825</v>
      </c>
      <c r="E1138" s="81">
        <v>300</v>
      </c>
    </row>
    <row r="1139" spans="2:7">
      <c r="B1139" s="432"/>
      <c r="C1139" s="432"/>
      <c r="D1139" s="80"/>
      <c r="E1139" s="81"/>
    </row>
    <row r="1140" spans="2:7">
      <c r="B1140" s="432"/>
      <c r="C1140" s="432"/>
      <c r="D1140" s="80"/>
      <c r="E1140" s="81"/>
    </row>
    <row r="1141" spans="2:7">
      <c r="B1141" s="432"/>
      <c r="C1141" s="432"/>
      <c r="D1141" s="80"/>
      <c r="E1141" s="81"/>
    </row>
    <row r="1142" spans="2:7">
      <c r="B1142" s="432"/>
      <c r="C1142" s="432"/>
      <c r="D1142" s="80"/>
      <c r="E1142" s="81"/>
    </row>
    <row r="1143" spans="2:7">
      <c r="B1143" s="432"/>
      <c r="C1143" s="432"/>
      <c r="D1143" s="80"/>
      <c r="E1143" s="81"/>
    </row>
    <row r="1144" spans="2:7">
      <c r="B1144" s="433"/>
      <c r="C1144" s="433"/>
      <c r="D1144" s="80"/>
      <c r="E1144" s="81"/>
      <c r="G1144" s="88"/>
    </row>
    <row r="1145" spans="2:7" ht="15.75">
      <c r="B1145" s="435" t="s">
        <v>655</v>
      </c>
      <c r="C1145" s="436"/>
      <c r="D1145" s="437"/>
      <c r="E1145" s="82">
        <f>SUM(E1135:E1144)</f>
        <v>2500</v>
      </c>
      <c r="F1145" s="83">
        <f>+'Tổng,SUMMARY'!$Q$161</f>
        <v>2500</v>
      </c>
      <c r="G1145" s="88">
        <f>+F1145-E1145</f>
        <v>0</v>
      </c>
    </row>
    <row r="1146" spans="2:7">
      <c r="B1146" s="431" t="s">
        <v>832</v>
      </c>
      <c r="C1146" s="431" t="s">
        <v>921</v>
      </c>
      <c r="D1146" s="80" t="s">
        <v>678</v>
      </c>
      <c r="E1146" s="81">
        <v>150</v>
      </c>
    </row>
    <row r="1147" spans="2:7">
      <c r="B1147" s="432"/>
      <c r="C1147" s="432"/>
      <c r="D1147" s="80" t="s">
        <v>836</v>
      </c>
      <c r="E1147" s="81">
        <v>1100</v>
      </c>
    </row>
    <row r="1148" spans="2:7">
      <c r="B1148" s="432"/>
      <c r="C1148" s="432"/>
      <c r="D1148" s="80"/>
      <c r="E1148" s="81"/>
    </row>
    <row r="1149" spans="2:7">
      <c r="B1149" s="432"/>
      <c r="C1149" s="432"/>
      <c r="D1149" s="80"/>
      <c r="E1149" s="81"/>
    </row>
    <row r="1150" spans="2:7">
      <c r="B1150" s="432"/>
      <c r="C1150" s="432"/>
      <c r="D1150" s="80"/>
      <c r="E1150" s="81"/>
    </row>
    <row r="1151" spans="2:7">
      <c r="B1151" s="432"/>
      <c r="C1151" s="432"/>
      <c r="D1151" s="80"/>
      <c r="E1151" s="81"/>
    </row>
    <row r="1152" spans="2:7">
      <c r="B1152" s="432"/>
      <c r="C1152" s="432"/>
      <c r="D1152" s="80"/>
      <c r="E1152" s="81"/>
    </row>
    <row r="1153" spans="2:7">
      <c r="B1153" s="432"/>
      <c r="C1153" s="432"/>
      <c r="D1153" s="80"/>
      <c r="E1153" s="81"/>
    </row>
    <row r="1154" spans="2:7">
      <c r="B1154" s="432"/>
      <c r="C1154" s="432"/>
      <c r="D1154" s="80"/>
      <c r="E1154" s="81"/>
    </row>
    <row r="1155" spans="2:7">
      <c r="B1155" s="433"/>
      <c r="C1155" s="433"/>
      <c r="D1155" s="80"/>
      <c r="E1155" s="81"/>
      <c r="G1155" s="88"/>
    </row>
    <row r="1156" spans="2:7" ht="15.75">
      <c r="B1156" s="435" t="s">
        <v>655</v>
      </c>
      <c r="C1156" s="436"/>
      <c r="D1156" s="437"/>
      <c r="E1156" s="82">
        <f>SUM(E1146:E1155)</f>
        <v>1250</v>
      </c>
      <c r="F1156" s="83">
        <f>+'Tổng,SUMMARY'!Q238</f>
        <v>1250</v>
      </c>
      <c r="G1156" s="88">
        <f>+F1156-E1156</f>
        <v>0</v>
      </c>
    </row>
    <row r="1157" spans="2:7">
      <c r="B1157" s="431" t="s">
        <v>920</v>
      </c>
      <c r="C1157" s="431" t="s">
        <v>919</v>
      </c>
      <c r="D1157" s="80"/>
      <c r="E1157" s="81"/>
    </row>
    <row r="1158" spans="2:7">
      <c r="B1158" s="432"/>
      <c r="C1158" s="432"/>
      <c r="D1158" s="80" t="s">
        <v>933</v>
      </c>
      <c r="E1158" s="81">
        <v>1050</v>
      </c>
    </row>
    <row r="1159" spans="2:7">
      <c r="B1159" s="432"/>
      <c r="C1159" s="432"/>
      <c r="D1159" s="80" t="s">
        <v>934</v>
      </c>
      <c r="E1159" s="81">
        <v>450</v>
      </c>
    </row>
    <row r="1160" spans="2:7">
      <c r="B1160" s="432"/>
      <c r="C1160" s="432"/>
      <c r="D1160" s="80"/>
      <c r="E1160" s="81"/>
    </row>
    <row r="1161" spans="2:7">
      <c r="B1161" s="432"/>
      <c r="C1161" s="432"/>
      <c r="D1161" s="80"/>
      <c r="E1161" s="81"/>
    </row>
    <row r="1162" spans="2:7">
      <c r="B1162" s="432"/>
      <c r="C1162" s="432"/>
      <c r="D1162" s="80"/>
      <c r="E1162" s="81"/>
    </row>
    <row r="1163" spans="2:7">
      <c r="B1163" s="433"/>
      <c r="C1163" s="433"/>
      <c r="D1163" s="80"/>
      <c r="E1163" s="81"/>
      <c r="G1163" s="88"/>
    </row>
    <row r="1164" spans="2:7" ht="15.75">
      <c r="B1164" s="435" t="s">
        <v>655</v>
      </c>
      <c r="C1164" s="436"/>
      <c r="D1164" s="437"/>
      <c r="E1164" s="82">
        <f>SUM(E1157:E1163)</f>
        <v>1500</v>
      </c>
      <c r="F1164" s="83">
        <f>+'Tổng,SUMMARY'!$Q$18</f>
        <v>1500</v>
      </c>
      <c r="G1164" s="88">
        <f>+F1164-E1164</f>
        <v>0</v>
      </c>
    </row>
    <row r="1165" spans="2:7">
      <c r="B1165" s="431" t="s">
        <v>924</v>
      </c>
      <c r="C1165" s="431" t="s">
        <v>923</v>
      </c>
      <c r="D1165" s="80"/>
      <c r="E1165" s="81"/>
    </row>
    <row r="1166" spans="2:7">
      <c r="B1166" s="432"/>
      <c r="C1166" s="432"/>
      <c r="D1166" s="80" t="s">
        <v>1204</v>
      </c>
      <c r="E1166" s="81">
        <v>1200</v>
      </c>
    </row>
    <row r="1167" spans="2:7">
      <c r="B1167" s="432"/>
      <c r="C1167" s="432"/>
      <c r="D1167" s="80" t="s">
        <v>1205</v>
      </c>
      <c r="E1167" s="81">
        <v>1200</v>
      </c>
    </row>
    <row r="1168" spans="2:7">
      <c r="B1168" s="432"/>
      <c r="C1168" s="432"/>
      <c r="D1168" s="80" t="s">
        <v>1206</v>
      </c>
      <c r="E1168" s="81">
        <v>1200</v>
      </c>
    </row>
    <row r="1169" spans="2:7">
      <c r="B1169" s="432"/>
      <c r="C1169" s="432"/>
      <c r="D1169" s="80" t="s">
        <v>1208</v>
      </c>
      <c r="E1169" s="81">
        <v>1200</v>
      </c>
    </row>
    <row r="1170" spans="2:7">
      <c r="B1170" s="432"/>
      <c r="C1170" s="432"/>
      <c r="D1170" s="80" t="s">
        <v>966</v>
      </c>
      <c r="E1170" s="81">
        <v>1100</v>
      </c>
    </row>
    <row r="1171" spans="2:7">
      <c r="B1171" s="432"/>
      <c r="C1171" s="432"/>
      <c r="D1171" s="80" t="s">
        <v>1221</v>
      </c>
      <c r="E1171" s="81">
        <v>1200</v>
      </c>
    </row>
    <row r="1172" spans="2:7">
      <c r="B1172" s="432"/>
      <c r="C1172" s="432"/>
      <c r="D1172" s="80" t="s">
        <v>1222</v>
      </c>
      <c r="E1172" s="81">
        <v>1200</v>
      </c>
    </row>
    <row r="1173" spans="2:7">
      <c r="B1173" s="432"/>
      <c r="C1173" s="432"/>
      <c r="D1173" s="80" t="s">
        <v>1223</v>
      </c>
      <c r="E1173" s="81">
        <v>1200</v>
      </c>
    </row>
    <row r="1174" spans="2:7">
      <c r="B1174" s="432"/>
      <c r="C1174" s="432"/>
      <c r="D1174" s="80" t="s">
        <v>1224</v>
      </c>
      <c r="E1174" s="81">
        <v>1200</v>
      </c>
    </row>
    <row r="1175" spans="2:7">
      <c r="B1175" s="432"/>
      <c r="C1175" s="432"/>
      <c r="D1175" s="80" t="s">
        <v>1225</v>
      </c>
      <c r="E1175" s="81">
        <v>1200</v>
      </c>
    </row>
    <row r="1176" spans="2:7">
      <c r="B1176" s="432"/>
      <c r="C1176" s="432"/>
      <c r="D1176" s="80" t="s">
        <v>1226</v>
      </c>
      <c r="E1176" s="81">
        <v>1200</v>
      </c>
    </row>
    <row r="1177" spans="2:7">
      <c r="B1177" s="432"/>
      <c r="C1177" s="432"/>
      <c r="D1177" s="80" t="s">
        <v>1253</v>
      </c>
      <c r="E1177" s="81">
        <v>1200</v>
      </c>
    </row>
    <row r="1178" spans="2:7">
      <c r="B1178" s="432"/>
      <c r="C1178" s="432"/>
      <c r="D1178" s="80" t="s">
        <v>1295</v>
      </c>
      <c r="E1178" s="81">
        <v>1200</v>
      </c>
    </row>
    <row r="1179" spans="2:7">
      <c r="B1179" s="432"/>
      <c r="C1179" s="432"/>
      <c r="D1179" s="80" t="s">
        <v>1296</v>
      </c>
      <c r="E1179" s="81">
        <v>1200</v>
      </c>
      <c r="G1179" s="8" t="s">
        <v>1301</v>
      </c>
    </row>
    <row r="1180" spans="2:7">
      <c r="B1180" s="432"/>
      <c r="C1180" s="432"/>
      <c r="D1180" s="80" t="s">
        <v>1297</v>
      </c>
      <c r="E1180" s="81">
        <v>1200</v>
      </c>
    </row>
    <row r="1181" spans="2:7">
      <c r="B1181" s="432"/>
      <c r="C1181" s="432"/>
      <c r="D1181" s="80" t="s">
        <v>1298</v>
      </c>
      <c r="E1181" s="81">
        <v>1200</v>
      </c>
      <c r="F1181" s="76" t="s">
        <v>1299</v>
      </c>
    </row>
    <row r="1182" spans="2:7">
      <c r="B1182" s="432"/>
      <c r="C1182" s="432"/>
      <c r="D1182" s="80" t="s">
        <v>1208</v>
      </c>
      <c r="E1182" s="81">
        <v>600</v>
      </c>
      <c r="F1182" s="76" t="s">
        <v>1300</v>
      </c>
    </row>
    <row r="1183" spans="2:7">
      <c r="B1183" s="432"/>
      <c r="C1183" s="432"/>
      <c r="D1183" s="80"/>
      <c r="E1183" s="81"/>
    </row>
    <row r="1184" spans="2:7">
      <c r="B1184" s="433"/>
      <c r="C1184" s="433"/>
      <c r="D1184" s="80"/>
      <c r="E1184" s="81"/>
      <c r="G1184" s="88"/>
    </row>
    <row r="1185" spans="2:7" ht="15.75">
      <c r="B1185" s="435" t="s">
        <v>655</v>
      </c>
      <c r="C1185" s="436"/>
      <c r="D1185" s="437"/>
      <c r="E1185" s="82">
        <f>SUM(E1165:E1184)</f>
        <v>19700</v>
      </c>
      <c r="F1185" s="83">
        <f>+'Tổng,SUMMARY'!Q174</f>
        <v>19700</v>
      </c>
      <c r="G1185" s="88">
        <f>+F1185-E1185</f>
        <v>0</v>
      </c>
    </row>
    <row r="1186" spans="2:7">
      <c r="B1186" s="431" t="s">
        <v>939</v>
      </c>
      <c r="C1186" s="431" t="s">
        <v>942</v>
      </c>
      <c r="D1186" s="80" t="s">
        <v>943</v>
      </c>
      <c r="E1186" s="81">
        <v>600</v>
      </c>
    </row>
    <row r="1187" spans="2:7">
      <c r="B1187" s="432"/>
      <c r="C1187" s="432"/>
      <c r="D1187" s="80"/>
      <c r="E1187" s="81"/>
    </row>
    <row r="1188" spans="2:7">
      <c r="B1188" s="432"/>
      <c r="C1188" s="432"/>
      <c r="D1188" s="80"/>
      <c r="E1188" s="81"/>
    </row>
    <row r="1189" spans="2:7">
      <c r="B1189" s="432"/>
      <c r="C1189" s="432"/>
      <c r="D1189" s="80"/>
      <c r="E1189" s="81"/>
    </row>
    <row r="1190" spans="2:7">
      <c r="B1190" s="432"/>
      <c r="C1190" s="432"/>
      <c r="D1190" s="80"/>
      <c r="E1190" s="81"/>
    </row>
    <row r="1191" spans="2:7">
      <c r="B1191" s="432"/>
      <c r="C1191" s="432"/>
      <c r="D1191" s="80"/>
      <c r="E1191" s="81"/>
    </row>
    <row r="1192" spans="2:7">
      <c r="B1192" s="432"/>
      <c r="C1192" s="432"/>
      <c r="D1192" s="80"/>
      <c r="E1192" s="81"/>
    </row>
    <row r="1193" spans="2:7">
      <c r="B1193" s="432"/>
      <c r="C1193" s="432"/>
      <c r="D1193" s="80"/>
      <c r="E1193" s="81"/>
    </row>
    <row r="1194" spans="2:7">
      <c r="B1194" s="433"/>
      <c r="C1194" s="433"/>
      <c r="D1194" s="80"/>
      <c r="E1194" s="81"/>
    </row>
    <row r="1195" spans="2:7" ht="15.75">
      <c r="B1195" s="435" t="s">
        <v>655</v>
      </c>
      <c r="C1195" s="436"/>
      <c r="D1195" s="437"/>
      <c r="E1195" s="82">
        <f>SUM(E1186:E1194)</f>
        <v>600</v>
      </c>
      <c r="F1195" s="83">
        <f>+'Tổng,SUMMARY'!$Q$239</f>
        <v>600</v>
      </c>
    </row>
    <row r="1196" spans="2:7">
      <c r="B1196" s="431" t="s">
        <v>953</v>
      </c>
      <c r="C1196" s="431" t="s">
        <v>955</v>
      </c>
      <c r="D1196" s="80" t="s">
        <v>956</v>
      </c>
      <c r="E1196" s="81">
        <v>2900</v>
      </c>
    </row>
    <row r="1197" spans="2:7">
      <c r="B1197" s="432"/>
      <c r="C1197" s="432"/>
      <c r="D1197" s="80" t="s">
        <v>957</v>
      </c>
      <c r="E1197" s="81">
        <v>1200</v>
      </c>
    </row>
    <row r="1198" spans="2:7">
      <c r="B1198" s="432"/>
      <c r="C1198" s="432"/>
      <c r="D1198" s="80" t="s">
        <v>958</v>
      </c>
      <c r="E1198" s="81">
        <v>1200</v>
      </c>
    </row>
    <row r="1199" spans="2:7">
      <c r="B1199" s="432"/>
      <c r="C1199" s="432"/>
      <c r="D1199" s="80" t="s">
        <v>959</v>
      </c>
      <c r="E1199" s="81">
        <v>1200</v>
      </c>
    </row>
    <row r="1200" spans="2:7">
      <c r="B1200" s="432"/>
      <c r="C1200" s="432"/>
      <c r="D1200" s="80" t="s">
        <v>990</v>
      </c>
      <c r="E1200" s="81">
        <v>900</v>
      </c>
    </row>
    <row r="1201" spans="2:6">
      <c r="B1201" s="432"/>
      <c r="C1201" s="432"/>
      <c r="D1201" s="80" t="s">
        <v>996</v>
      </c>
      <c r="E1201" s="81">
        <v>1200</v>
      </c>
    </row>
    <row r="1202" spans="2:6">
      <c r="B1202" s="432"/>
      <c r="C1202" s="432"/>
      <c r="D1202" s="80" t="s">
        <v>1000</v>
      </c>
      <c r="E1202" s="81">
        <v>1200</v>
      </c>
    </row>
    <row r="1203" spans="2:6">
      <c r="B1203" s="432"/>
      <c r="C1203" s="432"/>
      <c r="D1203" s="80" t="s">
        <v>1013</v>
      </c>
      <c r="E1203" s="81">
        <v>1200</v>
      </c>
    </row>
    <row r="1204" spans="2:6">
      <c r="B1204" s="432"/>
      <c r="C1204" s="432"/>
      <c r="D1204" s="80" t="s">
        <v>1026</v>
      </c>
      <c r="E1204" s="81">
        <v>1150</v>
      </c>
    </row>
    <row r="1205" spans="2:6">
      <c r="B1205" s="432"/>
      <c r="C1205" s="432"/>
      <c r="D1205" s="80" t="s">
        <v>1031</v>
      </c>
      <c r="E1205" s="81">
        <v>400</v>
      </c>
    </row>
    <row r="1206" spans="2:6">
      <c r="B1206" s="432"/>
      <c r="C1206" s="432"/>
      <c r="D1206" s="80"/>
      <c r="E1206" s="81"/>
    </row>
    <row r="1207" spans="2:6">
      <c r="B1207" s="432"/>
      <c r="C1207" s="432"/>
      <c r="D1207" s="80"/>
      <c r="E1207" s="81"/>
    </row>
    <row r="1208" spans="2:6">
      <c r="B1208" s="432"/>
      <c r="C1208" s="432"/>
      <c r="D1208" s="80"/>
      <c r="E1208" s="81"/>
    </row>
    <row r="1209" spans="2:6">
      <c r="B1209" s="433"/>
      <c r="C1209" s="433"/>
      <c r="D1209" s="80"/>
      <c r="E1209" s="81"/>
    </row>
    <row r="1210" spans="2:6" s="74" customFormat="1" ht="24" customHeight="1">
      <c r="B1210" s="435" t="s">
        <v>655</v>
      </c>
      <c r="C1210" s="436"/>
      <c r="D1210" s="437"/>
      <c r="E1210" s="82">
        <f>SUM(E1196:E1209)</f>
        <v>12550</v>
      </c>
      <c r="F1210" s="83">
        <f>+'Tổng,SUMMARY'!$Q$40</f>
        <v>4550</v>
      </c>
    </row>
    <row r="1211" spans="2:6">
      <c r="B1211" s="431" t="s">
        <v>981</v>
      </c>
      <c r="C1211" s="431" t="s">
        <v>980</v>
      </c>
      <c r="D1211" s="80" t="s">
        <v>982</v>
      </c>
      <c r="E1211" s="81">
        <v>1200</v>
      </c>
    </row>
    <row r="1212" spans="2:6">
      <c r="B1212" s="432"/>
      <c r="C1212" s="432"/>
      <c r="D1212" s="80" t="s">
        <v>983</v>
      </c>
      <c r="E1212" s="81">
        <v>1200</v>
      </c>
    </row>
    <row r="1213" spans="2:6">
      <c r="B1213" s="432"/>
      <c r="C1213" s="432"/>
      <c r="D1213" s="80" t="s">
        <v>984</v>
      </c>
      <c r="E1213" s="81">
        <v>1200</v>
      </c>
    </row>
    <row r="1214" spans="2:6">
      <c r="B1214" s="432"/>
      <c r="C1214" s="432"/>
      <c r="D1214" s="80" t="s">
        <v>1010</v>
      </c>
      <c r="E1214" s="81">
        <v>1200</v>
      </c>
    </row>
    <row r="1215" spans="2:6">
      <c r="B1215" s="432"/>
      <c r="C1215" s="432"/>
      <c r="D1215" s="80" t="s">
        <v>1011</v>
      </c>
      <c r="E1215" s="81">
        <v>1200</v>
      </c>
    </row>
    <row r="1216" spans="2:6">
      <c r="B1216" s="432"/>
      <c r="C1216" s="432"/>
      <c r="D1216" s="80" t="s">
        <v>1012</v>
      </c>
      <c r="E1216" s="81">
        <v>1200</v>
      </c>
    </row>
    <row r="1217" spans="2:6">
      <c r="B1217" s="432"/>
      <c r="C1217" s="432"/>
      <c r="D1217" s="80" t="s">
        <v>1029</v>
      </c>
      <c r="E1217" s="81">
        <v>1200</v>
      </c>
    </row>
    <row r="1218" spans="2:6">
      <c r="B1218" s="432"/>
      <c r="C1218" s="432"/>
      <c r="D1218" s="80" t="s">
        <v>1030</v>
      </c>
      <c r="E1218" s="81">
        <v>1200</v>
      </c>
    </row>
    <row r="1219" spans="2:6">
      <c r="B1219" s="432"/>
      <c r="C1219" s="432"/>
      <c r="D1219" s="80" t="s">
        <v>1030</v>
      </c>
      <c r="E1219" s="81">
        <v>450</v>
      </c>
    </row>
    <row r="1220" spans="2:6">
      <c r="B1220" s="432"/>
      <c r="C1220" s="432"/>
      <c r="D1220" s="80"/>
      <c r="E1220" s="81"/>
    </row>
    <row r="1221" spans="2:6">
      <c r="B1221" s="432"/>
      <c r="C1221" s="432"/>
      <c r="D1221" s="80"/>
      <c r="E1221" s="81"/>
    </row>
    <row r="1222" spans="2:6">
      <c r="B1222" s="433"/>
      <c r="C1222" s="433"/>
      <c r="D1222" s="80"/>
      <c r="E1222" s="81"/>
    </row>
    <row r="1223" spans="2:6" s="74" customFormat="1" ht="24" customHeight="1">
      <c r="B1223" s="435" t="s">
        <v>655</v>
      </c>
      <c r="C1223" s="436"/>
      <c r="D1223" s="437"/>
      <c r="E1223" s="82">
        <f>SUM(E1211:E1222)</f>
        <v>10050</v>
      </c>
      <c r="F1223" s="83">
        <f>+'Tổng,SUMMARY'!$Q$165</f>
        <v>50</v>
      </c>
    </row>
    <row r="1224" spans="2:6">
      <c r="B1224" s="431" t="s">
        <v>986</v>
      </c>
      <c r="C1224" s="431" t="s">
        <v>985</v>
      </c>
      <c r="D1224" s="80" t="s">
        <v>826</v>
      </c>
      <c r="E1224" s="81">
        <v>4350</v>
      </c>
    </row>
    <row r="1225" spans="2:6">
      <c r="B1225" s="432"/>
      <c r="C1225" s="432"/>
      <c r="D1225" s="80" t="s">
        <v>1064</v>
      </c>
      <c r="E1225" s="81"/>
    </row>
    <row r="1226" spans="2:6">
      <c r="B1226" s="432"/>
      <c r="C1226" s="432"/>
      <c r="D1226" s="80"/>
      <c r="E1226" s="81"/>
    </row>
    <row r="1227" spans="2:6">
      <c r="B1227" s="432"/>
      <c r="C1227" s="432"/>
      <c r="D1227" s="80"/>
      <c r="E1227" s="81"/>
    </row>
    <row r="1228" spans="2:6">
      <c r="B1228" s="432"/>
      <c r="C1228" s="432"/>
      <c r="D1228" s="80"/>
      <c r="E1228" s="81"/>
    </row>
    <row r="1229" spans="2:6">
      <c r="B1229" s="432"/>
      <c r="C1229" s="432"/>
      <c r="D1229" s="80"/>
      <c r="E1229" s="81"/>
    </row>
    <row r="1230" spans="2:6">
      <c r="B1230" s="432"/>
      <c r="C1230" s="432"/>
      <c r="D1230" s="80"/>
      <c r="E1230" s="81"/>
    </row>
    <row r="1231" spans="2:6">
      <c r="B1231" s="432"/>
      <c r="C1231" s="432"/>
      <c r="D1231" s="80"/>
      <c r="E1231" s="81"/>
    </row>
    <row r="1232" spans="2:6">
      <c r="B1232" s="432"/>
      <c r="C1232" s="432"/>
      <c r="D1232" s="80"/>
      <c r="E1232" s="81"/>
    </row>
    <row r="1233" spans="2:7">
      <c r="B1233" s="432"/>
      <c r="C1233" s="432"/>
      <c r="D1233" s="80"/>
      <c r="E1233" s="81"/>
    </row>
    <row r="1234" spans="2:7">
      <c r="B1234" s="432"/>
      <c r="C1234" s="432"/>
      <c r="D1234" s="80"/>
      <c r="E1234" s="81"/>
    </row>
    <row r="1235" spans="2:7">
      <c r="B1235" s="432"/>
      <c r="C1235" s="432"/>
      <c r="D1235" s="80"/>
      <c r="E1235" s="81"/>
    </row>
    <row r="1236" spans="2:7">
      <c r="B1236" s="433"/>
      <c r="C1236" s="433"/>
      <c r="D1236" s="80"/>
      <c r="E1236" s="81"/>
    </row>
    <row r="1237" spans="2:7" s="74" customFormat="1" ht="24" customHeight="1">
      <c r="B1237" s="435" t="s">
        <v>655</v>
      </c>
      <c r="C1237" s="436"/>
      <c r="D1237" s="437"/>
      <c r="E1237" s="82">
        <f>SUM(E1224:E1236)</f>
        <v>4350</v>
      </c>
      <c r="F1237" s="83">
        <f>+'Tổng,SUMMARY'!$Q$240</f>
        <v>4350</v>
      </c>
      <c r="G1237" s="84"/>
    </row>
    <row r="1238" spans="2:7">
      <c r="B1238" s="431" t="s">
        <v>993</v>
      </c>
      <c r="C1238" s="431" t="s">
        <v>992</v>
      </c>
      <c r="D1238" s="80"/>
      <c r="E1238" s="81"/>
    </row>
    <row r="1239" spans="2:7">
      <c r="B1239" s="432"/>
      <c r="C1239" s="432"/>
      <c r="D1239" s="80" t="s">
        <v>994</v>
      </c>
      <c r="E1239" s="81">
        <v>50</v>
      </c>
    </row>
    <row r="1240" spans="2:7">
      <c r="B1240" s="432"/>
      <c r="C1240" s="432"/>
      <c r="D1240" s="80" t="s">
        <v>1002</v>
      </c>
      <c r="E1240" s="81">
        <v>750</v>
      </c>
    </row>
    <row r="1241" spans="2:7">
      <c r="B1241" s="432"/>
      <c r="C1241" s="432"/>
      <c r="D1241" s="80" t="s">
        <v>1003</v>
      </c>
      <c r="E1241" s="81">
        <v>50</v>
      </c>
    </row>
    <row r="1242" spans="2:7">
      <c r="B1242" s="432"/>
      <c r="C1242" s="432"/>
      <c r="D1242" s="80" t="s">
        <v>1004</v>
      </c>
      <c r="E1242" s="81">
        <v>200</v>
      </c>
    </row>
    <row r="1243" spans="2:7">
      <c r="B1243" s="432"/>
      <c r="C1243" s="432"/>
      <c r="D1243" s="80" t="s">
        <v>1387</v>
      </c>
      <c r="E1243" s="81">
        <v>1200</v>
      </c>
    </row>
    <row r="1244" spans="2:7">
      <c r="B1244" s="432"/>
      <c r="C1244" s="432"/>
      <c r="D1244" s="80" t="s">
        <v>1388</v>
      </c>
      <c r="E1244" s="81">
        <v>1200</v>
      </c>
    </row>
    <row r="1245" spans="2:7">
      <c r="B1245" s="432"/>
      <c r="C1245" s="432"/>
      <c r="D1245" s="80"/>
      <c r="E1245" s="81"/>
    </row>
    <row r="1246" spans="2:7">
      <c r="B1246" s="432"/>
      <c r="C1246" s="432"/>
      <c r="D1246" s="80"/>
      <c r="E1246" s="81"/>
    </row>
    <row r="1247" spans="2:7">
      <c r="B1247" s="432"/>
      <c r="C1247" s="432"/>
      <c r="D1247" s="80"/>
      <c r="E1247" s="81"/>
    </row>
    <row r="1248" spans="2:7">
      <c r="B1248" s="432"/>
      <c r="C1248" s="432"/>
      <c r="D1248" s="80"/>
      <c r="E1248" s="81"/>
    </row>
    <row r="1249" spans="2:6">
      <c r="B1249" s="433"/>
      <c r="C1249" s="433"/>
      <c r="D1249" s="80"/>
      <c r="E1249" s="81"/>
    </row>
    <row r="1250" spans="2:6" s="74" customFormat="1" ht="24" customHeight="1">
      <c r="B1250" s="435" t="s">
        <v>655</v>
      </c>
      <c r="C1250" s="436"/>
      <c r="D1250" s="437"/>
      <c r="E1250" s="82">
        <f>SUM(E1238:E1249)</f>
        <v>3450</v>
      </c>
      <c r="F1250" s="83">
        <f>+'Tổng,SUMMARY'!$Q$156</f>
        <v>3450</v>
      </c>
    </row>
    <row r="1251" spans="2:6">
      <c r="B1251" s="431" t="s">
        <v>998</v>
      </c>
      <c r="C1251" s="431" t="s">
        <v>997</v>
      </c>
      <c r="D1251" s="80" t="s">
        <v>656</v>
      </c>
      <c r="E1251" s="81">
        <v>1200</v>
      </c>
    </row>
    <row r="1252" spans="2:6">
      <c r="B1252" s="432"/>
      <c r="C1252" s="432"/>
      <c r="D1252" s="80" t="s">
        <v>999</v>
      </c>
      <c r="E1252" s="81">
        <v>400</v>
      </c>
    </row>
    <row r="1253" spans="2:6">
      <c r="B1253" s="432"/>
      <c r="C1253" s="432"/>
      <c r="D1253" s="80" t="s">
        <v>1055</v>
      </c>
      <c r="E1253" s="81">
        <v>1200</v>
      </c>
    </row>
    <row r="1254" spans="2:6">
      <c r="B1254" s="432"/>
      <c r="C1254" s="432"/>
      <c r="D1254" s="80" t="s">
        <v>1056</v>
      </c>
      <c r="E1254" s="81">
        <v>600</v>
      </c>
    </row>
    <row r="1255" spans="2:6">
      <c r="B1255" s="432"/>
      <c r="C1255" s="432"/>
      <c r="D1255" s="80"/>
      <c r="E1255" s="81"/>
    </row>
    <row r="1256" spans="2:6">
      <c r="B1256" s="432"/>
      <c r="C1256" s="432"/>
      <c r="D1256" s="80"/>
      <c r="E1256" s="81"/>
    </row>
    <row r="1257" spans="2:6">
      <c r="B1257" s="433"/>
      <c r="C1257" s="433"/>
      <c r="D1257" s="80"/>
      <c r="E1257" s="81"/>
    </row>
    <row r="1258" spans="2:6" s="74" customFormat="1" ht="24" customHeight="1">
      <c r="B1258" s="439" t="s">
        <v>655</v>
      </c>
      <c r="C1258" s="439"/>
      <c r="D1258" s="439"/>
      <c r="E1258" s="82">
        <f>SUM(E1251:E1257)</f>
        <v>3400</v>
      </c>
      <c r="F1258" s="83">
        <f>+'Tổng,SUMMARY'!$Q$122</f>
        <v>3400</v>
      </c>
    </row>
    <row r="1259" spans="2:6">
      <c r="B1259" s="431" t="s">
        <v>1043</v>
      </c>
      <c r="C1259" s="431" t="s">
        <v>1044</v>
      </c>
      <c r="D1259" s="80" t="s">
        <v>656</v>
      </c>
      <c r="E1259" s="81">
        <v>200</v>
      </c>
    </row>
    <row r="1260" spans="2:6">
      <c r="B1260" s="432"/>
      <c r="C1260" s="432"/>
      <c r="D1260" s="80" t="s">
        <v>1048</v>
      </c>
      <c r="E1260" s="81">
        <v>700</v>
      </c>
    </row>
    <row r="1261" spans="2:6">
      <c r="B1261" s="432"/>
      <c r="C1261" s="432"/>
      <c r="D1261" s="80"/>
      <c r="E1261" s="81"/>
    </row>
    <row r="1262" spans="2:6">
      <c r="B1262" s="432"/>
      <c r="C1262" s="432"/>
      <c r="D1262" s="80"/>
      <c r="E1262" s="81"/>
    </row>
    <row r="1263" spans="2:6">
      <c r="B1263" s="432"/>
      <c r="C1263" s="432"/>
      <c r="D1263" s="80"/>
      <c r="E1263" s="81"/>
    </row>
    <row r="1264" spans="2:6">
      <c r="B1264" s="432"/>
      <c r="C1264" s="432"/>
      <c r="D1264" s="80"/>
      <c r="E1264" s="81"/>
    </row>
    <row r="1265" spans="2:7">
      <c r="B1265" s="433"/>
      <c r="C1265" s="433"/>
      <c r="D1265" s="80"/>
      <c r="E1265" s="81"/>
    </row>
    <row r="1266" spans="2:7" s="74" customFormat="1" ht="24" customHeight="1">
      <c r="B1266" s="439" t="s">
        <v>655</v>
      </c>
      <c r="C1266" s="439"/>
      <c r="D1266" s="439"/>
      <c r="E1266" s="82">
        <f>SUM(E1259:E1265)</f>
        <v>900</v>
      </c>
      <c r="F1266" s="83">
        <f>+'Tổng,SUMMARY'!$Q$212</f>
        <v>50</v>
      </c>
    </row>
    <row r="1267" spans="2:7">
      <c r="B1267" s="431" t="s">
        <v>1347</v>
      </c>
      <c r="C1267" s="431" t="s">
        <v>1195</v>
      </c>
      <c r="D1267" s="80"/>
      <c r="E1267" s="81"/>
    </row>
    <row r="1268" spans="2:7">
      <c r="B1268" s="432"/>
      <c r="C1268" s="432"/>
      <c r="D1268" s="80" t="s">
        <v>1196</v>
      </c>
      <c r="E1268" s="81">
        <f>780-720</f>
        <v>60</v>
      </c>
    </row>
    <row r="1269" spans="2:7">
      <c r="B1269" s="432"/>
      <c r="C1269" s="432"/>
      <c r="D1269" s="80" t="s">
        <v>1197</v>
      </c>
      <c r="E1269" s="81">
        <v>180</v>
      </c>
    </row>
    <row r="1270" spans="2:7">
      <c r="B1270" s="432"/>
      <c r="C1270" s="432"/>
      <c r="D1270" s="80" t="s">
        <v>1198</v>
      </c>
      <c r="E1270" s="81">
        <v>750</v>
      </c>
    </row>
    <row r="1271" spans="2:7">
      <c r="B1271" s="432"/>
      <c r="C1271" s="432"/>
      <c r="D1271" s="80" t="s">
        <v>1256</v>
      </c>
      <c r="E1271" s="81">
        <v>780</v>
      </c>
    </row>
    <row r="1272" spans="2:7">
      <c r="B1272" s="432"/>
      <c r="C1272" s="432"/>
      <c r="D1272" s="80" t="s">
        <v>1257</v>
      </c>
      <c r="E1272" s="81">
        <v>780</v>
      </c>
    </row>
    <row r="1273" spans="2:7">
      <c r="B1273" s="432"/>
      <c r="C1273" s="432"/>
      <c r="D1273" s="80" t="s">
        <v>1286</v>
      </c>
      <c r="E1273" s="81">
        <v>180</v>
      </c>
    </row>
    <row r="1274" spans="2:7">
      <c r="B1274" s="432"/>
      <c r="C1274" s="432"/>
      <c r="D1274" s="80" t="s">
        <v>1257</v>
      </c>
      <c r="E1274" s="81">
        <v>570</v>
      </c>
    </row>
    <row r="1275" spans="2:7">
      <c r="B1275" s="432"/>
      <c r="C1275" s="432"/>
      <c r="D1275" s="80" t="s">
        <v>1474</v>
      </c>
      <c r="E1275" s="81">
        <v>120</v>
      </c>
    </row>
    <row r="1276" spans="2:7">
      <c r="B1276" s="432"/>
      <c r="C1276" s="432"/>
      <c r="D1276" s="80"/>
      <c r="E1276" s="81"/>
    </row>
    <row r="1277" spans="2:7">
      <c r="B1277" s="432"/>
      <c r="C1277" s="432"/>
      <c r="D1277" s="80"/>
      <c r="E1277" s="81"/>
    </row>
    <row r="1278" spans="2:7">
      <c r="B1278" s="432"/>
      <c r="C1278" s="432"/>
      <c r="D1278" s="80"/>
      <c r="E1278" s="81"/>
    </row>
    <row r="1279" spans="2:7">
      <c r="B1279" s="433"/>
      <c r="C1279" s="433"/>
      <c r="D1279" s="80"/>
      <c r="E1279" s="81"/>
    </row>
    <row r="1280" spans="2:7" s="74" customFormat="1" ht="24" customHeight="1">
      <c r="B1280" s="439" t="s">
        <v>655</v>
      </c>
      <c r="C1280" s="439"/>
      <c r="D1280" s="439"/>
      <c r="E1280" s="82">
        <f>SUM(E1267:E1279)</f>
        <v>3420</v>
      </c>
      <c r="F1280" s="83">
        <f>+'Tổng,SUMMARY'!$Q$257</f>
        <v>3420</v>
      </c>
      <c r="G1280" s="84">
        <f>+F1280-E1280</f>
        <v>0</v>
      </c>
    </row>
    <row r="1281" spans="2:6">
      <c r="B1281" s="431" t="s">
        <v>1276</v>
      </c>
      <c r="C1281" s="431" t="s">
        <v>1279</v>
      </c>
      <c r="D1281" s="80" t="s">
        <v>656</v>
      </c>
      <c r="E1281" s="81">
        <v>400</v>
      </c>
    </row>
    <row r="1282" spans="2:6">
      <c r="B1282" s="432"/>
      <c r="C1282" s="432"/>
      <c r="D1282" s="80" t="s">
        <v>1281</v>
      </c>
      <c r="E1282" s="81">
        <v>200</v>
      </c>
    </row>
    <row r="1283" spans="2:6">
      <c r="B1283" s="432"/>
      <c r="C1283" s="432"/>
      <c r="D1283" s="80" t="s">
        <v>1313</v>
      </c>
      <c r="E1283" s="81">
        <v>100</v>
      </c>
    </row>
    <row r="1284" spans="2:6">
      <c r="B1284" s="432"/>
      <c r="C1284" s="432"/>
      <c r="D1284" s="80" t="s">
        <v>1376</v>
      </c>
      <c r="E1284" s="81">
        <v>1200</v>
      </c>
    </row>
    <row r="1285" spans="2:6">
      <c r="B1285" s="432"/>
      <c r="C1285" s="432"/>
      <c r="D1285" s="80"/>
      <c r="E1285" s="81"/>
    </row>
    <row r="1286" spans="2:6">
      <c r="B1286" s="432"/>
      <c r="C1286" s="432"/>
      <c r="D1286" s="80"/>
      <c r="E1286" s="81"/>
    </row>
    <row r="1287" spans="2:6">
      <c r="B1287" s="432"/>
      <c r="C1287" s="432"/>
      <c r="D1287" s="80"/>
      <c r="E1287" s="81"/>
    </row>
    <row r="1288" spans="2:6">
      <c r="B1288" s="432"/>
      <c r="C1288" s="432"/>
      <c r="D1288" s="80"/>
      <c r="E1288" s="81"/>
    </row>
    <row r="1289" spans="2:6">
      <c r="B1289" s="432"/>
      <c r="C1289" s="432"/>
      <c r="D1289" s="80"/>
      <c r="E1289" s="81"/>
    </row>
    <row r="1290" spans="2:6">
      <c r="B1290" s="432"/>
      <c r="C1290" s="432"/>
      <c r="D1290" s="80"/>
      <c r="E1290" s="81"/>
    </row>
    <row r="1291" spans="2:6">
      <c r="B1291" s="432"/>
      <c r="C1291" s="432"/>
      <c r="D1291" s="80"/>
      <c r="E1291" s="81"/>
    </row>
    <row r="1292" spans="2:6">
      <c r="B1292" s="432"/>
      <c r="C1292" s="432"/>
      <c r="D1292" s="80"/>
      <c r="E1292" s="81"/>
    </row>
    <row r="1293" spans="2:6">
      <c r="B1293" s="433"/>
      <c r="C1293" s="433"/>
      <c r="D1293" s="80"/>
      <c r="E1293" s="81"/>
    </row>
    <row r="1294" spans="2:6" s="74" customFormat="1" ht="24" customHeight="1">
      <c r="B1294" s="439" t="s">
        <v>655</v>
      </c>
      <c r="C1294" s="439"/>
      <c r="D1294" s="439"/>
      <c r="E1294" s="82">
        <f>SUM(E1281:E1293)</f>
        <v>1900</v>
      </c>
      <c r="F1294" s="83">
        <f>+'Tổng,SUMMARY'!$Q$92</f>
        <v>1900</v>
      </c>
    </row>
    <row r="1295" spans="2:6">
      <c r="B1295" s="431" t="s">
        <v>1043</v>
      </c>
      <c r="C1295" s="431" t="s">
        <v>1044</v>
      </c>
      <c r="D1295" s="80" t="s">
        <v>656</v>
      </c>
      <c r="E1295" s="81">
        <v>100</v>
      </c>
    </row>
    <row r="1296" spans="2:6">
      <c r="B1296" s="432"/>
      <c r="C1296" s="432"/>
      <c r="D1296" s="80" t="s">
        <v>1293</v>
      </c>
      <c r="E1296" s="81">
        <v>1200</v>
      </c>
    </row>
    <row r="1297" spans="2:6">
      <c r="B1297" s="432"/>
      <c r="C1297" s="432"/>
      <c r="D1297" s="80" t="s">
        <v>1294</v>
      </c>
      <c r="E1297" s="81">
        <v>800</v>
      </c>
    </row>
    <row r="1298" spans="2:6">
      <c r="B1298" s="432"/>
      <c r="C1298" s="432"/>
      <c r="D1298" s="80"/>
      <c r="E1298" s="81"/>
    </row>
    <row r="1299" spans="2:6">
      <c r="B1299" s="432"/>
      <c r="C1299" s="432"/>
      <c r="D1299" s="80"/>
      <c r="E1299" s="81"/>
    </row>
    <row r="1300" spans="2:6">
      <c r="B1300" s="432"/>
      <c r="C1300" s="432"/>
      <c r="D1300" s="80"/>
      <c r="E1300" s="81"/>
    </row>
    <row r="1301" spans="2:6">
      <c r="B1301" s="433"/>
      <c r="C1301" s="433"/>
      <c r="D1301" s="80"/>
      <c r="E1301" s="81"/>
    </row>
    <row r="1302" spans="2:6" s="74" customFormat="1" ht="24" customHeight="1">
      <c r="B1302" s="439" t="s">
        <v>655</v>
      </c>
      <c r="C1302" s="439"/>
      <c r="D1302" s="439"/>
      <c r="E1302" s="82">
        <f>SUM(E1295:E1301)</f>
        <v>2100</v>
      </c>
      <c r="F1302" s="83">
        <f>+'Tổng,SUMMARY'!$Q$151</f>
        <v>6600</v>
      </c>
    </row>
    <row r="1303" spans="2:6">
      <c r="B1303" s="431" t="s">
        <v>1341</v>
      </c>
      <c r="C1303" s="431" t="s">
        <v>1340</v>
      </c>
      <c r="D1303" s="80" t="s">
        <v>656</v>
      </c>
      <c r="E1303" s="81">
        <v>24</v>
      </c>
    </row>
    <row r="1304" spans="2:6">
      <c r="B1304" s="432"/>
      <c r="C1304" s="432"/>
      <c r="D1304" s="80" t="s">
        <v>1342</v>
      </c>
      <c r="E1304" s="81">
        <v>768</v>
      </c>
    </row>
    <row r="1305" spans="2:6">
      <c r="B1305" s="432"/>
      <c r="C1305" s="432"/>
      <c r="D1305" s="80" t="s">
        <v>1380</v>
      </c>
      <c r="E1305" s="81">
        <v>144</v>
      </c>
    </row>
    <row r="1306" spans="2:6">
      <c r="B1306" s="432"/>
      <c r="C1306" s="432"/>
      <c r="D1306" s="80"/>
      <c r="E1306" s="81"/>
    </row>
    <row r="1307" spans="2:6">
      <c r="B1307" s="432"/>
      <c r="C1307" s="432"/>
      <c r="D1307" s="80"/>
      <c r="E1307" s="81"/>
    </row>
    <row r="1308" spans="2:6">
      <c r="B1308" s="433"/>
      <c r="C1308" s="433"/>
      <c r="D1308" s="80"/>
      <c r="E1308" s="81"/>
    </row>
    <row r="1309" spans="2:6" s="74" customFormat="1" ht="24" customHeight="1">
      <c r="B1309" s="434" t="s">
        <v>655</v>
      </c>
      <c r="C1309" s="434"/>
      <c r="D1309" s="434"/>
      <c r="E1309" s="82">
        <f>SUM(E1303:E1308)</f>
        <v>936</v>
      </c>
      <c r="F1309" s="83">
        <f>+'Tổng,SUMMARY'!$Q$253</f>
        <v>936</v>
      </c>
    </row>
    <row r="1310" spans="2:6">
      <c r="B1310" s="431" t="s">
        <v>911</v>
      </c>
      <c r="C1310" s="431" t="s">
        <v>1345</v>
      </c>
      <c r="D1310" s="80"/>
      <c r="E1310" s="81"/>
    </row>
    <row r="1311" spans="2:6">
      <c r="B1311" s="432"/>
      <c r="C1311" s="432"/>
      <c r="D1311" s="80" t="s">
        <v>1346</v>
      </c>
      <c r="E1311" s="81">
        <v>780</v>
      </c>
    </row>
    <row r="1312" spans="2:6">
      <c r="B1312" s="432"/>
      <c r="C1312" s="432"/>
      <c r="D1312" s="80" t="s">
        <v>1471</v>
      </c>
      <c r="E1312" s="81">
        <v>60</v>
      </c>
    </row>
    <row r="1313" spans="2:7">
      <c r="B1313" s="432"/>
      <c r="C1313" s="432"/>
      <c r="D1313" s="80"/>
      <c r="E1313" s="81"/>
    </row>
    <row r="1314" spans="2:7">
      <c r="B1314" s="432"/>
      <c r="C1314" s="432"/>
      <c r="D1314" s="80"/>
      <c r="E1314" s="81"/>
    </row>
    <row r="1315" spans="2:7">
      <c r="B1315" s="433"/>
      <c r="C1315" s="433"/>
      <c r="D1315" s="80"/>
      <c r="E1315" s="81"/>
    </row>
    <row r="1316" spans="2:7" s="74" customFormat="1" ht="24" customHeight="1">
      <c r="B1316" s="434" t="s">
        <v>655</v>
      </c>
      <c r="C1316" s="434"/>
      <c r="D1316" s="434"/>
      <c r="E1316" s="82">
        <f>SUM(E1310:E1315)</f>
        <v>840</v>
      </c>
      <c r="F1316" s="83">
        <f>+'Tổng,SUMMARY'!$Q$269</f>
        <v>840</v>
      </c>
    </row>
    <row r="1317" spans="2:7">
      <c r="B1317" s="431" t="s">
        <v>1409</v>
      </c>
      <c r="C1317" s="431" t="s">
        <v>1407</v>
      </c>
      <c r="D1317" s="80"/>
      <c r="E1317" s="81">
        <v>100</v>
      </c>
    </row>
    <row r="1318" spans="2:7">
      <c r="B1318" s="432"/>
      <c r="C1318" s="432"/>
      <c r="D1318" s="80" t="s">
        <v>1293</v>
      </c>
      <c r="E1318" s="81">
        <v>1200</v>
      </c>
    </row>
    <row r="1319" spans="2:7">
      <c r="B1319" s="432"/>
      <c r="C1319" s="432"/>
      <c r="D1319" s="80" t="s">
        <v>1294</v>
      </c>
      <c r="E1319" s="81">
        <v>800</v>
      </c>
    </row>
    <row r="1320" spans="2:7">
      <c r="B1320" s="432"/>
      <c r="C1320" s="432"/>
      <c r="D1320" s="80" t="s">
        <v>1410</v>
      </c>
      <c r="E1320" s="81">
        <v>900</v>
      </c>
    </row>
    <row r="1321" spans="2:7">
      <c r="B1321" s="432"/>
      <c r="C1321" s="432"/>
      <c r="D1321" s="80" t="s">
        <v>1411</v>
      </c>
      <c r="E1321" s="81">
        <v>1200</v>
      </c>
    </row>
    <row r="1322" spans="2:7">
      <c r="B1322" s="432"/>
      <c r="C1322" s="432"/>
      <c r="D1322" s="80" t="s">
        <v>1412</v>
      </c>
      <c r="E1322" s="81">
        <v>1200</v>
      </c>
    </row>
    <row r="1323" spans="2:7">
      <c r="B1323" s="432"/>
      <c r="C1323" s="432"/>
      <c r="D1323" s="80" t="s">
        <v>1413</v>
      </c>
      <c r="E1323" s="81">
        <v>1200</v>
      </c>
    </row>
    <row r="1324" spans="2:7">
      <c r="B1324" s="432"/>
      <c r="C1324" s="432"/>
      <c r="D1324" s="80"/>
      <c r="E1324" s="81"/>
    </row>
    <row r="1325" spans="2:7">
      <c r="B1325" s="432"/>
      <c r="C1325" s="432"/>
      <c r="D1325" s="80"/>
      <c r="E1325" s="81"/>
    </row>
    <row r="1326" spans="2:7">
      <c r="B1326" s="432"/>
      <c r="C1326" s="432"/>
      <c r="D1326" s="80"/>
      <c r="E1326" s="81"/>
    </row>
    <row r="1327" spans="2:7">
      <c r="B1327" s="433"/>
      <c r="C1327" s="433"/>
      <c r="D1327" s="80"/>
      <c r="E1327" s="81"/>
    </row>
    <row r="1328" spans="2:7" s="74" customFormat="1" ht="24" customHeight="1">
      <c r="B1328" s="434" t="s">
        <v>655</v>
      </c>
      <c r="C1328" s="434"/>
      <c r="D1328" s="434"/>
      <c r="E1328" s="82">
        <f>SUM(E1317:E1327)</f>
        <v>6600</v>
      </c>
      <c r="F1328" s="83">
        <f>+'Tổng,SUMMARY'!Q151</f>
        <v>6600</v>
      </c>
      <c r="G1328" s="84">
        <f>+F1328-E1328</f>
        <v>0</v>
      </c>
    </row>
    <row r="1329" spans="2:7">
      <c r="B1329" s="431" t="s">
        <v>1292</v>
      </c>
      <c r="C1329" s="431" t="s">
        <v>1407</v>
      </c>
      <c r="D1329" s="80"/>
      <c r="E1329" s="81">
        <v>1600</v>
      </c>
    </row>
    <row r="1330" spans="2:7">
      <c r="B1330" s="432"/>
      <c r="C1330" s="432"/>
      <c r="D1330" s="80" t="s">
        <v>1457</v>
      </c>
      <c r="E1330" s="81">
        <v>1200</v>
      </c>
    </row>
    <row r="1331" spans="2:7">
      <c r="B1331" s="432"/>
      <c r="C1331" s="432"/>
      <c r="D1331" s="80" t="s">
        <v>1458</v>
      </c>
      <c r="E1331" s="81">
        <v>1200</v>
      </c>
    </row>
    <row r="1332" spans="2:7">
      <c r="B1332" s="432"/>
      <c r="C1332" s="432"/>
      <c r="D1332" s="80"/>
      <c r="E1332" s="81"/>
    </row>
    <row r="1333" spans="2:7">
      <c r="B1333" s="432"/>
      <c r="C1333" s="432"/>
      <c r="D1333" s="80"/>
      <c r="E1333" s="81"/>
    </row>
    <row r="1334" spans="2:7">
      <c r="B1334" s="432"/>
      <c r="C1334" s="432"/>
      <c r="D1334" s="80"/>
      <c r="E1334" s="81"/>
    </row>
    <row r="1335" spans="2:7">
      <c r="B1335" s="432"/>
      <c r="C1335" s="432"/>
      <c r="D1335" s="80"/>
      <c r="E1335" s="81"/>
    </row>
    <row r="1336" spans="2:7">
      <c r="B1336" s="432"/>
      <c r="C1336" s="432"/>
      <c r="D1336" s="80"/>
      <c r="E1336" s="81"/>
    </row>
    <row r="1337" spans="2:7">
      <c r="B1337" s="432"/>
      <c r="C1337" s="432"/>
      <c r="D1337" s="80"/>
      <c r="E1337" s="81"/>
    </row>
    <row r="1338" spans="2:7">
      <c r="B1338" s="432"/>
      <c r="C1338" s="432"/>
      <c r="D1338" s="80"/>
      <c r="E1338" s="81"/>
    </row>
    <row r="1339" spans="2:7">
      <c r="B1339" s="433"/>
      <c r="C1339" s="433"/>
      <c r="D1339" s="80"/>
      <c r="E1339" s="81"/>
    </row>
    <row r="1340" spans="2:7" s="74" customFormat="1" ht="24" customHeight="1">
      <c r="B1340" s="434" t="s">
        <v>655</v>
      </c>
      <c r="C1340" s="434"/>
      <c r="D1340" s="434"/>
      <c r="E1340" s="82">
        <f>SUM(E1329:E1339)</f>
        <v>4000</v>
      </c>
      <c r="F1340" s="83">
        <f>+'Tổng,SUMMARY'!Q176</f>
        <v>4000</v>
      </c>
      <c r="G1340" s="84">
        <f>+F1340-E1340</f>
        <v>0</v>
      </c>
    </row>
  </sheetData>
  <autoFilter ref="A1:I722"/>
  <mergeCells count="318">
    <mergeCell ref="B627:B638"/>
    <mergeCell ref="C627:C638"/>
    <mergeCell ref="B639:D639"/>
    <mergeCell ref="B1328:D1328"/>
    <mergeCell ref="C1317:C1327"/>
    <mergeCell ref="B1317:B1327"/>
    <mergeCell ref="B1303:B1308"/>
    <mergeCell ref="C1303:C1308"/>
    <mergeCell ref="B1309:D1309"/>
    <mergeCell ref="B1281:B1293"/>
    <mergeCell ref="C1281:C1293"/>
    <mergeCell ref="B1294:D1294"/>
    <mergeCell ref="B1295:B1301"/>
    <mergeCell ref="C1295:C1301"/>
    <mergeCell ref="B1302:D1302"/>
    <mergeCell ref="B1259:B1265"/>
    <mergeCell ref="C1259:C1265"/>
    <mergeCell ref="B1266:D1266"/>
    <mergeCell ref="B1267:B1279"/>
    <mergeCell ref="C1267:C1279"/>
    <mergeCell ref="B1280:D1280"/>
    <mergeCell ref="B1186:B1194"/>
    <mergeCell ref="C1186:C1194"/>
    <mergeCell ref="B1195:D1195"/>
    <mergeCell ref="B1165:B1184"/>
    <mergeCell ref="C1165:C1184"/>
    <mergeCell ref="B1185:D1185"/>
    <mergeCell ref="B1251:B1257"/>
    <mergeCell ref="C1251:C1257"/>
    <mergeCell ref="B1258:D1258"/>
    <mergeCell ref="B1211:B1222"/>
    <mergeCell ref="C1211:C1222"/>
    <mergeCell ref="B1223:D1223"/>
    <mergeCell ref="B1224:B1236"/>
    <mergeCell ref="C1224:C1236"/>
    <mergeCell ref="B1237:D1237"/>
    <mergeCell ref="B1238:B1249"/>
    <mergeCell ref="C1238:C1249"/>
    <mergeCell ref="B1250:D1250"/>
    <mergeCell ref="B1196:B1209"/>
    <mergeCell ref="C1196:C1209"/>
    <mergeCell ref="B1210:D1210"/>
    <mergeCell ref="B1145:D1145"/>
    <mergeCell ref="B1071:D1071"/>
    <mergeCell ref="B1092:D1092"/>
    <mergeCell ref="B1110:B1121"/>
    <mergeCell ref="C1110:C1121"/>
    <mergeCell ref="B1122:D1122"/>
    <mergeCell ref="B1123:B1133"/>
    <mergeCell ref="C1123:C1133"/>
    <mergeCell ref="B1134:D1134"/>
    <mergeCell ref="B1135:B1144"/>
    <mergeCell ref="C1135:C1144"/>
    <mergeCell ref="B1109:D1109"/>
    <mergeCell ref="B1072:B1080"/>
    <mergeCell ref="C1072:C1080"/>
    <mergeCell ref="B1081:D1081"/>
    <mergeCell ref="B1146:B1155"/>
    <mergeCell ref="C1146:C1155"/>
    <mergeCell ref="B1156:D1156"/>
    <mergeCell ref="B1157:B1163"/>
    <mergeCell ref="C1157:C1163"/>
    <mergeCell ref="B1164:D1164"/>
    <mergeCell ref="C1025:C1030"/>
    <mergeCell ref="C1032:C1042"/>
    <mergeCell ref="C1054:C1061"/>
    <mergeCell ref="C1063:C1070"/>
    <mergeCell ref="C1082:C1091"/>
    <mergeCell ref="B1093:B1101"/>
    <mergeCell ref="C1093:C1101"/>
    <mergeCell ref="B1102:D1102"/>
    <mergeCell ref="B1103:B1108"/>
    <mergeCell ref="C1103:C1108"/>
    <mergeCell ref="B1025:B1030"/>
    <mergeCell ref="B1032:B1042"/>
    <mergeCell ref="B1054:B1061"/>
    <mergeCell ref="B1063:B1070"/>
    <mergeCell ref="B1082:B1091"/>
    <mergeCell ref="B1031:D1031"/>
    <mergeCell ref="B1043:D1043"/>
    <mergeCell ref="B1062:D1062"/>
    <mergeCell ref="B1044:B1052"/>
    <mergeCell ref="C1044:C1052"/>
    <mergeCell ref="B1053:D1053"/>
    <mergeCell ref="B92:B106"/>
    <mergeCell ref="B108:B112"/>
    <mergeCell ref="B114:B130"/>
    <mergeCell ref="C132:C148"/>
    <mergeCell ref="C406:C415"/>
    <mergeCell ref="C417:C427"/>
    <mergeCell ref="C429:C435"/>
    <mergeCell ref="C437:C446"/>
    <mergeCell ref="C448:C460"/>
    <mergeCell ref="B428:D428"/>
    <mergeCell ref="B436:D436"/>
    <mergeCell ref="B447:D447"/>
    <mergeCell ref="B353:D353"/>
    <mergeCell ref="B364:D364"/>
    <mergeCell ref="B378:D378"/>
    <mergeCell ref="B387:D387"/>
    <mergeCell ref="B405:D405"/>
    <mergeCell ref="B416:D416"/>
    <mergeCell ref="B304:B313"/>
    <mergeCell ref="B315:B343"/>
    <mergeCell ref="B345:B352"/>
    <mergeCell ref="C2:C11"/>
    <mergeCell ref="C13:C19"/>
    <mergeCell ref="C21:C36"/>
    <mergeCell ref="C38:C61"/>
    <mergeCell ref="C64:C78"/>
    <mergeCell ref="C80:C90"/>
    <mergeCell ref="C92:C106"/>
    <mergeCell ref="C108:C112"/>
    <mergeCell ref="C114:C130"/>
    <mergeCell ref="B12:D12"/>
    <mergeCell ref="B20:D20"/>
    <mergeCell ref="B37:D37"/>
    <mergeCell ref="B62:D62"/>
    <mergeCell ref="B79:D79"/>
    <mergeCell ref="B91:D91"/>
    <mergeCell ref="B107:D107"/>
    <mergeCell ref="B113:D113"/>
    <mergeCell ref="B2:B11"/>
    <mergeCell ref="B13:B19"/>
    <mergeCell ref="B21:B36"/>
    <mergeCell ref="B38:B61"/>
    <mergeCell ref="B64:B78"/>
    <mergeCell ref="B80:B90"/>
    <mergeCell ref="C776:C784"/>
    <mergeCell ref="C786:C795"/>
    <mergeCell ref="B687:B695"/>
    <mergeCell ref="C687:C695"/>
    <mergeCell ref="B696:D696"/>
    <mergeCell ref="C888:C896"/>
    <mergeCell ref="C876:C886"/>
    <mergeCell ref="C710:C718"/>
    <mergeCell ref="C720:C728"/>
    <mergeCell ref="C864:C874"/>
    <mergeCell ref="C517:C532"/>
    <mergeCell ref="C534:C541"/>
    <mergeCell ref="C543:C555"/>
    <mergeCell ref="C557:C566"/>
    <mergeCell ref="C568:C582"/>
    <mergeCell ref="C584:C612"/>
    <mergeCell ref="C640:C651"/>
    <mergeCell ref="B909:B914"/>
    <mergeCell ref="C807:C816"/>
    <mergeCell ref="B686:D686"/>
    <mergeCell ref="B534:B541"/>
    <mergeCell ref="B543:B555"/>
    <mergeCell ref="B557:B566"/>
    <mergeCell ref="B568:B582"/>
    <mergeCell ref="B584:B612"/>
    <mergeCell ref="C730:C754"/>
    <mergeCell ref="C756:C763"/>
    <mergeCell ref="C765:C774"/>
    <mergeCell ref="B668:B685"/>
    <mergeCell ref="B614:B625"/>
    <mergeCell ref="C614:C625"/>
    <mergeCell ref="B626:D626"/>
    <mergeCell ref="B652:D652"/>
    <mergeCell ref="B667:D667"/>
    <mergeCell ref="B994:B1001"/>
    <mergeCell ref="B818:B826"/>
    <mergeCell ref="B828:B836"/>
    <mergeCell ref="B838:B846"/>
    <mergeCell ref="B848:B862"/>
    <mergeCell ref="B876:B886"/>
    <mergeCell ref="B888:B896"/>
    <mergeCell ref="B968:B981"/>
    <mergeCell ref="B983:B992"/>
    <mergeCell ref="B864:B874"/>
    <mergeCell ref="B875:D875"/>
    <mergeCell ref="B1003:B1016"/>
    <mergeCell ref="B697:B708"/>
    <mergeCell ref="B710:B718"/>
    <mergeCell ref="B720:B728"/>
    <mergeCell ref="B730:B754"/>
    <mergeCell ref="B756:B763"/>
    <mergeCell ref="B765:B774"/>
    <mergeCell ref="B776:B784"/>
    <mergeCell ref="B786:B795"/>
    <mergeCell ref="B797:B805"/>
    <mergeCell ref="B932:D932"/>
    <mergeCell ref="B941:D941"/>
    <mergeCell ref="B993:D993"/>
    <mergeCell ref="B1002:D1002"/>
    <mergeCell ref="C797:C805"/>
    <mergeCell ref="C838:C846"/>
    <mergeCell ref="C848:C862"/>
    <mergeCell ref="B957:B966"/>
    <mergeCell ref="B916:B931"/>
    <mergeCell ref="B933:B940"/>
    <mergeCell ref="C697:C708"/>
    <mergeCell ref="B796:D796"/>
    <mergeCell ref="B806:D806"/>
    <mergeCell ref="B807:B816"/>
    <mergeCell ref="B1024:D1024"/>
    <mergeCell ref="B817:D817"/>
    <mergeCell ref="B827:D827"/>
    <mergeCell ref="B837:D837"/>
    <mergeCell ref="B847:D847"/>
    <mergeCell ref="B863:D863"/>
    <mergeCell ref="B887:D887"/>
    <mergeCell ref="B897:D897"/>
    <mergeCell ref="B908:D908"/>
    <mergeCell ref="B915:D915"/>
    <mergeCell ref="B1018:B1023"/>
    <mergeCell ref="C909:C914"/>
    <mergeCell ref="C916:C931"/>
    <mergeCell ref="C933:C940"/>
    <mergeCell ref="C942:C955"/>
    <mergeCell ref="C957:C966"/>
    <mergeCell ref="C968:C981"/>
    <mergeCell ref="C983:C992"/>
    <mergeCell ref="C994:C1001"/>
    <mergeCell ref="C1003:C1016"/>
    <mergeCell ref="C898:C907"/>
    <mergeCell ref="B982:D982"/>
    <mergeCell ref="B1017:D1017"/>
    <mergeCell ref="B898:B907"/>
    <mergeCell ref="C1018:C1023"/>
    <mergeCell ref="B956:D956"/>
    <mergeCell ref="B967:D967"/>
    <mergeCell ref="C668:C685"/>
    <mergeCell ref="B517:B532"/>
    <mergeCell ref="B533:D533"/>
    <mergeCell ref="B542:D542"/>
    <mergeCell ref="B556:D556"/>
    <mergeCell ref="B567:D567"/>
    <mergeCell ref="B583:D583"/>
    <mergeCell ref="B613:D613"/>
    <mergeCell ref="C818:C826"/>
    <mergeCell ref="C828:C836"/>
    <mergeCell ref="B942:B955"/>
    <mergeCell ref="C653:C666"/>
    <mergeCell ref="B640:B651"/>
    <mergeCell ref="B653:B666"/>
    <mergeCell ref="B709:D709"/>
    <mergeCell ref="B719:D719"/>
    <mergeCell ref="B729:D729"/>
    <mergeCell ref="B755:D755"/>
    <mergeCell ref="B764:D764"/>
    <mergeCell ref="B775:D775"/>
    <mergeCell ref="B785:D785"/>
    <mergeCell ref="C304:C313"/>
    <mergeCell ref="C315:C343"/>
    <mergeCell ref="B388:B404"/>
    <mergeCell ref="B406:B415"/>
    <mergeCell ref="B285:B302"/>
    <mergeCell ref="C285:C302"/>
    <mergeCell ref="C345:C352"/>
    <mergeCell ref="C354:C363"/>
    <mergeCell ref="C365:C377"/>
    <mergeCell ref="C379:C386"/>
    <mergeCell ref="C388:C404"/>
    <mergeCell ref="B303:D303"/>
    <mergeCell ref="B314:D314"/>
    <mergeCell ref="B344:D344"/>
    <mergeCell ref="B354:B363"/>
    <mergeCell ref="B365:B377"/>
    <mergeCell ref="B379:B386"/>
    <mergeCell ref="B516:D516"/>
    <mergeCell ref="C509:C515"/>
    <mergeCell ref="B509:B515"/>
    <mergeCell ref="B482:D482"/>
    <mergeCell ref="B504:D504"/>
    <mergeCell ref="B508:D508"/>
    <mergeCell ref="B417:B427"/>
    <mergeCell ref="B429:B435"/>
    <mergeCell ref="B437:B446"/>
    <mergeCell ref="B448:B460"/>
    <mergeCell ref="B462:B471"/>
    <mergeCell ref="B473:B481"/>
    <mergeCell ref="B483:B503"/>
    <mergeCell ref="B505:B507"/>
    <mergeCell ref="C483:C503"/>
    <mergeCell ref="C505:C507"/>
    <mergeCell ref="C462:C471"/>
    <mergeCell ref="C473:C481"/>
    <mergeCell ref="B461:D461"/>
    <mergeCell ref="B472:D472"/>
    <mergeCell ref="B267:D267"/>
    <mergeCell ref="B150:B176"/>
    <mergeCell ref="C150:C176"/>
    <mergeCell ref="C201:C211"/>
    <mergeCell ref="C213:C226"/>
    <mergeCell ref="C228:C240"/>
    <mergeCell ref="B284:D284"/>
    <mergeCell ref="C242:C251"/>
    <mergeCell ref="C253:C266"/>
    <mergeCell ref="B186:B199"/>
    <mergeCell ref="C186:C199"/>
    <mergeCell ref="B200:D200"/>
    <mergeCell ref="B1329:B1339"/>
    <mergeCell ref="C1329:C1339"/>
    <mergeCell ref="B1340:D1340"/>
    <mergeCell ref="B1310:B1315"/>
    <mergeCell ref="C1310:C1315"/>
    <mergeCell ref="B1316:D1316"/>
    <mergeCell ref="B131:D131"/>
    <mergeCell ref="B132:B148"/>
    <mergeCell ref="B178:B184"/>
    <mergeCell ref="B201:B211"/>
    <mergeCell ref="B213:B226"/>
    <mergeCell ref="B228:B240"/>
    <mergeCell ref="B242:B251"/>
    <mergeCell ref="B253:B266"/>
    <mergeCell ref="B268:B283"/>
    <mergeCell ref="B149:D149"/>
    <mergeCell ref="B177:D177"/>
    <mergeCell ref="B185:D185"/>
    <mergeCell ref="B212:D212"/>
    <mergeCell ref="B227:D227"/>
    <mergeCell ref="C178:C184"/>
    <mergeCell ref="C268:C283"/>
    <mergeCell ref="B241:D241"/>
    <mergeCell ref="B252:D252"/>
  </mergeCells>
  <phoneticPr fontId="73" type="noConversion"/>
  <conditionalFormatting sqref="D114">
    <cfRule type="duplicateValues" dxfId="211" priority="217"/>
  </conditionalFormatting>
  <conditionalFormatting sqref="D405">
    <cfRule type="duplicateValues" dxfId="210" priority="234"/>
  </conditionalFormatting>
  <conditionalFormatting sqref="D483">
    <cfRule type="duplicateValues" dxfId="209" priority="199"/>
  </conditionalFormatting>
  <conditionalFormatting sqref="D506">
    <cfRule type="duplicateValues" dxfId="208" priority="266"/>
  </conditionalFormatting>
  <conditionalFormatting sqref="D517">
    <cfRule type="duplicateValues" dxfId="207" priority="198"/>
  </conditionalFormatting>
  <conditionalFormatting sqref="D828">
    <cfRule type="duplicateValues" dxfId="206" priority="227"/>
  </conditionalFormatting>
  <conditionalFormatting sqref="D848">
    <cfRule type="duplicateValues" dxfId="205" priority="127561"/>
  </conditionalFormatting>
  <conditionalFormatting sqref="D876">
    <cfRule type="duplicateValues" dxfId="204" priority="216"/>
  </conditionalFormatting>
  <conditionalFormatting sqref="D909">
    <cfRule type="duplicateValues" dxfId="203" priority="213"/>
  </conditionalFormatting>
  <conditionalFormatting sqref="D916">
    <cfRule type="duplicateValues" dxfId="202" priority="211"/>
  </conditionalFormatting>
  <conditionalFormatting sqref="D983">
    <cfRule type="duplicateValues" dxfId="201" priority="203"/>
  </conditionalFormatting>
  <conditionalFormatting sqref="D1025">
    <cfRule type="duplicateValues" dxfId="200" priority="184"/>
  </conditionalFormatting>
  <conditionalFormatting sqref="D1032:D1041">
    <cfRule type="duplicateValues" dxfId="199" priority="127864"/>
  </conditionalFormatting>
  <conditionalFormatting sqref="D1054">
    <cfRule type="duplicateValues" dxfId="198" priority="170"/>
  </conditionalFormatting>
  <conditionalFormatting sqref="D1063">
    <cfRule type="duplicateValues" dxfId="197" priority="164"/>
  </conditionalFormatting>
  <conditionalFormatting sqref="D1082">
    <cfRule type="duplicateValues" dxfId="196" priority="158"/>
  </conditionalFormatting>
  <conditionalFormatting sqref="D509:D514">
    <cfRule type="duplicateValues" dxfId="195" priority="264"/>
  </conditionalFormatting>
  <conditionalFormatting sqref="D515:D516">
    <cfRule type="duplicateValues" dxfId="194" priority="265"/>
  </conditionalFormatting>
  <conditionalFormatting sqref="D532:D533">
    <cfRule type="duplicateValues" dxfId="193" priority="263"/>
  </conditionalFormatting>
  <conditionalFormatting sqref="D543:D556">
    <cfRule type="duplicateValues" dxfId="192" priority="259"/>
  </conditionalFormatting>
  <conditionalFormatting sqref="D566:D567">
    <cfRule type="duplicateValues" dxfId="191" priority="258"/>
  </conditionalFormatting>
  <conditionalFormatting sqref="D568:D583">
    <cfRule type="duplicateValues" dxfId="190" priority="127595"/>
  </conditionalFormatting>
  <conditionalFormatting sqref="D668:D686">
    <cfRule type="duplicateValues" dxfId="189" priority="252"/>
  </conditionalFormatting>
  <conditionalFormatting sqref="D710:D719">
    <cfRule type="duplicateValues" dxfId="188" priority="127330"/>
  </conditionalFormatting>
  <conditionalFormatting sqref="D766:D767">
    <cfRule type="duplicateValues" dxfId="187" priority="239"/>
  </conditionalFormatting>
  <conditionalFormatting sqref="D777:D782">
    <cfRule type="duplicateValues" dxfId="186" priority="127608"/>
  </conditionalFormatting>
  <conditionalFormatting sqref="D787:D788">
    <cfRule type="duplicateValues" dxfId="185" priority="235"/>
  </conditionalFormatting>
  <conditionalFormatting sqref="D797:D806">
    <cfRule type="duplicateValues" dxfId="184" priority="232"/>
  </conditionalFormatting>
  <conditionalFormatting sqref="D808:D813">
    <cfRule type="duplicateValues" dxfId="183" priority="230"/>
  </conditionalFormatting>
  <conditionalFormatting sqref="D818:D827">
    <cfRule type="duplicateValues" dxfId="182" priority="229"/>
  </conditionalFormatting>
  <conditionalFormatting sqref="D829:D837">
    <cfRule type="duplicateValues" dxfId="181" priority="127392"/>
  </conditionalFormatting>
  <conditionalFormatting sqref="D843:D847">
    <cfRule type="duplicateValues" dxfId="180" priority="226"/>
  </conditionalFormatting>
  <conditionalFormatting sqref="D877:D884">
    <cfRule type="duplicateValues" dxfId="179" priority="223"/>
  </conditionalFormatting>
  <conditionalFormatting sqref="D885:D887">
    <cfRule type="duplicateValues" dxfId="178" priority="222"/>
  </conditionalFormatting>
  <conditionalFormatting sqref="D888:D891">
    <cfRule type="duplicateValues" dxfId="177" priority="220"/>
  </conditionalFormatting>
  <conditionalFormatting sqref="D892:D897">
    <cfRule type="duplicateValues" dxfId="176" priority="219"/>
  </conditionalFormatting>
  <conditionalFormatting sqref="D898:D908">
    <cfRule type="duplicateValues" dxfId="175" priority="215"/>
  </conditionalFormatting>
  <conditionalFormatting sqref="D910:D915">
    <cfRule type="duplicateValues" dxfId="174" priority="127618"/>
  </conditionalFormatting>
  <conditionalFormatting sqref="D957:D967">
    <cfRule type="duplicateValues" dxfId="173" priority="207"/>
  </conditionalFormatting>
  <conditionalFormatting sqref="D991:D993">
    <cfRule type="duplicateValues" dxfId="172" priority="204"/>
  </conditionalFormatting>
  <conditionalFormatting sqref="D994:D1002">
    <cfRule type="duplicateValues" dxfId="171" priority="127841"/>
  </conditionalFormatting>
  <conditionalFormatting sqref="D1026:D1031">
    <cfRule type="duplicateValues" dxfId="170" priority="186"/>
  </conditionalFormatting>
  <conditionalFormatting sqref="D1032:D1043">
    <cfRule type="duplicateValues" dxfId="169" priority="182"/>
  </conditionalFormatting>
  <conditionalFormatting sqref="D1088:D1092">
    <cfRule type="duplicateValues" dxfId="168" priority="162"/>
  </conditionalFormatting>
  <conditionalFormatting sqref="D640:D652">
    <cfRule type="duplicateValues" dxfId="167" priority="127865"/>
  </conditionalFormatting>
  <conditionalFormatting sqref="D917:D932">
    <cfRule type="duplicateValues" dxfId="166" priority="127866"/>
  </conditionalFormatting>
  <conditionalFormatting sqref="D968:D982">
    <cfRule type="duplicateValues" dxfId="165" priority="127871"/>
  </conditionalFormatting>
  <conditionalFormatting sqref="D407:D413">
    <cfRule type="duplicateValues" dxfId="164" priority="127872"/>
  </conditionalFormatting>
  <conditionalFormatting sqref="D1111:D1117">
    <cfRule type="duplicateValues" dxfId="163" priority="147"/>
  </conditionalFormatting>
  <conditionalFormatting sqref="D1118:D1122">
    <cfRule type="duplicateValues" dxfId="162" priority="148"/>
  </conditionalFormatting>
  <conditionalFormatting sqref="D1111:D1122">
    <cfRule type="duplicateValues" dxfId="161" priority="145"/>
  </conditionalFormatting>
  <conditionalFormatting sqref="D1110">
    <cfRule type="duplicateValues" dxfId="160" priority="144"/>
  </conditionalFormatting>
  <conditionalFormatting sqref="D1123">
    <cfRule type="duplicateValues" dxfId="159" priority="139"/>
  </conditionalFormatting>
  <conditionalFormatting sqref="D1135:D1145">
    <cfRule type="duplicateValues" dxfId="158" priority="138"/>
  </conditionalFormatting>
  <conditionalFormatting sqref="D1135:D1145">
    <cfRule type="duplicateValues" dxfId="157" priority="137"/>
  </conditionalFormatting>
  <conditionalFormatting sqref="D557:D565">
    <cfRule type="duplicateValues" dxfId="156" priority="127886"/>
  </conditionalFormatting>
  <conditionalFormatting sqref="D1018:D1024">
    <cfRule type="duplicateValues" dxfId="155" priority="127888"/>
  </conditionalFormatting>
  <conditionalFormatting sqref="D285:D300">
    <cfRule type="duplicateValues" dxfId="154" priority="127889"/>
  </conditionalFormatting>
  <conditionalFormatting sqref="D1147:D1156">
    <cfRule type="duplicateValues" dxfId="153" priority="135"/>
  </conditionalFormatting>
  <conditionalFormatting sqref="D1147:D1156">
    <cfRule type="duplicateValues" dxfId="152" priority="134"/>
  </conditionalFormatting>
  <conditionalFormatting sqref="D1160:D1164 D1157">
    <cfRule type="duplicateValues" dxfId="151" priority="133"/>
  </conditionalFormatting>
  <conditionalFormatting sqref="D1160:D1164 D1157">
    <cfRule type="duplicateValues" dxfId="150" priority="132"/>
  </conditionalFormatting>
  <conditionalFormatting sqref="D1146">
    <cfRule type="duplicateValues" dxfId="149" priority="131"/>
  </conditionalFormatting>
  <conditionalFormatting sqref="D898">
    <cfRule type="duplicateValues" dxfId="148" priority="130"/>
  </conditionalFormatting>
  <conditionalFormatting sqref="D899:D900">
    <cfRule type="duplicateValues" dxfId="147" priority="129"/>
  </conditionalFormatting>
  <conditionalFormatting sqref="D1044">
    <cfRule type="duplicateValues" dxfId="146" priority="126"/>
  </conditionalFormatting>
  <conditionalFormatting sqref="D1045:D1048">
    <cfRule type="duplicateValues" dxfId="145" priority="127"/>
  </conditionalFormatting>
  <conditionalFormatting sqref="D1049:D1053">
    <cfRule type="duplicateValues" dxfId="144" priority="128"/>
  </conditionalFormatting>
  <conditionalFormatting sqref="D1044:D1053">
    <cfRule type="duplicateValues" dxfId="143" priority="125"/>
  </conditionalFormatting>
  <conditionalFormatting sqref="D1054">
    <cfRule type="duplicateValues" dxfId="142" priority="124"/>
  </conditionalFormatting>
  <conditionalFormatting sqref="D899">
    <cfRule type="duplicateValues" dxfId="141" priority="123"/>
  </conditionalFormatting>
  <conditionalFormatting sqref="D849 D851:D863">
    <cfRule type="duplicateValues" dxfId="140" priority="127931"/>
  </conditionalFormatting>
  <conditionalFormatting sqref="D850">
    <cfRule type="duplicateValues" dxfId="139" priority="121"/>
  </conditionalFormatting>
  <conditionalFormatting sqref="D850">
    <cfRule type="duplicateValues" dxfId="138" priority="120"/>
  </conditionalFormatting>
  <conditionalFormatting sqref="D697:D709">
    <cfRule type="duplicateValues" dxfId="137" priority="127946"/>
  </conditionalFormatting>
  <conditionalFormatting sqref="D818:D825">
    <cfRule type="duplicateValues" dxfId="136" priority="119"/>
  </conditionalFormatting>
  <conditionalFormatting sqref="D687:D696">
    <cfRule type="duplicateValues" dxfId="135" priority="117"/>
  </conditionalFormatting>
  <conditionalFormatting sqref="D687:D696">
    <cfRule type="duplicateValues" dxfId="134" priority="116"/>
  </conditionalFormatting>
  <conditionalFormatting sqref="D1009:D1017 D1003">
    <cfRule type="duplicateValues" dxfId="133" priority="127955"/>
  </conditionalFormatting>
  <conditionalFormatting sqref="D1064:D1071">
    <cfRule type="duplicateValues" dxfId="132" priority="127956"/>
  </conditionalFormatting>
  <conditionalFormatting sqref="D1064:D1069">
    <cfRule type="duplicateValues" dxfId="131" priority="127965"/>
  </conditionalFormatting>
  <conditionalFormatting sqref="D933:D935">
    <cfRule type="duplicateValues" dxfId="130" priority="127978"/>
  </conditionalFormatting>
  <conditionalFormatting sqref="D934:D941">
    <cfRule type="duplicateValues" dxfId="129" priority="127980"/>
  </conditionalFormatting>
  <conditionalFormatting sqref="D942:D956">
    <cfRule type="duplicateValues" dxfId="128" priority="127981"/>
  </conditionalFormatting>
  <conditionalFormatting sqref="D1186:D1195">
    <cfRule type="duplicateValues" dxfId="127" priority="111"/>
  </conditionalFormatting>
  <conditionalFormatting sqref="D1186:D1195">
    <cfRule type="duplicateValues" dxfId="126" priority="110"/>
  </conditionalFormatting>
  <conditionalFormatting sqref="D1186:D1190">
    <cfRule type="duplicateValues" dxfId="125" priority="109"/>
  </conditionalFormatting>
  <conditionalFormatting sqref="D731:D752">
    <cfRule type="duplicateValues" dxfId="124" priority="128000"/>
  </conditionalFormatting>
  <conditionalFormatting sqref="D1158:D1159">
    <cfRule type="duplicateValues" dxfId="123" priority="128018"/>
  </conditionalFormatting>
  <conditionalFormatting sqref="D1158:D1159">
    <cfRule type="duplicateValues" dxfId="122" priority="128020"/>
  </conditionalFormatting>
  <conditionalFormatting sqref="D1196:D1210">
    <cfRule type="duplicateValues" dxfId="121" priority="108"/>
  </conditionalFormatting>
  <conditionalFormatting sqref="D1196:D1210">
    <cfRule type="duplicateValues" dxfId="120" priority="107"/>
  </conditionalFormatting>
  <conditionalFormatting sqref="D1211:D1223">
    <cfRule type="duplicateValues" dxfId="119" priority="105"/>
  </conditionalFormatting>
  <conditionalFormatting sqref="D1211:D1223">
    <cfRule type="duplicateValues" dxfId="118" priority="104"/>
  </conditionalFormatting>
  <conditionalFormatting sqref="D1211:D1223">
    <cfRule type="duplicateValues" dxfId="117" priority="103"/>
  </conditionalFormatting>
  <conditionalFormatting sqref="D1225:D1237">
    <cfRule type="duplicateValues" dxfId="116" priority="102"/>
  </conditionalFormatting>
  <conditionalFormatting sqref="D1225:D1237">
    <cfRule type="duplicateValues" dxfId="115" priority="101"/>
  </conditionalFormatting>
  <conditionalFormatting sqref="D1225:D1237">
    <cfRule type="duplicateValues" dxfId="114" priority="100"/>
  </conditionalFormatting>
  <conditionalFormatting sqref="D1224">
    <cfRule type="duplicateValues" dxfId="113" priority="99"/>
  </conditionalFormatting>
  <conditionalFormatting sqref="D1224">
    <cfRule type="duplicateValues" dxfId="112" priority="98"/>
  </conditionalFormatting>
  <conditionalFormatting sqref="D1224">
    <cfRule type="duplicateValues" dxfId="111" priority="97"/>
  </conditionalFormatting>
  <conditionalFormatting sqref="D151">
    <cfRule type="duplicateValues" dxfId="110" priority="128064"/>
  </conditionalFormatting>
  <conditionalFormatting sqref="D1239:D1250">
    <cfRule type="duplicateValues" dxfId="109" priority="96"/>
  </conditionalFormatting>
  <conditionalFormatting sqref="D1239:D1250">
    <cfRule type="duplicateValues" dxfId="108" priority="95"/>
  </conditionalFormatting>
  <conditionalFormatting sqref="D1239:D1250">
    <cfRule type="duplicateValues" dxfId="107" priority="94"/>
  </conditionalFormatting>
  <conditionalFormatting sqref="D1238">
    <cfRule type="duplicateValues" dxfId="106" priority="93"/>
  </conditionalFormatting>
  <conditionalFormatting sqref="D1238">
    <cfRule type="duplicateValues" dxfId="105" priority="92"/>
  </conditionalFormatting>
  <conditionalFormatting sqref="D1238">
    <cfRule type="duplicateValues" dxfId="104" priority="91"/>
  </conditionalFormatting>
  <conditionalFormatting sqref="D1251:D1258">
    <cfRule type="duplicateValues" dxfId="103" priority="90"/>
  </conditionalFormatting>
  <conditionalFormatting sqref="D1251:D1258">
    <cfRule type="duplicateValues" dxfId="102" priority="89"/>
  </conditionalFormatting>
  <conditionalFormatting sqref="D756:D761">
    <cfRule type="duplicateValues" dxfId="101" priority="88"/>
  </conditionalFormatting>
  <conditionalFormatting sqref="D1259:D1266">
    <cfRule type="duplicateValues" dxfId="100" priority="87"/>
  </conditionalFormatting>
  <conditionalFormatting sqref="D1259:D1266">
    <cfRule type="duplicateValues" dxfId="99" priority="86"/>
  </conditionalFormatting>
  <conditionalFormatting sqref="D584:D613">
    <cfRule type="duplicateValues" dxfId="98" priority="128097"/>
  </conditionalFormatting>
  <conditionalFormatting sqref="D614:D626">
    <cfRule type="duplicateValues" dxfId="97" priority="85"/>
  </conditionalFormatting>
  <conditionalFormatting sqref="D614:D626">
    <cfRule type="duplicateValues" dxfId="96" priority="84"/>
  </conditionalFormatting>
  <conditionalFormatting sqref="D614:D626">
    <cfRule type="duplicateValues" dxfId="95" priority="83"/>
  </conditionalFormatting>
  <conditionalFormatting sqref="D1165:D1185">
    <cfRule type="duplicateValues" dxfId="94" priority="128104"/>
  </conditionalFormatting>
  <conditionalFormatting sqref="D1165:D1185">
    <cfRule type="duplicateValues" dxfId="93" priority="128106"/>
  </conditionalFormatting>
  <conditionalFormatting sqref="D282">
    <cfRule type="duplicateValues" dxfId="92" priority="80"/>
  </conditionalFormatting>
  <conditionalFormatting sqref="D1317:D1328 D1054:D1071 D851:D863 D159:D185 D876:D1003 D1009:D1043 D697:D849 D201:D405 D1341:D1048576 D1082:D1109 D640:D686 D1:D151 D407:D613">
    <cfRule type="duplicateValues" dxfId="91" priority="128120"/>
  </conditionalFormatting>
  <conditionalFormatting sqref="D1317:D1328 D1009:D1071 D876:D1003 D159:D185 D201:D405 D1341:D1048576 D1082:D1210 D640:D863 D1:D151 D407:D613">
    <cfRule type="duplicateValues" dxfId="90" priority="128130"/>
  </conditionalFormatting>
  <conditionalFormatting sqref="D653">
    <cfRule type="duplicateValues" dxfId="89" priority="79"/>
  </conditionalFormatting>
  <conditionalFormatting sqref="D730">
    <cfRule type="duplicateValues" dxfId="88" priority="75"/>
  </conditionalFormatting>
  <conditionalFormatting sqref="D864">
    <cfRule type="duplicateValues" dxfId="87" priority="74"/>
  </conditionalFormatting>
  <conditionalFormatting sqref="D869:D872">
    <cfRule type="duplicateValues" dxfId="86" priority="73"/>
  </conditionalFormatting>
  <conditionalFormatting sqref="D873:D875">
    <cfRule type="duplicateValues" dxfId="85" priority="72"/>
  </conditionalFormatting>
  <conditionalFormatting sqref="D864 D869:D875">
    <cfRule type="duplicateValues" dxfId="84" priority="71"/>
  </conditionalFormatting>
  <conditionalFormatting sqref="D864">
    <cfRule type="duplicateValues" dxfId="83" priority="70"/>
  </conditionalFormatting>
  <conditionalFormatting sqref="D865:D868">
    <cfRule type="duplicateValues" dxfId="82" priority="69"/>
  </conditionalFormatting>
  <conditionalFormatting sqref="D865:D868">
    <cfRule type="duplicateValues" dxfId="81" priority="68"/>
  </conditionalFormatting>
  <conditionalFormatting sqref="D865:D868">
    <cfRule type="duplicateValues" dxfId="80" priority="67"/>
  </conditionalFormatting>
  <conditionalFormatting sqref="D1032">
    <cfRule type="duplicateValues" dxfId="79" priority="64"/>
  </conditionalFormatting>
  <conditionalFormatting sqref="D1033:D1034">
    <cfRule type="duplicateValues" dxfId="78" priority="63"/>
  </conditionalFormatting>
  <conditionalFormatting sqref="D943:D947">
    <cfRule type="duplicateValues" dxfId="77" priority="62"/>
  </conditionalFormatting>
  <conditionalFormatting sqref="D917:D918">
    <cfRule type="duplicateValues" dxfId="76" priority="61"/>
  </conditionalFormatting>
  <conditionalFormatting sqref="D917:D918">
    <cfRule type="duplicateValues" dxfId="75" priority="60"/>
  </conditionalFormatting>
  <conditionalFormatting sqref="D115:D131">
    <cfRule type="duplicateValues" dxfId="74" priority="128182"/>
  </conditionalFormatting>
  <conditionalFormatting sqref="D1277:D1280">
    <cfRule type="duplicateValues" dxfId="73" priority="59"/>
  </conditionalFormatting>
  <conditionalFormatting sqref="D1277:D1280">
    <cfRule type="duplicateValues" dxfId="72" priority="58"/>
  </conditionalFormatting>
  <conditionalFormatting sqref="D1267">
    <cfRule type="duplicateValues" dxfId="71" priority="57"/>
  </conditionalFormatting>
  <conditionalFormatting sqref="D1267">
    <cfRule type="duplicateValues" dxfId="70" priority="56"/>
  </conditionalFormatting>
  <conditionalFormatting sqref="D1268:D1276">
    <cfRule type="duplicateValues" dxfId="69" priority="55"/>
  </conditionalFormatting>
  <conditionalFormatting sqref="D1268:D1276">
    <cfRule type="duplicateValues" dxfId="68" priority="54"/>
  </conditionalFormatting>
  <conditionalFormatting sqref="D1166:D1169 D1172 D1174 D1176:D1182">
    <cfRule type="duplicateValues" dxfId="67" priority="53"/>
  </conditionalFormatting>
  <conditionalFormatting sqref="D1166:D1169 D1172 D1174 D1176:D1182">
    <cfRule type="duplicateValues" dxfId="66" priority="52"/>
  </conditionalFormatting>
  <conditionalFormatting sqref="D1004:D1008">
    <cfRule type="duplicateValues" dxfId="65" priority="128201"/>
  </conditionalFormatting>
  <conditionalFormatting sqref="D1004:D1008">
    <cfRule type="duplicateValues" dxfId="64" priority="128202"/>
  </conditionalFormatting>
  <conditionalFormatting sqref="D518:D531">
    <cfRule type="duplicateValues" dxfId="63" priority="128211"/>
  </conditionalFormatting>
  <conditionalFormatting sqref="D1055:D1062">
    <cfRule type="duplicateValues" dxfId="62" priority="128243"/>
  </conditionalFormatting>
  <conditionalFormatting sqref="D1055:D1058">
    <cfRule type="duplicateValues" dxfId="61" priority="128245"/>
  </conditionalFormatting>
  <conditionalFormatting sqref="D1291:D1294">
    <cfRule type="duplicateValues" dxfId="60" priority="49"/>
  </conditionalFormatting>
  <conditionalFormatting sqref="D1291:D1294">
    <cfRule type="duplicateValues" dxfId="59" priority="48"/>
  </conditionalFormatting>
  <conditionalFormatting sqref="D1281">
    <cfRule type="duplicateValues" dxfId="58" priority="47"/>
  </conditionalFormatting>
  <conditionalFormatting sqref="D1281">
    <cfRule type="duplicateValues" dxfId="57" priority="46"/>
  </conditionalFormatting>
  <conditionalFormatting sqref="D1282:D1290">
    <cfRule type="duplicateValues" dxfId="56" priority="45"/>
  </conditionalFormatting>
  <conditionalFormatting sqref="D1282:D1290">
    <cfRule type="duplicateValues" dxfId="55" priority="44"/>
  </conditionalFormatting>
  <conditionalFormatting sqref="D641:D642">
    <cfRule type="duplicateValues" dxfId="54" priority="43"/>
  </conditionalFormatting>
  <conditionalFormatting sqref="D1295:D1302">
    <cfRule type="duplicateValues" dxfId="53" priority="42"/>
  </conditionalFormatting>
  <conditionalFormatting sqref="D1295:D1302">
    <cfRule type="duplicateValues" dxfId="52" priority="41"/>
  </conditionalFormatting>
  <conditionalFormatting sqref="D1096:D1097">
    <cfRule type="duplicateValues" dxfId="51" priority="40"/>
  </conditionalFormatting>
  <conditionalFormatting sqref="D1304:D1305">
    <cfRule type="duplicateValues" dxfId="50" priority="39"/>
  </conditionalFormatting>
  <conditionalFormatting sqref="D1304:D1309">
    <cfRule type="duplicateValues" dxfId="49" priority="38"/>
  </conditionalFormatting>
  <conditionalFormatting sqref="D1304:D1309">
    <cfRule type="duplicateValues" dxfId="48" priority="37"/>
  </conditionalFormatting>
  <conditionalFormatting sqref="D1304:D1309">
    <cfRule type="duplicateValues" dxfId="47" priority="36"/>
  </conditionalFormatting>
  <conditionalFormatting sqref="D1303">
    <cfRule type="duplicateValues" dxfId="46" priority="35"/>
  </conditionalFormatting>
  <conditionalFormatting sqref="D1303">
    <cfRule type="duplicateValues" dxfId="45" priority="34"/>
  </conditionalFormatting>
  <conditionalFormatting sqref="D1311:D1312">
    <cfRule type="duplicateValues" dxfId="44" priority="33"/>
  </conditionalFormatting>
  <conditionalFormatting sqref="D1311:D1316">
    <cfRule type="duplicateValues" dxfId="43" priority="32"/>
  </conditionalFormatting>
  <conditionalFormatting sqref="D1311:D1316">
    <cfRule type="duplicateValues" dxfId="42" priority="31"/>
  </conditionalFormatting>
  <conditionalFormatting sqref="D1311:D1316">
    <cfRule type="duplicateValues" dxfId="41" priority="30"/>
  </conditionalFormatting>
  <conditionalFormatting sqref="D1310">
    <cfRule type="duplicateValues" dxfId="40" priority="29"/>
  </conditionalFormatting>
  <conditionalFormatting sqref="D1310">
    <cfRule type="duplicateValues" dxfId="39" priority="28"/>
  </conditionalFormatting>
  <conditionalFormatting sqref="D152:D158">
    <cfRule type="duplicateValues" dxfId="38" priority="128492"/>
  </conditionalFormatting>
  <conditionalFormatting sqref="D484:D504">
    <cfRule type="duplicateValues" dxfId="37" priority="128517"/>
  </conditionalFormatting>
  <conditionalFormatting sqref="D1072">
    <cfRule type="duplicateValues" dxfId="36" priority="27"/>
  </conditionalFormatting>
  <conditionalFormatting sqref="D1077:D1081">
    <cfRule type="duplicateValues" dxfId="35" priority="26"/>
  </conditionalFormatting>
  <conditionalFormatting sqref="D1073:D1076">
    <cfRule type="duplicateValues" dxfId="34" priority="25"/>
  </conditionalFormatting>
  <conditionalFormatting sqref="D1072:D1081">
    <cfRule type="duplicateValues" dxfId="33" priority="24"/>
  </conditionalFormatting>
  <conditionalFormatting sqref="D1072:D1081">
    <cfRule type="duplicateValues" dxfId="32" priority="23"/>
  </conditionalFormatting>
  <conditionalFormatting sqref="D627 D631:D639">
    <cfRule type="duplicateValues" dxfId="31" priority="22"/>
  </conditionalFormatting>
  <conditionalFormatting sqref="D627 D631:D639">
    <cfRule type="duplicateValues" dxfId="30" priority="21"/>
  </conditionalFormatting>
  <conditionalFormatting sqref="D627">
    <cfRule type="duplicateValues" dxfId="29" priority="20"/>
  </conditionalFormatting>
  <conditionalFormatting sqref="D628:D630">
    <cfRule type="duplicateValues" dxfId="28" priority="18"/>
  </conditionalFormatting>
  <conditionalFormatting sqref="D628:D630">
    <cfRule type="duplicateValues" dxfId="27" priority="17"/>
  </conditionalFormatting>
  <conditionalFormatting sqref="D628:D630">
    <cfRule type="duplicateValues" dxfId="26" priority="16"/>
  </conditionalFormatting>
  <conditionalFormatting sqref="D1083:D1088">
    <cfRule type="duplicateValues" dxfId="25" priority="128520"/>
  </conditionalFormatting>
  <conditionalFormatting sqref="D641:D642">
    <cfRule type="duplicateValues" dxfId="24" priority="15"/>
  </conditionalFormatting>
  <conditionalFormatting sqref="D1320:D1323">
    <cfRule type="duplicateValues" dxfId="23" priority="14"/>
  </conditionalFormatting>
  <conditionalFormatting sqref="D1320:D1328">
    <cfRule type="duplicateValues" dxfId="22" priority="13"/>
  </conditionalFormatting>
  <conditionalFormatting sqref="D1320:D1328">
    <cfRule type="duplicateValues" dxfId="21" priority="12"/>
  </conditionalFormatting>
  <conditionalFormatting sqref="D1320:D1328">
    <cfRule type="duplicateValues" dxfId="20" priority="11"/>
  </conditionalFormatting>
  <conditionalFormatting sqref="D1317:D1319">
    <cfRule type="duplicateValues" dxfId="19" priority="10"/>
  </conditionalFormatting>
  <conditionalFormatting sqref="D1317:D1319">
    <cfRule type="duplicateValues" dxfId="18" priority="9"/>
  </conditionalFormatting>
  <conditionalFormatting sqref="D1329:D1340">
    <cfRule type="duplicateValues" dxfId="17" priority="8"/>
  </conditionalFormatting>
  <conditionalFormatting sqref="D1329:D1340">
    <cfRule type="duplicateValues" dxfId="16" priority="7"/>
  </conditionalFormatting>
  <conditionalFormatting sqref="D1332:D1335">
    <cfRule type="duplicateValues" dxfId="15" priority="6"/>
  </conditionalFormatting>
  <conditionalFormatting sqref="D1332:D1340">
    <cfRule type="duplicateValues" dxfId="14" priority="5"/>
  </conditionalFormatting>
  <conditionalFormatting sqref="D1332:D1340">
    <cfRule type="duplicateValues" dxfId="13" priority="4"/>
  </conditionalFormatting>
  <conditionalFormatting sqref="D1332:D1340">
    <cfRule type="duplicateValues" dxfId="12" priority="3"/>
  </conditionalFormatting>
  <conditionalFormatting sqref="D1329:D1331">
    <cfRule type="duplicateValues" dxfId="11" priority="2"/>
  </conditionalFormatting>
  <conditionalFormatting sqref="D1329:D1331">
    <cfRule type="duplicateValues" dxfId="10" priority="1"/>
  </conditionalFormatting>
  <conditionalFormatting sqref="D984:D990">
    <cfRule type="duplicateValues" dxfId="9" priority="128553"/>
  </conditionalFormatting>
  <conditionalFormatting sqref="D984:D989">
    <cfRule type="duplicateValues" dxfId="8" priority="128554"/>
  </conditionalFormatting>
  <conditionalFormatting sqref="D1124:D1134">
    <cfRule type="duplicateValues" dxfId="7" priority="128557"/>
  </conditionalFormatting>
  <conditionalFormatting sqref="D1124:D1132">
    <cfRule type="duplicateValues" dxfId="6" priority="128590"/>
  </conditionalFormatting>
  <conditionalFormatting sqref="D1124:D1134">
    <cfRule type="duplicateValues" dxfId="5" priority="128594"/>
  </conditionalFormatting>
  <conditionalFormatting sqref="D534:D542">
    <cfRule type="duplicateValues" dxfId="4" priority="128668"/>
  </conditionalFormatting>
  <conditionalFormatting sqref="D534:D540">
    <cfRule type="duplicateValues" dxfId="3" priority="128670"/>
  </conditionalFormatting>
  <conditionalFormatting sqref="D186:D200">
    <cfRule type="duplicateValues" dxfId="2" priority="128773"/>
  </conditionalFormatting>
  <conditionalFormatting sqref="D269:D281">
    <cfRule type="duplicateValues" dxfId="1" priority="128845"/>
  </conditionalFormatting>
  <conditionalFormatting sqref="D653:D667">
    <cfRule type="duplicateValues" dxfId="0" priority="12888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Q31" sqref="Q31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763</v>
      </c>
      <c r="B2" s="22" t="s">
        <v>648</v>
      </c>
      <c r="C2" s="23" t="s">
        <v>764</v>
      </c>
      <c r="D2" s="24" t="s">
        <v>765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19200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>
        <v>2400</v>
      </c>
      <c r="M4" s="32">
        <v>2400</v>
      </c>
      <c r="N4" s="32">
        <f>2400+2400</f>
        <v>4800</v>
      </c>
      <c r="O4" s="32"/>
      <c r="P4" s="32"/>
      <c r="Q4" s="32">
        <v>2400</v>
      </c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19200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4950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4950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25200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>
        <v>3600</v>
      </c>
      <c r="N6" s="32">
        <v>3600</v>
      </c>
      <c r="O6" s="32"/>
      <c r="P6" s="32"/>
      <c r="Q6" s="32">
        <v>3600</v>
      </c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36350</v>
      </c>
      <c r="AN6" s="35">
        <f t="shared" si="2"/>
        <v>-11150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1154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9900</v>
      </c>
      <c r="AN10" s="35">
        <f>+D10-AM10-AO10</f>
        <v>-9900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21600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>
        <v>3600</v>
      </c>
      <c r="M11" s="32"/>
      <c r="N11" s="32">
        <v>3600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21600</v>
      </c>
      <c r="AN11" s="35">
        <f t="shared" si="2"/>
        <v>0</v>
      </c>
    </row>
    <row r="12" spans="1:41" s="3" customFormat="1">
      <c r="A12" s="27">
        <v>10</v>
      </c>
      <c r="B12" s="28" t="s">
        <v>1236</v>
      </c>
      <c r="C12" s="29" t="s">
        <v>76</v>
      </c>
      <c r="D12" s="30">
        <f t="shared" si="1"/>
        <v>7200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>
        <v>3600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7200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3500</v>
      </c>
      <c r="AN13" s="35">
        <f t="shared" si="2"/>
        <v>-3500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8400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>
        <v>1200</v>
      </c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8400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10500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>
        <v>3300</v>
      </c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10500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2850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>
        <v>2850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2850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310</v>
      </c>
      <c r="C23" s="29" t="s">
        <v>309</v>
      </c>
      <c r="D23" s="30">
        <f t="shared" si="1"/>
        <v>8640</v>
      </c>
      <c r="E23" s="31"/>
      <c r="F23" s="32"/>
      <c r="G23" s="32"/>
      <c r="H23" s="32"/>
      <c r="I23" s="32"/>
      <c r="J23" s="32"/>
      <c r="K23" s="32">
        <v>2160</v>
      </c>
      <c r="L23" s="32">
        <v>2160</v>
      </c>
      <c r="M23" s="32"/>
      <c r="N23" s="32">
        <v>2160</v>
      </c>
      <c r="O23" s="32"/>
      <c r="P23" s="32"/>
      <c r="Q23" s="32">
        <v>2160</v>
      </c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8640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5200</v>
      </c>
      <c r="AN24" s="35">
        <f t="shared" si="2"/>
        <v>-5200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1100</v>
      </c>
      <c r="AN25" s="35">
        <f t="shared" si="2"/>
        <v>-1100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2050</v>
      </c>
      <c r="E28" s="31"/>
      <c r="F28" s="32"/>
      <c r="G28" s="32"/>
      <c r="H28" s="32"/>
      <c r="I28" s="32"/>
      <c r="J28" s="32"/>
      <c r="K28" s="32"/>
      <c r="L28" s="32">
        <v>2050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2050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2000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>
        <v>2000</v>
      </c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2000</v>
      </c>
      <c r="AN30" s="35">
        <f t="shared" si="2"/>
        <v>0</v>
      </c>
    </row>
    <row r="31" spans="1:41" s="3" customFormat="1">
      <c r="A31" s="27">
        <v>28</v>
      </c>
      <c r="B31" s="37" t="s">
        <v>889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3000</v>
      </c>
      <c r="E32" s="31"/>
      <c r="F32" s="32"/>
      <c r="G32" s="32"/>
      <c r="H32" s="32"/>
      <c r="I32" s="32"/>
      <c r="J32" s="32"/>
      <c r="K32" s="32"/>
      <c r="L32" s="32">
        <v>1000</v>
      </c>
      <c r="M32" s="32"/>
      <c r="N32" s="32"/>
      <c r="O32" s="32"/>
      <c r="P32" s="32"/>
      <c r="Q32" s="32">
        <v>2000</v>
      </c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11450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147990</v>
      </c>
      <c r="D35" s="364">
        <f>SUM(D3:D34)</f>
        <v>119190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20310</v>
      </c>
      <c r="L35" s="45">
        <f t="shared" si="3"/>
        <v>11210</v>
      </c>
      <c r="M35" s="45">
        <f t="shared" si="3"/>
        <v>10500</v>
      </c>
      <c r="N35" s="45">
        <f t="shared" si="3"/>
        <v>17760</v>
      </c>
      <c r="O35" s="45">
        <f t="shared" si="3"/>
        <v>0</v>
      </c>
      <c r="P35" s="45">
        <f t="shared" si="3"/>
        <v>0</v>
      </c>
      <c r="Q35" s="45">
        <f t="shared" si="3"/>
        <v>15010</v>
      </c>
      <c r="R35" s="45">
        <f t="shared" si="3"/>
        <v>0</v>
      </c>
      <c r="S35" s="45">
        <f t="shared" si="3"/>
        <v>0</v>
      </c>
      <c r="T35" s="45">
        <f t="shared" si="3"/>
        <v>0</v>
      </c>
      <c r="U35" s="45">
        <f t="shared" si="3"/>
        <v>0</v>
      </c>
      <c r="V35" s="45">
        <f t="shared" si="3"/>
        <v>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137140</v>
      </c>
      <c r="AN35" s="46">
        <f t="shared" ref="AN35" si="4">SUM(AN3:AN34)-AN10</f>
        <v>-37250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763</v>
      </c>
      <c r="B37" s="440" t="s">
        <v>766</v>
      </c>
      <c r="C37" s="48" t="s">
        <v>649</v>
      </c>
      <c r="D37" s="341" t="s">
        <v>765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1"/>
      <c r="C38" s="51" t="s">
        <v>767</v>
      </c>
      <c r="D38" s="52">
        <f t="shared" ref="D38:D44" si="6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1"/>
      <c r="C39" s="51" t="s">
        <v>768</v>
      </c>
      <c r="D39" s="52">
        <f t="shared" si="6"/>
        <v>1210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>
        <v>510</v>
      </c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1"/>
      <c r="C40" s="51" t="s">
        <v>769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1"/>
      <c r="C41" s="51" t="s">
        <v>770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1"/>
      <c r="C42" s="51" t="s">
        <v>771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1"/>
      <c r="C43" s="51" t="s">
        <v>772</v>
      </c>
      <c r="D43" s="52">
        <f t="shared" si="6"/>
        <v>20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>
        <v>15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2"/>
      <c r="C44" s="51" t="s">
        <v>773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774</v>
      </c>
      <c r="X47" s="10"/>
      <c r="Y47" s="10"/>
      <c r="AB47" s="9"/>
    </row>
    <row r="48" spans="1:41" s="5" customFormat="1" ht="27" hidden="1" customHeight="1">
      <c r="B48" s="56"/>
      <c r="C48" s="57" t="s">
        <v>763</v>
      </c>
      <c r="D48" s="58" t="s">
        <v>765</v>
      </c>
      <c r="E48" s="59" t="s">
        <v>775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776</v>
      </c>
      <c r="X52" s="10"/>
      <c r="Y52" s="10"/>
      <c r="AB52" s="9"/>
    </row>
    <row r="53" spans="2:39" s="5" customFormat="1" ht="27" hidden="1" customHeight="1">
      <c r="B53" s="56"/>
      <c r="C53" s="57" t="s">
        <v>763</v>
      </c>
      <c r="D53" s="58" t="s">
        <v>765</v>
      </c>
      <c r="E53" s="59" t="s">
        <v>777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649</v>
      </c>
      <c r="C57" s="58" t="s">
        <v>778</v>
      </c>
      <c r="D57" s="69" t="s">
        <v>779</v>
      </c>
    </row>
    <row r="58" spans="2:39" ht="39.75" hidden="1" customHeight="1">
      <c r="B58" s="70" t="s">
        <v>780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516</v>
      </c>
      <c r="D62" s="357" t="s">
        <v>1037</v>
      </c>
      <c r="E62" s="357" t="s">
        <v>1039</v>
      </c>
      <c r="F62" s="357" t="s">
        <v>1040</v>
      </c>
      <c r="G62" s="359" t="s">
        <v>1041</v>
      </c>
      <c r="Q62" s="444"/>
      <c r="R62" s="444"/>
      <c r="S62" s="444"/>
      <c r="T62" s="444"/>
      <c r="U62" s="444"/>
      <c r="V62" s="444"/>
      <c r="W62" s="444"/>
      <c r="X62" s="444"/>
      <c r="Y62" s="444"/>
      <c r="Z62" s="444"/>
      <c r="AA62" s="444"/>
      <c r="AB62" s="444"/>
      <c r="AC62" s="444"/>
    </row>
    <row r="63" spans="2:39">
      <c r="C63" s="90"/>
      <c r="D63" s="355"/>
      <c r="E63" s="355">
        <v>7200</v>
      </c>
      <c r="F63" s="355">
        <f>+'Tổng,SUMMARY'!$Q$159</f>
        <v>7200</v>
      </c>
      <c r="G63" s="360">
        <f>+F63-E63</f>
        <v>0</v>
      </c>
      <c r="H63" s="9" t="s">
        <v>1045</v>
      </c>
      <c r="Q63" s="444"/>
      <c r="R63" s="444"/>
      <c r="S63" s="444"/>
      <c r="T63" s="444"/>
      <c r="U63" s="444"/>
      <c r="V63" s="444"/>
      <c r="W63" s="444"/>
      <c r="X63" s="444"/>
      <c r="Y63" s="444"/>
      <c r="Z63" s="444"/>
      <c r="AA63" s="444"/>
      <c r="AB63" s="444"/>
      <c r="AC63" s="444"/>
    </row>
    <row r="64" spans="2:39">
      <c r="C64" s="90"/>
      <c r="D64" s="355"/>
      <c r="E64" s="355">
        <v>7200</v>
      </c>
      <c r="F64" s="355">
        <f>+'Tổng,SUMMARY'!$Q$192</f>
        <v>5000</v>
      </c>
      <c r="G64" s="360">
        <f t="shared" ref="G64:G76" si="51">+F64-E64</f>
        <v>-2200</v>
      </c>
      <c r="H64" s="9" t="s">
        <v>1046</v>
      </c>
      <c r="Q64" s="444"/>
      <c r="R64" s="444"/>
      <c r="S64" s="444"/>
      <c r="T64" s="444"/>
      <c r="U64" s="444"/>
      <c r="V64" s="444"/>
      <c r="W64" s="444"/>
      <c r="X64" s="444"/>
      <c r="Y64" s="444"/>
      <c r="Z64" s="444"/>
      <c r="AA64" s="444"/>
      <c r="AB64" s="444"/>
      <c r="AC64" s="444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4"/>
      <c r="R65" s="444"/>
      <c r="S65" s="444"/>
      <c r="T65" s="444"/>
      <c r="U65" s="444"/>
      <c r="V65" s="444"/>
      <c r="W65" s="444"/>
      <c r="X65" s="444"/>
      <c r="Y65" s="444"/>
      <c r="Z65" s="444"/>
      <c r="AA65" s="444"/>
      <c r="AB65" s="444"/>
      <c r="AC65" s="444"/>
    </row>
    <row r="66" spans="3:29">
      <c r="C66" s="90"/>
      <c r="D66" s="355"/>
      <c r="E66" s="355">
        <v>18000</v>
      </c>
      <c r="F66" s="355">
        <f>+'Tổng,SUMMARY'!$Q$232</f>
        <v>11100</v>
      </c>
      <c r="G66" s="360">
        <f t="shared" si="51"/>
        <v>-6900</v>
      </c>
      <c r="Q66" s="444"/>
      <c r="R66" s="444"/>
      <c r="S66" s="444"/>
      <c r="T66" s="444"/>
      <c r="U66" s="444"/>
      <c r="V66" s="444"/>
      <c r="W66" s="444"/>
      <c r="X66" s="444"/>
      <c r="Y66" s="444"/>
      <c r="Z66" s="444"/>
      <c r="AA66" s="444"/>
      <c r="AB66" s="444"/>
      <c r="AC66" s="444"/>
    </row>
    <row r="67" spans="3:29" ht="18.75" customHeight="1">
      <c r="C67" s="443" t="s">
        <v>1038</v>
      </c>
      <c r="D67" s="443"/>
      <c r="E67" s="361">
        <f>SUM(E63:E66)</f>
        <v>43800</v>
      </c>
      <c r="F67" s="355"/>
      <c r="G67" s="360">
        <f>SUM(G63:G66)</f>
        <v>-20500</v>
      </c>
      <c r="Q67" s="444"/>
      <c r="R67" s="444"/>
      <c r="S67" s="444"/>
      <c r="T67" s="444"/>
      <c r="U67" s="444"/>
      <c r="V67" s="444"/>
      <c r="W67" s="444"/>
      <c r="X67" s="444"/>
      <c r="Y67" s="444"/>
      <c r="Z67" s="444"/>
      <c r="AA67" s="444"/>
      <c r="AB67" s="444"/>
      <c r="AC67" s="444"/>
    </row>
    <row r="68" spans="3:29">
      <c r="D68" s="9"/>
      <c r="G68" s="358"/>
      <c r="Q68" s="444"/>
      <c r="R68" s="444"/>
      <c r="S68" s="444"/>
      <c r="T68" s="444"/>
      <c r="U68" s="444"/>
      <c r="V68" s="444"/>
      <c r="W68" s="444"/>
      <c r="X68" s="444"/>
      <c r="Y68" s="444"/>
      <c r="Z68" s="444"/>
      <c r="AA68" s="444"/>
      <c r="AB68" s="444"/>
      <c r="AC68" s="444"/>
    </row>
    <row r="69" spans="3:29">
      <c r="D69" s="9"/>
      <c r="G69" s="358"/>
    </row>
    <row r="70" spans="3:29">
      <c r="C70" s="356" t="s">
        <v>516</v>
      </c>
      <c r="D70" s="357" t="s">
        <v>1037</v>
      </c>
      <c r="E70" s="357" t="s">
        <v>1039</v>
      </c>
      <c r="F70" s="357" t="s">
        <v>1040</v>
      </c>
      <c r="G70" s="359" t="s">
        <v>1041</v>
      </c>
    </row>
    <row r="71" spans="3:29">
      <c r="C71" s="90"/>
      <c r="D71" s="355"/>
      <c r="E71" s="355"/>
      <c r="F71" s="355">
        <f>+'Tổng,SUMMARY'!$Q$177</f>
        <v>12200</v>
      </c>
      <c r="G71" s="360">
        <f>+F71-E71</f>
        <v>12200</v>
      </c>
      <c r="H71" s="9" t="s">
        <v>1047</v>
      </c>
    </row>
    <row r="72" spans="3:29">
      <c r="C72" s="90"/>
      <c r="D72" s="355"/>
      <c r="E72" s="355"/>
      <c r="F72" s="355">
        <f>+'Tổng,SUMMARY'!$Q$240</f>
        <v>4350</v>
      </c>
      <c r="G72" s="360">
        <f t="shared" si="51"/>
        <v>4350</v>
      </c>
    </row>
    <row r="73" spans="3:29">
      <c r="C73" s="90"/>
      <c r="D73" s="355"/>
      <c r="E73" s="355"/>
      <c r="F73" s="355">
        <f>+'Tổng,SUMMARY'!$Q$226</f>
        <v>1800</v>
      </c>
      <c r="G73" s="360">
        <f t="shared" si="51"/>
        <v>1800</v>
      </c>
    </row>
    <row r="74" spans="3:29">
      <c r="C74" s="90"/>
      <c r="D74" s="355"/>
      <c r="E74" s="355"/>
      <c r="F74" s="355">
        <f>+'Tổng,SUMMARY'!$Q$264</f>
        <v>6780</v>
      </c>
      <c r="G74" s="360">
        <f t="shared" si="51"/>
        <v>6780</v>
      </c>
    </row>
    <row r="75" spans="3:29">
      <c r="C75" s="90"/>
      <c r="D75" s="355"/>
      <c r="E75" s="355"/>
      <c r="F75" s="355">
        <f>+'Tổng,SUMMARY'!$Q$242</f>
        <v>9850</v>
      </c>
      <c r="G75" s="360">
        <f t="shared" si="51"/>
        <v>9850</v>
      </c>
    </row>
    <row r="76" spans="3:29">
      <c r="C76" s="90"/>
      <c r="D76" s="355"/>
      <c r="E76" s="355"/>
      <c r="F76" s="355">
        <f>+'Tổng,SUMMARY'!$Q$129</f>
        <v>9000</v>
      </c>
      <c r="G76" s="360">
        <f t="shared" si="51"/>
        <v>9000</v>
      </c>
      <c r="H76" s="9" t="s">
        <v>1046</v>
      </c>
    </row>
    <row r="77" spans="3:29" ht="18.75" customHeight="1">
      <c r="C77" s="443" t="s">
        <v>1038</v>
      </c>
      <c r="D77" s="443"/>
      <c r="E77" s="361">
        <f>SUM(E71:E76)</f>
        <v>0</v>
      </c>
      <c r="F77" s="355"/>
      <c r="G77" s="360">
        <f>SUM(G71:G76)</f>
        <v>43980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2026-10-10T06:29:32Z</cp:lastPrinted>
  <dcterms:created xsi:type="dcterms:W3CDTF">2020-10-01T05:27:00Z</dcterms:created>
  <dcterms:modified xsi:type="dcterms:W3CDTF">2026-10-13T02:54:48Z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