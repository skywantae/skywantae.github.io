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3171887-5A1D-4BFE-958D-DD627487D8A3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신규가격견적 STANDARD" sheetId="1" r:id="rId1"/>
    <sheet name="ATP ITEM LIST" sheetId="2" r:id="rId2"/>
  </sheets>
  <calcPr calcId="191029"/>
</workbook>
</file>

<file path=xl/calcChain.xml><?xml version="1.0" encoding="utf-8"?>
<calcChain xmlns="http://schemas.openxmlformats.org/spreadsheetml/2006/main">
  <c r="F6" i="1" l="1"/>
  <c r="I4" i="1"/>
  <c r="E7" i="1"/>
  <c r="F7" i="1"/>
  <c r="F5" i="1"/>
  <c r="J56" i="2"/>
  <c r="J64" i="2"/>
  <c r="J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해외영업부</author>
    <author>Winna</author>
  </authors>
  <commentList>
    <comment ref="A1" authorId="0" shapeId="0" xr:uid="{70E62223-6CDA-410E-96BC-455A510AE956}">
      <text>
        <r>
          <rPr>
            <b/>
            <sz val="11"/>
            <color indexed="8"/>
            <rFont val="굴림"/>
            <family val="3"/>
            <charset val="129"/>
          </rPr>
          <t>Classification:</t>
        </r>
        <r>
          <rPr>
            <sz val="11"/>
            <color indexed="10"/>
            <rFont val="굴림"/>
            <family val="3"/>
            <charset val="129"/>
          </rPr>
          <t xml:space="preserve">
T</t>
        </r>
        <r>
          <rPr>
            <sz val="11"/>
            <color indexed="81"/>
            <rFont val="굴림"/>
            <family val="3"/>
            <charset val="129"/>
          </rPr>
          <t xml:space="preserve">: </t>
        </r>
        <r>
          <rPr>
            <b/>
            <sz val="11"/>
            <color indexed="10"/>
            <rFont val="굴림"/>
            <family val="3"/>
            <charset val="129"/>
          </rPr>
          <t>T</t>
        </r>
        <r>
          <rPr>
            <sz val="11"/>
            <color indexed="81"/>
            <rFont val="굴림"/>
            <family val="3"/>
            <charset val="129"/>
          </rPr>
          <t xml:space="preserve">ray
</t>
        </r>
        <r>
          <rPr>
            <sz val="11"/>
            <color indexed="10"/>
            <rFont val="굴림"/>
            <family val="3"/>
            <charset val="129"/>
          </rPr>
          <t>C</t>
        </r>
        <r>
          <rPr>
            <sz val="11"/>
            <color indexed="81"/>
            <rFont val="굴림"/>
            <family val="3"/>
            <charset val="129"/>
          </rPr>
          <t xml:space="preserve">: </t>
        </r>
        <r>
          <rPr>
            <b/>
            <sz val="11"/>
            <color indexed="10"/>
            <rFont val="굴림"/>
            <family val="3"/>
            <charset val="129"/>
          </rPr>
          <t>C</t>
        </r>
        <r>
          <rPr>
            <sz val="11"/>
            <color indexed="81"/>
            <rFont val="굴림"/>
            <family val="3"/>
            <charset val="129"/>
          </rPr>
          <t xml:space="preserve">arrier Tape
</t>
        </r>
        <r>
          <rPr>
            <sz val="11"/>
            <color indexed="10"/>
            <rFont val="굴림"/>
            <family val="3"/>
            <charset val="129"/>
          </rPr>
          <t>V</t>
        </r>
        <r>
          <rPr>
            <sz val="11"/>
            <color indexed="81"/>
            <rFont val="굴림"/>
            <family val="3"/>
            <charset val="129"/>
          </rPr>
          <t>;: Co</t>
        </r>
        <r>
          <rPr>
            <b/>
            <sz val="11"/>
            <color indexed="10"/>
            <rFont val="굴림"/>
            <family val="3"/>
            <charset val="129"/>
          </rPr>
          <t>v</t>
        </r>
        <r>
          <rPr>
            <sz val="11"/>
            <color indexed="81"/>
            <rFont val="굴림"/>
            <family val="3"/>
            <charset val="129"/>
          </rPr>
          <t xml:space="preserve">er Tape
</t>
        </r>
        <r>
          <rPr>
            <sz val="11"/>
            <color indexed="10"/>
            <rFont val="굴림"/>
            <family val="3"/>
            <charset val="129"/>
          </rPr>
          <t>R</t>
        </r>
        <r>
          <rPr>
            <sz val="11"/>
            <color indexed="81"/>
            <rFont val="굴림"/>
            <family val="3"/>
            <charset val="129"/>
          </rPr>
          <t>: Plastic</t>
        </r>
        <r>
          <rPr>
            <b/>
            <sz val="11"/>
            <color indexed="10"/>
            <rFont val="굴림"/>
            <family val="3"/>
            <charset val="129"/>
          </rPr>
          <t xml:space="preserve"> R</t>
        </r>
        <r>
          <rPr>
            <sz val="11"/>
            <color indexed="81"/>
            <rFont val="굴림"/>
            <family val="3"/>
            <charset val="129"/>
          </rPr>
          <t>eel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55" authorId="1" shapeId="0" xr:uid="{5DDF7059-A633-4F25-A79A-2207D9EA4C28}">
      <text>
        <r>
          <rPr>
            <b/>
            <sz val="9"/>
            <color indexed="81"/>
            <rFont val="Tahoma"/>
            <family val="2"/>
          </rPr>
          <t>new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<sst xmlns="http://schemas.openxmlformats.org/spreadsheetml/2006/main" count="487" uniqueCount="276">
  <si>
    <t>item / Tray</t>
    <phoneticPr fontId="4" type="noConversion"/>
  </si>
  <si>
    <t>ATP</t>
    <phoneticPr fontId="4" type="noConversion"/>
  </si>
  <si>
    <t>가격 (USD)</t>
    <phoneticPr fontId="4" type="noConversion"/>
  </si>
  <si>
    <t>Remark</t>
    <phoneticPr fontId="4" type="noConversion"/>
  </si>
  <si>
    <t>Tooling cost</t>
    <phoneticPr fontId="4" type="noConversion"/>
  </si>
  <si>
    <t>MPSU</t>
    <phoneticPr fontId="4" type="noConversion"/>
  </si>
  <si>
    <t>1.35 ~</t>
    <phoneticPr fontId="4" type="noConversion"/>
  </si>
  <si>
    <t xml:space="preserve">MPPO </t>
    <phoneticPr fontId="4" type="noConversion"/>
  </si>
  <si>
    <t>1.4 ~</t>
    <phoneticPr fontId="4" type="noConversion"/>
  </si>
  <si>
    <t>ATK 기준 1.55</t>
    <phoneticPr fontId="4" type="noConversion"/>
  </si>
  <si>
    <t>PSU</t>
    <phoneticPr fontId="4" type="noConversion"/>
  </si>
  <si>
    <t>1.6 ~</t>
    <phoneticPr fontId="4" type="noConversion"/>
  </si>
  <si>
    <t>22년 10월 ATP 6.5USD accept (개발완료)</t>
    <phoneticPr fontId="4" type="noConversion"/>
  </si>
  <si>
    <t>P-bin 추가 시</t>
    <phoneticPr fontId="4" type="noConversion"/>
  </si>
  <si>
    <t>+ 0.2</t>
    <phoneticPr fontId="4" type="noConversion"/>
  </si>
  <si>
    <t>LP (MPPO)</t>
    <phoneticPr fontId="4" type="noConversion"/>
  </si>
  <si>
    <t>2.2~2.4</t>
    <phoneticPr fontId="4" type="noConversion"/>
  </si>
  <si>
    <t>item / CAT</t>
    <phoneticPr fontId="4" type="noConversion"/>
  </si>
  <si>
    <t>가격 (USD)_kg당 24USD, 1RL_500m 기준</t>
    <phoneticPr fontId="4" type="noConversion"/>
  </si>
  <si>
    <t>8mm</t>
    <phoneticPr fontId="4" type="noConversion"/>
  </si>
  <si>
    <t>M - 0.063, 1RL- 31.5 USD</t>
    <phoneticPr fontId="4" type="noConversion"/>
  </si>
  <si>
    <t>ATK 500M 기준 65USD</t>
    <phoneticPr fontId="4" type="noConversion"/>
  </si>
  <si>
    <t>12mm</t>
    <phoneticPr fontId="4" type="noConversion"/>
  </si>
  <si>
    <t>M - 0.094, 1RL - 47 USD</t>
    <phoneticPr fontId="4" type="noConversion"/>
  </si>
  <si>
    <t>ATK 500M 기준 60USD</t>
    <phoneticPr fontId="4" type="noConversion"/>
  </si>
  <si>
    <t>16mm</t>
    <phoneticPr fontId="4" type="noConversion"/>
  </si>
  <si>
    <t>M - 0.124, 1RL - 62 USD</t>
    <phoneticPr fontId="4" type="noConversion"/>
  </si>
  <si>
    <t>24mm</t>
    <phoneticPr fontId="4" type="noConversion"/>
  </si>
  <si>
    <t>M - 0.186, 1RL - 93 USD</t>
    <phoneticPr fontId="4" type="noConversion"/>
  </si>
  <si>
    <t>32mm</t>
    <phoneticPr fontId="4" type="noConversion"/>
  </si>
  <si>
    <t>44mm</t>
    <phoneticPr fontId="4" type="noConversion"/>
  </si>
  <si>
    <t>R: 2,000, L: 1,500 USD</t>
    <phoneticPr fontId="4" type="noConversion"/>
  </si>
  <si>
    <r>
      <t xml:space="preserve">ATK 기준 </t>
    </r>
    <r>
      <rPr>
        <sz val="11"/>
        <color rgb="FF000000"/>
        <rFont val="맑은 고딕"/>
        <family val="3"/>
        <charset val="129"/>
      </rPr>
      <t>2.2</t>
    </r>
    <phoneticPr fontId="4" type="noConversion"/>
  </si>
  <si>
    <t>Cla
ssif</t>
  </si>
  <si>
    <t>Kostat P/N</t>
  </si>
  <si>
    <t>Kostat Code ERP</t>
  </si>
  <si>
    <t>T</t>
  </si>
  <si>
    <t>KS-8808</t>
  </si>
  <si>
    <t>TR350672</t>
  </si>
  <si>
    <t>TR351496</t>
  </si>
  <si>
    <t>KS-880201</t>
  </si>
  <si>
    <t>TR351503</t>
    <phoneticPr fontId="13" type="noConversion"/>
  </si>
  <si>
    <t>TR352570</t>
  </si>
  <si>
    <t>KS-870278</t>
  </si>
  <si>
    <t>KS-870325</t>
  </si>
  <si>
    <t>TR352640</t>
  </si>
  <si>
    <t>KS-870300</t>
  </si>
  <si>
    <t>TR353563</t>
  </si>
  <si>
    <t>KS-880272</t>
  </si>
  <si>
    <t>KS-870360</t>
  </si>
  <si>
    <t>TR353033</t>
  </si>
  <si>
    <t>KS-870247</t>
  </si>
  <si>
    <t>TR351909</t>
  </si>
  <si>
    <t>KS-870484</t>
  </si>
  <si>
    <t>TR353774</t>
  </si>
  <si>
    <t>KS-870274</t>
  </si>
  <si>
    <t>TR351968</t>
  </si>
  <si>
    <t>KS-870557</t>
  </si>
  <si>
    <t>TR354085</t>
  </si>
  <si>
    <t>KS-870264</t>
  </si>
  <si>
    <t>TR351912</t>
  </si>
  <si>
    <t>KS-880382</t>
  </si>
  <si>
    <t>TR354226</t>
  </si>
  <si>
    <t>TR352871</t>
  </si>
  <si>
    <t>KS-870196</t>
  </si>
  <si>
    <t>TR351565</t>
    <phoneticPr fontId="13" type="noConversion"/>
  </si>
  <si>
    <t>KS-870251</t>
  </si>
  <si>
    <t>TR351945</t>
    <phoneticPr fontId="13" type="noConversion"/>
  </si>
  <si>
    <t>KS-870337</t>
  </si>
  <si>
    <t>TR354420</t>
  </si>
  <si>
    <t>KS-870288/00</t>
  </si>
  <si>
    <t>TR352109</t>
  </si>
  <si>
    <t>KS-870338</t>
  </si>
  <si>
    <t>TR352747</t>
    <phoneticPr fontId="13" type="noConversion"/>
  </si>
  <si>
    <t>TR354484</t>
  </si>
  <si>
    <t>KS-8308</t>
  </si>
  <si>
    <t>TR353596</t>
    <phoneticPr fontId="13" type="noConversion"/>
  </si>
  <si>
    <t>TR354012</t>
    <phoneticPr fontId="13" type="noConversion"/>
  </si>
  <si>
    <t>KS-8842</t>
  </si>
  <si>
    <t>TR353357</t>
    <phoneticPr fontId="13" type="noConversion"/>
  </si>
  <si>
    <t>KS-870306/00</t>
  </si>
  <si>
    <t>TR352428</t>
    <phoneticPr fontId="13" type="noConversion"/>
  </si>
  <si>
    <t>KS-870631</t>
  </si>
  <si>
    <t>TR354319</t>
  </si>
  <si>
    <t>KS-880575</t>
  </si>
  <si>
    <t>TR353498</t>
    <phoneticPr fontId="17" type="noConversion"/>
  </si>
  <si>
    <t>KS-880731</t>
  </si>
  <si>
    <t>TR354224</t>
  </si>
  <si>
    <t>Temp/M</t>
  </si>
  <si>
    <t>140DC</t>
  </si>
  <si>
    <t>150/180 DC</t>
  </si>
  <si>
    <t>140 DC</t>
  </si>
  <si>
    <t>150DC</t>
  </si>
  <si>
    <t>180DC</t>
  </si>
  <si>
    <t>125/150DC</t>
  </si>
  <si>
    <t>150/180DC</t>
  </si>
  <si>
    <t>125/150dc</t>
  </si>
  <si>
    <t>150dc</t>
  </si>
  <si>
    <t xml:space="preserve">           Package Type</t>
  </si>
  <si>
    <t>Material</t>
  </si>
  <si>
    <t>End Customer</t>
  </si>
  <si>
    <t>Updated U/P ($)as of JULY 2022</t>
  </si>
  <si>
    <t>CABGA 15X15 MPSU</t>
  </si>
  <si>
    <t>MPSU</t>
  </si>
  <si>
    <t>ATP/ATMEL/MINDSPEED</t>
  </si>
  <si>
    <t>CABGA 15X15 PES</t>
  </si>
  <si>
    <t>PES</t>
  </si>
  <si>
    <t>ATP/ATMEL/DELPHI</t>
  </si>
  <si>
    <t>PSU</t>
  </si>
  <si>
    <t>MPPO</t>
  </si>
  <si>
    <t>ATP</t>
  </si>
  <si>
    <t>MAX MLF 5x6</t>
  </si>
  <si>
    <t>ATP/ST/AMALFI</t>
  </si>
  <si>
    <t>MAX MLF 5x6 with green Pbin insert</t>
  </si>
  <si>
    <t xml:space="preserve">ATP/ST </t>
  </si>
  <si>
    <t>MLF 7X7MM</t>
  </si>
  <si>
    <t>MAX MLF 3.5*5 Green P-Bin_ST</t>
  </si>
  <si>
    <t>ATP/ST</t>
  </si>
  <si>
    <t>QFN 5.00X9.00MM</t>
  </si>
  <si>
    <t>ATP/VITESSE</t>
  </si>
  <si>
    <t>MLF 6X6</t>
  </si>
  <si>
    <t>ATP/RF MICRO/ONSEMI</t>
  </si>
  <si>
    <t xml:space="preserve">MLF 4*4.2 </t>
  </si>
  <si>
    <t>MPP0</t>
  </si>
  <si>
    <t>mlf 9x9 150dc tray</t>
  </si>
  <si>
    <t>TCS1 23X35</t>
  </si>
  <si>
    <t>MAX MLF 10X10MM</t>
  </si>
  <si>
    <t>BGA 10X10</t>
  </si>
  <si>
    <t xml:space="preserve">MAX MLF5X5 </t>
  </si>
  <si>
    <t>QFN 5X5MM 180DC</t>
  </si>
  <si>
    <t>MLF 9*9 150C GREEN PBIN</t>
  </si>
  <si>
    <t>CSP 6X6 150C KOSTAT TRAY</t>
  </si>
  <si>
    <t>MAX MLF 8X8 140DC</t>
  </si>
  <si>
    <t>MAX MLF 12X12 150DC</t>
  </si>
  <si>
    <t>MAX MLF 5X5 PES KOSTAT TRAY</t>
  </si>
  <si>
    <t>LQFP 7*7 140C</t>
  </si>
  <si>
    <t xml:space="preserve">QFN 5*5 150C </t>
  </si>
  <si>
    <t>BGA 27*27 150C greenclip</t>
  </si>
  <si>
    <t>MAX MCM 5X7 PSU-150DC</t>
  </si>
  <si>
    <t>MEMS 3X3 150DC</t>
  </si>
  <si>
    <t xml:space="preserve">bga 5x5 mpsu tray 150dc </t>
  </si>
  <si>
    <t>BGA 7.0X7.0</t>
  </si>
  <si>
    <t>AWU (per mth) JULY 2022</t>
  </si>
  <si>
    <t>KS-880592</t>
  </si>
  <si>
    <t>SIP-MEMSLGA 4.5X5.80MM W/BLUE PBIN</t>
  </si>
  <si>
    <t>SIP-MEMSLGA 4.5X5.80MM W/GREEN PBIN</t>
  </si>
  <si>
    <t>KS-880345</t>
  </si>
  <si>
    <t>TR352062</t>
  </si>
  <si>
    <t>KS-8603</t>
  </si>
  <si>
    <t>TR351141</t>
  </si>
  <si>
    <t>120/150DC</t>
  </si>
  <si>
    <t>MAX SIP5x13.8 M</t>
    <phoneticPr fontId="28" type="noConversion"/>
  </si>
  <si>
    <t>ATP/UPEK/Digital Persona</t>
  </si>
  <si>
    <t xml:space="preserve">TQFP20*20*1.0 </t>
  </si>
  <si>
    <t>KS-870161</t>
  </si>
  <si>
    <t>TR352031</t>
  </si>
  <si>
    <t>TR353626</t>
  </si>
  <si>
    <t>TR354280</t>
  </si>
  <si>
    <t>TQFP 14X14X1.0</t>
  </si>
  <si>
    <t>MLF 8*8 150C GR P-BIN FOR ST</t>
  </si>
  <si>
    <t xml:space="preserve">MEMS 4.5X5.8 </t>
  </si>
  <si>
    <t>MAX MLF 10X10 PSU, 150DC</t>
  </si>
  <si>
    <t>KS-8605</t>
  </si>
  <si>
    <t>TR350031</t>
  </si>
  <si>
    <t>KS-86015</t>
  </si>
  <si>
    <t>TR300652</t>
  </si>
  <si>
    <t>KS-8303</t>
  </si>
  <si>
    <t>TR300016</t>
  </si>
  <si>
    <t>TR300011</t>
  </si>
  <si>
    <t>KS-8212</t>
  </si>
  <si>
    <t>TR351690</t>
  </si>
  <si>
    <t>TR351822</t>
  </si>
  <si>
    <t>KS-8307/B</t>
  </si>
  <si>
    <t>TR351379</t>
  </si>
  <si>
    <t>KS-880827</t>
  </si>
  <si>
    <t>ATP/ALTERA</t>
  </si>
  <si>
    <t>TQFP 7x7x1.0 MM</t>
  </si>
  <si>
    <t>TQFP20X20X1.4</t>
  </si>
  <si>
    <t>MAX MQFP32x32</t>
  </si>
  <si>
    <t>MLF 4x4MM, L/P</t>
  </si>
  <si>
    <t>ATP/NORDIC</t>
  </si>
  <si>
    <t>MQFP 14X20</t>
  </si>
  <si>
    <t>ATP/ONSEMI</t>
  </si>
  <si>
    <t>TQFP10x10x1.4MM</t>
  </si>
  <si>
    <t>KS-870283/00</t>
  </si>
  <si>
    <t>TR353048</t>
    <phoneticPr fontId="13" type="noConversion"/>
  </si>
  <si>
    <t>KS-870824</t>
  </si>
  <si>
    <t>TR355054</t>
  </si>
  <si>
    <t>TR355708</t>
  </si>
  <si>
    <t>KS-870549</t>
  </si>
  <si>
    <t>TR354066</t>
    <phoneticPr fontId="28" type="noConversion"/>
  </si>
  <si>
    <t>KS-870365/00</t>
  </si>
  <si>
    <t>TR353911</t>
    <phoneticPr fontId="31" type="noConversion"/>
  </si>
  <si>
    <t>KS-870858</t>
  </si>
  <si>
    <t>TR355236</t>
    <phoneticPr fontId="32" type="noConversion"/>
  </si>
  <si>
    <t>KS-881179</t>
  </si>
  <si>
    <t>TR352825</t>
  </si>
  <si>
    <t>KS-8823</t>
  </si>
  <si>
    <t>TR351054</t>
  </si>
  <si>
    <t>KS-870849</t>
  </si>
  <si>
    <t>TR355235</t>
  </si>
  <si>
    <t>140dc</t>
  </si>
  <si>
    <t>MAX MLF 3X3 PSU, P-Bin inserted</t>
  </si>
  <si>
    <t>CAVLF 6X7 TRAY 150DC</t>
  </si>
  <si>
    <t>SCSP12.4*12.4 150C</t>
  </si>
  <si>
    <t>LGA 4.5X3.0</t>
  </si>
  <si>
    <t>MAX MAF 12*12 PSU KOSTAT TRAY</t>
  </si>
  <si>
    <t>MLF 4X4 150DC TRAY</t>
  </si>
  <si>
    <t>MAX CABGA 9X9 PSU BLK TRAY</t>
  </si>
  <si>
    <t>BGA 35X35</t>
  </si>
  <si>
    <t>MLF 9X9 TRAY</t>
  </si>
  <si>
    <t>C</t>
  </si>
  <si>
    <t>KS-1208-176</t>
  </si>
  <si>
    <t>CT303409</t>
  </si>
  <si>
    <t>KS-1208-180 REV1 ROTARY</t>
  </si>
  <si>
    <t>CT308986</t>
  </si>
  <si>
    <t>KS-1612-279</t>
  </si>
  <si>
    <t>CT303411</t>
  </si>
  <si>
    <t>CT310264</t>
  </si>
  <si>
    <t>KS-1612-165</t>
  </si>
  <si>
    <t>CT304696</t>
  </si>
  <si>
    <t>CT310490</t>
  </si>
  <si>
    <t>KS-3224-20</t>
  </si>
  <si>
    <t>CT307654</t>
  </si>
  <si>
    <t>KS-1612-499</t>
  </si>
  <si>
    <t>CT307216</t>
  </si>
  <si>
    <t>KS-1204-292</t>
  </si>
  <si>
    <t>CT306872</t>
  </si>
  <si>
    <t xml:space="preserve">KS-4432-23 </t>
  </si>
  <si>
    <t>CT307209</t>
  </si>
  <si>
    <t>KS-2420-128</t>
  </si>
  <si>
    <t>CT308380</t>
    <phoneticPr fontId="13" type="noConversion"/>
  </si>
  <si>
    <t xml:space="preserve"> KS-1208-901 </t>
  </si>
  <si>
    <t>CT308901</t>
    <phoneticPr fontId="13" type="noConversion"/>
  </si>
  <si>
    <t>KS-1208-677</t>
  </si>
  <si>
    <t>CT308900</t>
  </si>
  <si>
    <t>KS-2416-440</t>
  </si>
  <si>
    <t>CT307298</t>
  </si>
  <si>
    <t>KS-0804-738</t>
  </si>
  <si>
    <t>CA/T MLF 4X4</t>
  </si>
  <si>
    <t>ATP/SIP</t>
  </si>
  <si>
    <t>MLF 5X5 W12 P8 L515</t>
  </si>
  <si>
    <t>ATP/Nordic Semi</t>
  </si>
  <si>
    <t>MLF 6X6 - W16 P12 L263</t>
  </si>
  <si>
    <t>MLF 7X7 - 16MMX305MM</t>
  </si>
  <si>
    <t>TQ14*14 W32 P24 L310</t>
  </si>
  <si>
    <t>85.00</t>
  </si>
  <si>
    <t>CA/T MLF 7X7 W16 P12 L500</t>
  </si>
  <si>
    <t>73.00</t>
  </si>
  <si>
    <t>SOT 23 3L, P4 W12 L500- AO 3.15</t>
  </si>
  <si>
    <t>LQFP 20*20 W44 P32 L89</t>
  </si>
  <si>
    <t>BGA 13X13 W24 P20 L300</t>
  </si>
  <si>
    <t>TBGA5x5 W12 P8 L500</t>
  </si>
  <si>
    <t>BGA3.4X3.4MM W12 P8 L515</t>
  </si>
  <si>
    <t>CSP 10X10MM W24 P16 L400</t>
  </si>
  <si>
    <t>SC70 W8 P4 L1000</t>
  </si>
  <si>
    <t>PES</t>
    <phoneticPr fontId="3" type="noConversion"/>
  </si>
  <si>
    <t>ATK 기준: 15,000USD</t>
    <phoneticPr fontId="4" type="noConversion"/>
  </si>
  <si>
    <t>PSU</t>
    <phoneticPr fontId="3" type="noConversion"/>
  </si>
  <si>
    <t>기존 ATP 대표모델(KS-3224-20) : M당 0.274</t>
    <phoneticPr fontId="3" type="noConversion"/>
  </si>
  <si>
    <t>기존 ATP 대표모델(KS-4432.33) : M당 0.293</t>
    <phoneticPr fontId="3" type="noConversion"/>
  </si>
  <si>
    <t>기존 ATP 대표모델(KS-1612-279) : M당 0.052</t>
    <phoneticPr fontId="3" type="noConversion"/>
  </si>
  <si>
    <t xml:space="preserve">OPEN TOOL 견적 시 경우, 기존 ATK 단가에 월평균 매매기준율 환율 적용하여 견적  </t>
    <phoneticPr fontId="3" type="noConversion"/>
  </si>
  <si>
    <t>14,000 ~
(금형 무게 확인 후 승인받아 진행)</t>
    <phoneticPr fontId="3" type="noConversion"/>
  </si>
  <si>
    <t>2023년 해외영업부 ATP 신규가격 견적 Standard (Tray)</t>
    <phoneticPr fontId="4" type="noConversion"/>
  </si>
  <si>
    <r>
      <t>6</t>
    </r>
    <r>
      <rPr>
        <sz val="11"/>
        <color rgb="FF000000"/>
        <rFont val="맑은 고딕"/>
        <family val="3"/>
        <charset val="129"/>
      </rPr>
      <t>.5</t>
    </r>
    <r>
      <rPr>
        <sz val="11"/>
        <color rgb="FF000000"/>
        <rFont val="맑은 고딕"/>
        <family val="3"/>
        <charset val="129"/>
      </rPr>
      <t xml:space="preserve"> ~</t>
    </r>
    <phoneticPr fontId="4" type="noConversion"/>
  </si>
  <si>
    <t>M - 0.247, 1RL - 123.5</t>
    <phoneticPr fontId="3" type="noConversion"/>
  </si>
  <si>
    <t>M - 0.371, 1RL - 185.5</t>
    <phoneticPr fontId="3" type="noConversion"/>
  </si>
  <si>
    <r>
      <t>PES</t>
    </r>
    <r>
      <rPr>
        <sz val="11"/>
        <color rgb="FF000000"/>
        <rFont val="맑은 고딕"/>
        <family val="3"/>
        <charset val="129"/>
      </rPr>
      <t xml:space="preserve"> (color 포함)</t>
    </r>
    <phoneticPr fontId="4" type="noConversion"/>
  </si>
  <si>
    <r>
      <t>M</t>
    </r>
    <r>
      <rPr>
        <sz val="11"/>
        <color rgb="FF000000"/>
        <rFont val="맑은 고딕"/>
        <family val="3"/>
        <charset val="129"/>
      </rPr>
      <t>PPO(COLOR)</t>
    </r>
  </si>
  <si>
    <t>3 ~</t>
    <phoneticPr fontId="3" type="noConversion"/>
  </si>
  <si>
    <t>엔화</t>
    <phoneticPr fontId="4" type="noConversion"/>
  </si>
  <si>
    <t>USD (1USD)</t>
    <phoneticPr fontId="3" type="noConversion"/>
  </si>
  <si>
    <t>JPY(100)</t>
    <phoneticPr fontId="3" type="noConversion"/>
  </si>
  <si>
    <t>서울외국환거래소 월평균 매매기준율 환율</t>
    <phoneticPr fontId="3" type="noConversion"/>
  </si>
  <si>
    <t>1달러당 몇엔인지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</si>
</sst>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"/>
    <numFmt numFmtId="177" formatCode="0.00;[Red]0.00"/>
    <numFmt numFmtId="178" formatCode="0.00_)"/>
    <numFmt numFmtId="179" formatCode="0.000_)"/>
    <numFmt numFmtId="180" formatCode="_(&quot;$&quot;* #,##0.00_);_(&quot;$&quot;* \(#,##0.00\);_(&quot;$&quot;* &quot;-&quot;??_);_(@_)"/>
    <numFmt numFmtId="182" formatCode="0.00_ "/>
  </numFmts>
  <fonts count="37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name val="Arial"/>
      <family val="2"/>
    </font>
    <font>
      <sz val="8.5"/>
      <name val="맑은 고딕"/>
      <family val="3"/>
      <charset val="129"/>
      <scheme val="minor"/>
    </font>
    <font>
      <sz val="8.5"/>
      <color rgb="FFFF0000"/>
      <name val="맑은 고딕"/>
      <family val="3"/>
      <charset val="129"/>
      <scheme val="minor"/>
    </font>
    <font>
      <sz val="10"/>
      <name val="Helv"/>
      <family val="2"/>
    </font>
    <font>
      <b/>
      <sz val="9"/>
      <color indexed="81"/>
      <name val="Tahoma"/>
      <family val="2"/>
    </font>
    <font>
      <sz val="8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indexed="8"/>
      <name val="Calibri"/>
      <family val="2"/>
    </font>
    <font>
      <b/>
      <sz val="11"/>
      <color indexed="8"/>
      <name val="굴림"/>
      <family val="3"/>
      <charset val="129"/>
    </font>
    <font>
      <sz val="11"/>
      <color indexed="10"/>
      <name val="굴림"/>
      <family val="3"/>
      <charset val="129"/>
    </font>
    <font>
      <sz val="11"/>
      <color indexed="81"/>
      <name val="굴림"/>
      <family val="3"/>
      <charset val="129"/>
    </font>
    <font>
      <b/>
      <sz val="11"/>
      <color indexed="10"/>
      <name val="굴림"/>
      <family val="3"/>
      <charset val="129"/>
    </font>
    <font>
      <sz val="9"/>
      <color indexed="81"/>
      <name val="굴림"/>
      <family val="3"/>
      <charset val="129"/>
    </font>
    <font>
      <sz val="8.5"/>
      <color theme="1" tint="4.9989318521683403E-2"/>
      <name val="맑은 고딕"/>
      <family val="3"/>
      <charset val="129"/>
      <scheme val="minor"/>
    </font>
    <font>
      <b/>
      <sz val="8.5"/>
      <color rgb="FFFF0000"/>
      <name val="맑은 고딕"/>
      <family val="3"/>
      <charset val="129"/>
      <scheme val="minor"/>
    </font>
    <font>
      <sz val="8.5"/>
      <color indexed="8"/>
      <name val="맑은 고딕"/>
      <family val="3"/>
      <charset val="129"/>
      <scheme val="minor"/>
    </font>
    <font>
      <i/>
      <sz val="8.5"/>
      <name val="맑은 고딕"/>
      <family val="3"/>
      <charset val="129"/>
      <scheme val="minor"/>
    </font>
    <font>
      <i/>
      <sz val="8.5"/>
      <color rgb="FF0070C0"/>
      <name val="맑은 고딕"/>
      <family val="3"/>
      <charset val="129"/>
      <scheme val="minor"/>
    </font>
    <font>
      <b/>
      <sz val="10"/>
      <name val="Malgun Gothic"/>
      <family val="3"/>
    </font>
    <font>
      <sz val="8.5"/>
      <color indexed="4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56"/>
      <name val="Calibri"/>
      <family val="2"/>
    </font>
    <font>
      <b/>
      <sz val="9"/>
      <color indexed="8"/>
      <name val="Arial"/>
      <family val="2"/>
    </font>
    <font>
      <sz val="9"/>
      <color rgb="FFFF0000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sz val="9"/>
      <color indexed="81"/>
      <name val="Tahoma"/>
      <family val="2"/>
    </font>
    <font>
      <sz val="11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0" fontId="9" fillId="0" borderId="0"/>
    <xf numFmtId="0" fontId="12" fillId="0" borderId="0"/>
    <xf numFmtId="0" fontId="15" fillId="0" borderId="0"/>
    <xf numFmtId="180" fontId="9" fillId="0" borderId="0" applyFont="0" applyFill="0" applyBorder="0" applyAlignment="0" applyProtection="0"/>
  </cellStyleXfs>
  <cellXfs count="11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0" fillId="0" borderId="9" xfId="1" applyFont="1" applyBorder="1" applyAlignment="1">
      <alignment horizontal="center"/>
    </xf>
    <xf numFmtId="0" fontId="10" fillId="0" borderId="10" xfId="1" applyFont="1" applyBorder="1" applyAlignment="1">
      <alignment horizontal="left"/>
    </xf>
    <xf numFmtId="0" fontId="10" fillId="0" borderId="11" xfId="1" applyFont="1" applyBorder="1" applyAlignment="1">
      <alignment horizontal="center"/>
    </xf>
    <xf numFmtId="0" fontId="10" fillId="0" borderId="2" xfId="1" applyFont="1" applyBorder="1" applyAlignment="1">
      <alignment horizontal="left"/>
    </xf>
    <xf numFmtId="0" fontId="10" fillId="4" borderId="2" xfId="1" applyFont="1" applyFill="1" applyBorder="1" applyAlignment="1">
      <alignment horizontal="left"/>
    </xf>
    <xf numFmtId="0" fontId="11" fillId="0" borderId="2" xfId="1" applyFont="1" applyBorder="1" applyAlignment="1">
      <alignment horizontal="left"/>
    </xf>
    <xf numFmtId="15" fontId="10" fillId="0" borderId="2" xfId="1" applyNumberFormat="1" applyFont="1" applyBorder="1" applyAlignment="1">
      <alignment horizontal="left"/>
    </xf>
    <xf numFmtId="0" fontId="10" fillId="0" borderId="2" xfId="1" applyFont="1" applyBorder="1" applyAlignment="1">
      <alignment horizontal="left" wrapText="1"/>
    </xf>
    <xf numFmtId="0" fontId="10" fillId="0" borderId="2" xfId="2" applyFont="1" applyBorder="1" applyAlignment="1">
      <alignment horizontal="left" wrapText="1"/>
    </xf>
    <xf numFmtId="0" fontId="10" fillId="4" borderId="11" xfId="1" applyFont="1" applyFill="1" applyBorder="1" applyAlignment="1">
      <alignment horizontal="center"/>
    </xf>
    <xf numFmtId="0" fontId="10" fillId="0" borderId="2" xfId="1" applyFont="1" applyBorder="1" applyAlignment="1">
      <alignment horizontal="left" vertical="center"/>
    </xf>
    <xf numFmtId="0" fontId="10" fillId="0" borderId="2" xfId="0" applyFont="1" applyBorder="1"/>
    <xf numFmtId="0" fontId="14" fillId="0" borderId="2" xfId="0" applyFont="1" applyBorder="1"/>
    <xf numFmtId="0" fontId="14" fillId="4" borderId="2" xfId="0" applyFont="1" applyFill="1" applyBorder="1" applyAlignment="1">
      <alignment horizontal="left"/>
    </xf>
    <xf numFmtId="0" fontId="14" fillId="0" borderId="12" xfId="0" applyFont="1" applyBorder="1"/>
    <xf numFmtId="0" fontId="14" fillId="4" borderId="12" xfId="0" applyFont="1" applyFill="1" applyBorder="1"/>
    <xf numFmtId="0" fontId="16" fillId="5" borderId="2" xfId="3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horizontal="left" vertical="center" wrapText="1"/>
    </xf>
    <xf numFmtId="0" fontId="10" fillId="6" borderId="8" xfId="1" applyFont="1" applyFill="1" applyBorder="1" applyAlignment="1">
      <alignment horizontal="left" vertical="center" wrapText="1"/>
    </xf>
    <xf numFmtId="176" fontId="10" fillId="0" borderId="10" xfId="1" applyNumberFormat="1" applyFont="1" applyBorder="1" applyAlignment="1">
      <alignment horizontal="left"/>
    </xf>
    <xf numFmtId="176" fontId="10" fillId="0" borderId="2" xfId="1" applyNumberFormat="1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176" fontId="10" fillId="7" borderId="2" xfId="1" applyNumberFormat="1" applyFont="1" applyFill="1" applyBorder="1" applyAlignment="1">
      <alignment horizontal="left"/>
    </xf>
    <xf numFmtId="177" fontId="23" fillId="0" borderId="10" xfId="1" applyNumberFormat="1" applyFont="1" applyBorder="1" applyAlignment="1">
      <alignment horizontal="center"/>
    </xf>
    <xf numFmtId="177" fontId="23" fillId="0" borderId="2" xfId="1" applyNumberFormat="1" applyFont="1" applyBorder="1" applyAlignment="1">
      <alignment horizontal="center"/>
    </xf>
    <xf numFmtId="178" fontId="24" fillId="0" borderId="2" xfId="2" applyNumberFormat="1" applyFont="1" applyBorder="1" applyAlignment="1">
      <alignment horizontal="center"/>
    </xf>
    <xf numFmtId="177" fontId="24" fillId="0" borderId="2" xfId="2" applyNumberFormat="1" applyFont="1" applyBorder="1" applyAlignment="1">
      <alignment horizontal="center"/>
    </xf>
    <xf numFmtId="177" fontId="24" fillId="0" borderId="2" xfId="1" applyNumberFormat="1" applyFont="1" applyBorder="1" applyAlignment="1">
      <alignment horizontal="center"/>
    </xf>
    <xf numFmtId="0" fontId="27" fillId="0" borderId="10" xfId="1" applyFont="1" applyBorder="1" applyAlignment="1">
      <alignment horizontal="center"/>
    </xf>
    <xf numFmtId="0" fontId="27" fillId="0" borderId="2" xfId="1" applyFont="1" applyBorder="1" applyAlignment="1">
      <alignment horizontal="center"/>
    </xf>
    <xf numFmtId="176" fontId="10" fillId="4" borderId="2" xfId="1" applyNumberFormat="1" applyFont="1" applyFill="1" applyBorder="1" applyAlignment="1">
      <alignment horizontal="left"/>
    </xf>
    <xf numFmtId="0" fontId="24" fillId="0" borderId="2" xfId="1" applyFont="1" applyBorder="1" applyAlignment="1">
      <alignment horizontal="center"/>
    </xf>
    <xf numFmtId="0" fontId="10" fillId="0" borderId="0" xfId="0" applyFont="1" applyAlignment="1" applyProtection="1">
      <alignment vertical="center"/>
      <protection locked="0"/>
    </xf>
    <xf numFmtId="176" fontId="25" fillId="4" borderId="2" xfId="1" applyNumberFormat="1" applyFont="1" applyFill="1" applyBorder="1" applyAlignment="1">
      <alignment horizontal="left"/>
    </xf>
    <xf numFmtId="0" fontId="10" fillId="4" borderId="2" xfId="1" applyFont="1" applyFill="1" applyBorder="1" applyAlignment="1">
      <alignment horizontal="left" wrapText="1"/>
    </xf>
    <xf numFmtId="0" fontId="10" fillId="0" borderId="0" xfId="1" applyFont="1" applyAlignment="1">
      <alignment horizontal="center"/>
    </xf>
    <xf numFmtId="0" fontId="10" fillId="0" borderId="12" xfId="1" applyFont="1" applyBorder="1" applyAlignment="1">
      <alignment horizontal="left"/>
    </xf>
    <xf numFmtId="0" fontId="10" fillId="4" borderId="12" xfId="1" applyFont="1" applyFill="1" applyBorder="1" applyAlignment="1">
      <alignment horizontal="left"/>
    </xf>
    <xf numFmtId="0" fontId="10" fillId="4" borderId="2" xfId="1" applyFont="1" applyFill="1" applyBorder="1" applyAlignment="1">
      <alignment horizontal="left" vertical="center"/>
    </xf>
    <xf numFmtId="0" fontId="29" fillId="0" borderId="2" xfId="1" applyFont="1" applyBorder="1" applyAlignment="1">
      <alignment horizontal="left"/>
    </xf>
    <xf numFmtId="0" fontId="30" fillId="0" borderId="12" xfId="0" applyFont="1" applyBorder="1"/>
    <xf numFmtId="0" fontId="10" fillId="4" borderId="10" xfId="1" applyFont="1" applyFill="1" applyBorder="1" applyAlignment="1">
      <alignment horizontal="left"/>
    </xf>
    <xf numFmtId="0" fontId="30" fillId="0" borderId="2" xfId="0" applyFont="1" applyBorder="1"/>
    <xf numFmtId="0" fontId="30" fillId="0" borderId="10" xfId="0" applyFont="1" applyBorder="1"/>
    <xf numFmtId="0" fontId="16" fillId="4" borderId="2" xfId="3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center" vertical="center"/>
    </xf>
    <xf numFmtId="0" fontId="16" fillId="0" borderId="2" xfId="0" applyFont="1" applyBorder="1"/>
    <xf numFmtId="0" fontId="11" fillId="4" borderId="2" xfId="1" applyFont="1" applyFill="1" applyBorder="1" applyAlignment="1">
      <alignment horizontal="left"/>
    </xf>
    <xf numFmtId="0" fontId="33" fillId="0" borderId="15" xfId="0" applyFont="1" applyBorder="1" applyAlignment="1">
      <alignment horizontal="left" vertical="center"/>
    </xf>
    <xf numFmtId="0" fontId="34" fillId="4" borderId="2" xfId="1" applyFont="1" applyFill="1" applyBorder="1" applyAlignment="1">
      <alignment horizontal="left"/>
    </xf>
    <xf numFmtId="176" fontId="10" fillId="0" borderId="3" xfId="1" applyNumberFormat="1" applyFont="1" applyBorder="1" applyAlignment="1">
      <alignment horizontal="left"/>
    </xf>
    <xf numFmtId="176" fontId="10" fillId="4" borderId="3" xfId="1" applyNumberFormat="1" applyFont="1" applyFill="1" applyBorder="1" applyAlignment="1">
      <alignment horizontal="left"/>
    </xf>
    <xf numFmtId="179" fontId="10" fillId="0" borderId="2" xfId="1" applyNumberFormat="1" applyFont="1" applyBorder="1" applyAlignment="1">
      <alignment horizontal="left"/>
    </xf>
    <xf numFmtId="177" fontId="24" fillId="0" borderId="2" xfId="1" quotePrefix="1" applyNumberFormat="1" applyFont="1" applyBorder="1" applyAlignment="1">
      <alignment horizontal="center"/>
    </xf>
    <xf numFmtId="179" fontId="10" fillId="4" borderId="2" xfId="1" applyNumberFormat="1" applyFont="1" applyFill="1" applyBorder="1" applyAlignment="1">
      <alignment horizontal="left"/>
    </xf>
    <xf numFmtId="177" fontId="24" fillId="4" borderId="2" xfId="1" applyNumberFormat="1" applyFont="1" applyFill="1" applyBorder="1" applyAlignment="1">
      <alignment horizontal="center"/>
    </xf>
    <xf numFmtId="180" fontId="10" fillId="0" borderId="2" xfId="4" applyFont="1" applyBorder="1" applyAlignment="1" applyProtection="1">
      <alignment horizontal="left"/>
    </xf>
    <xf numFmtId="180" fontId="10" fillId="4" borderId="2" xfId="4" applyFont="1" applyFill="1" applyBorder="1" applyAlignment="1" applyProtection="1">
      <alignment horizontal="left"/>
    </xf>
    <xf numFmtId="0" fontId="14" fillId="0" borderId="4" xfId="0" applyFont="1" applyBorder="1"/>
    <xf numFmtId="177" fontId="24" fillId="4" borderId="2" xfId="1" quotePrefix="1" applyNumberFormat="1" applyFont="1" applyFill="1" applyBorder="1" applyAlignment="1">
      <alignment horizontal="center"/>
    </xf>
    <xf numFmtId="0" fontId="27" fillId="4" borderId="2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center"/>
    </xf>
    <xf numFmtId="0" fontId="10" fillId="2" borderId="2" xfId="0" applyFont="1" applyFill="1" applyBorder="1"/>
    <xf numFmtId="0" fontId="14" fillId="2" borderId="2" xfId="0" applyFont="1" applyFill="1" applyBorder="1"/>
    <xf numFmtId="176" fontId="10" fillId="2" borderId="2" xfId="1" applyNumberFormat="1" applyFont="1" applyFill="1" applyBorder="1" applyAlignment="1">
      <alignment horizontal="left"/>
    </xf>
    <xf numFmtId="180" fontId="10" fillId="2" borderId="2" xfId="4" applyFont="1" applyFill="1" applyBorder="1" applyAlignment="1" applyProtection="1">
      <alignment horizontal="left"/>
    </xf>
    <xf numFmtId="177" fontId="24" fillId="2" borderId="2" xfId="1" applyNumberFormat="1" applyFont="1" applyFill="1" applyBorder="1" applyAlignment="1">
      <alignment horizontal="center"/>
    </xf>
    <xf numFmtId="0" fontId="27" fillId="2" borderId="2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left"/>
    </xf>
    <xf numFmtId="179" fontId="10" fillId="2" borderId="2" xfId="1" applyNumberFormat="1" applyFont="1" applyFill="1" applyBorder="1" applyAlignment="1">
      <alignment horizontal="left"/>
    </xf>
    <xf numFmtId="177" fontId="24" fillId="2" borderId="2" xfId="1" quotePrefix="1" applyNumberFormat="1" applyFont="1" applyFill="1" applyBorder="1" applyAlignment="1">
      <alignment horizontal="center"/>
    </xf>
    <xf numFmtId="0" fontId="10" fillId="4" borderId="2" xfId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3" fontId="1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0" fillId="3" borderId="6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177" fontId="10" fillId="3" borderId="6" xfId="1" applyNumberFormat="1" applyFont="1" applyFill="1" applyBorder="1" applyAlignment="1">
      <alignment horizontal="center" vertical="center" wrapText="1"/>
    </xf>
    <xf numFmtId="177" fontId="10" fillId="3" borderId="8" xfId="1" applyNumberFormat="1" applyFont="1" applyFill="1" applyBorder="1" applyAlignment="1">
      <alignment horizontal="center" vertical="center" wrapText="1"/>
    </xf>
    <xf numFmtId="0" fontId="26" fillId="3" borderId="13" xfId="1" applyFont="1" applyFill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38" fontId="10" fillId="3" borderId="6" xfId="1" applyNumberFormat="1" applyFont="1" applyFill="1" applyBorder="1" applyAlignment="1">
      <alignment horizontal="center" vertical="center" wrapText="1"/>
    </xf>
    <xf numFmtId="38" fontId="10" fillId="3" borderId="8" xfId="1" applyNumberFormat="1" applyFont="1" applyFill="1" applyBorder="1" applyAlignment="1">
      <alignment horizontal="center" vertical="center" wrapText="1"/>
    </xf>
    <xf numFmtId="49" fontId="10" fillId="3" borderId="6" xfId="1" applyNumberFormat="1" applyFont="1" applyFill="1" applyBorder="1" applyAlignment="1">
      <alignment horizontal="center" vertical="center" wrapText="1"/>
    </xf>
    <xf numFmtId="49" fontId="10" fillId="3" borderId="8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16" xfId="0" applyFont="1" applyFill="1" applyBorder="1" applyAlignment="1">
      <alignment horizontal="center" vertical="center"/>
    </xf>
    <xf numFmtId="0" fontId="0" fillId="7" borderId="0" xfId="0" applyFill="1"/>
    <xf numFmtId="182" fontId="1" fillId="0" borderId="16" xfId="0" applyNumberFormat="1" applyFont="1" applyFill="1" applyBorder="1" applyAlignment="1">
      <alignment horizontal="center" vertical="center"/>
    </xf>
    <xf numFmtId="0" fontId="36" fillId="7" borderId="0" xfId="0" applyFont="1" applyFill="1"/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0" fontId="36" fillId="0" borderId="2" xfId="0" quotePrefix="1" applyFont="1" applyBorder="1" applyAlignment="1">
      <alignment horizontal="center" vertical="center"/>
    </xf>
  </cellXfs>
  <cellStyles count="5">
    <cellStyle name="_0118" xfId="3" xr:uid="{B241E01E-D76E-41B5-A1FB-89F061B6140C}"/>
    <cellStyle name="Currency 2" xfId="4" xr:uid="{C4EE1BF8-38A7-4F59-9C58-A9D6F3EB2807}"/>
    <cellStyle name="Normal 2" xfId="1" xr:uid="{2F8BD3A8-2365-488C-AC56-619554EFC08A}"/>
    <cellStyle name="Style 1" xfId="2" xr:uid="{AAB0EF1F-92A3-416B-BF91-0A1606C7FC6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9"/>
  <sheetViews>
    <sheetView tabSelected="1" workbookViewId="0">
      <selection activeCell="G16" sqref="G16"/>
    </sheetView>
  </sheetViews>
  <sheetFormatPr defaultRowHeight="17.399999999999999"/>
  <cols>
    <col min="1" max="1" width="11.8984375" bestFit="1" customWidth="1"/>
    <col min="2" max="2" width="15.09765625" bestFit="1" customWidth="1"/>
    <col min="3" max="3" width="37.3984375" bestFit="1" customWidth="1"/>
    <col min="4" max="4" width="41.59765625" bestFit="1" customWidth="1"/>
    <col min="6" max="6" width="11" customWidth="1"/>
  </cols>
  <sheetData>
    <row r="1" spans="1:10">
      <c r="A1" s="85" t="s">
        <v>264</v>
      </c>
      <c r="B1" s="86"/>
      <c r="C1" s="86"/>
      <c r="D1" s="86"/>
    </row>
    <row r="2" spans="1:10">
      <c r="A2" s="1" t="s">
        <v>0</v>
      </c>
      <c r="B2" s="1" t="s">
        <v>1</v>
      </c>
      <c r="C2" s="2" t="s">
        <v>2</v>
      </c>
      <c r="D2" s="1" t="s">
        <v>3</v>
      </c>
      <c r="E2" s="1" t="s">
        <v>271</v>
      </c>
      <c r="F2" s="101"/>
      <c r="G2" s="101"/>
      <c r="H2">
        <v>2026.06</v>
      </c>
      <c r="I2" s="101" t="s">
        <v>274</v>
      </c>
    </row>
    <row r="3" spans="1:10" ht="55.2" customHeight="1">
      <c r="A3" s="3">
        <v>1</v>
      </c>
      <c r="B3" s="4" t="s">
        <v>4</v>
      </c>
      <c r="C3" s="84" t="s">
        <v>263</v>
      </c>
      <c r="D3" s="8" t="s">
        <v>257</v>
      </c>
      <c r="E3" s="3"/>
      <c r="F3" s="101"/>
      <c r="G3" s="101" t="s">
        <v>272</v>
      </c>
      <c r="H3">
        <v>1527.3</v>
      </c>
    </row>
    <row r="4" spans="1:10">
      <c r="A4" s="3">
        <v>2</v>
      </c>
      <c r="B4" s="4" t="s">
        <v>5</v>
      </c>
      <c r="C4" s="3" t="s">
        <v>6</v>
      </c>
      <c r="D4" s="4"/>
      <c r="E4" s="3"/>
      <c r="F4" s="103"/>
      <c r="G4" s="103" t="s">
        <v>273</v>
      </c>
      <c r="H4">
        <v>950.38</v>
      </c>
      <c r="I4" s="106">
        <f>H3/H4*100</f>
        <v>160.70413939687282</v>
      </c>
      <c r="J4" s="101" t="s">
        <v>275</v>
      </c>
    </row>
    <row r="5" spans="1:10">
      <c r="A5" s="3">
        <v>3</v>
      </c>
      <c r="B5" s="107" t="s">
        <v>7</v>
      </c>
      <c r="C5" s="108" t="s">
        <v>8</v>
      </c>
      <c r="D5" s="7" t="s">
        <v>9</v>
      </c>
      <c r="E5" s="108">
        <v>197</v>
      </c>
      <c r="F5" s="105">
        <f>E5/I4</f>
        <v>1.22585516925293</v>
      </c>
      <c r="H5" s="104"/>
    </row>
    <row r="6" spans="1:10">
      <c r="A6" s="3">
        <v>4</v>
      </c>
      <c r="B6" s="83" t="s">
        <v>269</v>
      </c>
      <c r="C6" s="7" t="s">
        <v>270</v>
      </c>
      <c r="D6" s="3"/>
      <c r="E6" s="3"/>
      <c r="F6" s="109">
        <f>F5+0.2+0.2</f>
        <v>1.6258551692529299</v>
      </c>
    </row>
    <row r="7" spans="1:10">
      <c r="A7" s="3">
        <v>5</v>
      </c>
      <c r="B7" s="107" t="s">
        <v>10</v>
      </c>
      <c r="C7" s="108" t="s">
        <v>11</v>
      </c>
      <c r="D7" s="4"/>
      <c r="E7" s="3">
        <f>F7*I4</f>
        <v>261.28165575874908</v>
      </c>
      <c r="F7" s="109">
        <f>F5+0.2+0.2</f>
        <v>1.6258551692529299</v>
      </c>
    </row>
    <row r="8" spans="1:10">
      <c r="A8" s="3">
        <v>6</v>
      </c>
      <c r="B8" s="83" t="s">
        <v>268</v>
      </c>
      <c r="C8" s="7" t="s">
        <v>265</v>
      </c>
      <c r="D8" s="3" t="s">
        <v>12</v>
      </c>
      <c r="E8" s="3"/>
      <c r="F8" s="102"/>
    </row>
    <row r="9" spans="1:10">
      <c r="A9" s="3">
        <v>7</v>
      </c>
      <c r="B9" s="107" t="s">
        <v>13</v>
      </c>
      <c r="C9" s="110" t="s">
        <v>14</v>
      </c>
      <c r="D9" s="4"/>
      <c r="E9" s="3"/>
      <c r="F9" s="102"/>
    </row>
    <row r="10" spans="1:10">
      <c r="A10" s="3">
        <v>8</v>
      </c>
      <c r="B10" s="4" t="s">
        <v>15</v>
      </c>
      <c r="C10" s="5" t="s">
        <v>16</v>
      </c>
      <c r="D10" s="7" t="s">
        <v>32</v>
      </c>
      <c r="E10" s="3"/>
      <c r="F10" s="102"/>
    </row>
    <row r="11" spans="1:10">
      <c r="A11" s="9">
        <v>9</v>
      </c>
      <c r="B11" s="10" t="s">
        <v>3</v>
      </c>
      <c r="C11" s="87" t="s">
        <v>262</v>
      </c>
      <c r="D11" s="88"/>
      <c r="E11" s="3"/>
      <c r="F11" s="102"/>
    </row>
    <row r="12" spans="1:10">
      <c r="A12" s="1" t="s">
        <v>17</v>
      </c>
      <c r="B12" s="1" t="s">
        <v>1</v>
      </c>
      <c r="C12" s="2" t="s">
        <v>18</v>
      </c>
      <c r="D12" s="1" t="s">
        <v>3</v>
      </c>
      <c r="E12" s="4"/>
      <c r="F12" s="102"/>
    </row>
    <row r="13" spans="1:10">
      <c r="A13" s="3">
        <v>1</v>
      </c>
      <c r="B13" s="4" t="s">
        <v>4</v>
      </c>
      <c r="C13" s="3" t="s">
        <v>31</v>
      </c>
      <c r="D13" s="3"/>
      <c r="E13" s="4"/>
    </row>
    <row r="14" spans="1:10">
      <c r="A14" s="3">
        <v>2</v>
      </c>
      <c r="B14" s="4" t="s">
        <v>19</v>
      </c>
      <c r="C14" s="7" t="s">
        <v>20</v>
      </c>
      <c r="D14" s="3" t="s">
        <v>21</v>
      </c>
      <c r="E14" s="4"/>
    </row>
    <row r="15" spans="1:10">
      <c r="A15" s="3">
        <v>3</v>
      </c>
      <c r="B15" s="4" t="s">
        <v>22</v>
      </c>
      <c r="C15" s="3" t="s">
        <v>23</v>
      </c>
      <c r="D15" s="3" t="s">
        <v>24</v>
      </c>
      <c r="E15" s="4"/>
    </row>
    <row r="16" spans="1:10">
      <c r="A16" s="3">
        <v>4</v>
      </c>
      <c r="B16" s="4" t="s">
        <v>25</v>
      </c>
      <c r="C16" s="3" t="s">
        <v>26</v>
      </c>
      <c r="D16" s="7" t="s">
        <v>261</v>
      </c>
      <c r="E16" s="4"/>
    </row>
    <row r="17" spans="1:5">
      <c r="A17" s="3">
        <v>5</v>
      </c>
      <c r="B17" s="4" t="s">
        <v>27</v>
      </c>
      <c r="C17" s="3" t="s">
        <v>28</v>
      </c>
      <c r="D17" s="3"/>
      <c r="E17" s="4"/>
    </row>
    <row r="18" spans="1:5">
      <c r="A18" s="3">
        <v>6</v>
      </c>
      <c r="B18" s="4" t="s">
        <v>29</v>
      </c>
      <c r="C18" s="6" t="s">
        <v>266</v>
      </c>
      <c r="D18" s="7" t="s">
        <v>259</v>
      </c>
      <c r="E18" s="4"/>
    </row>
    <row r="19" spans="1:5">
      <c r="A19" s="3">
        <v>7</v>
      </c>
      <c r="B19" s="4" t="s">
        <v>30</v>
      </c>
      <c r="C19" s="6" t="s">
        <v>267</v>
      </c>
      <c r="D19" s="7" t="s">
        <v>260</v>
      </c>
      <c r="E19" s="4"/>
    </row>
  </sheetData>
  <mergeCells count="2">
    <mergeCell ref="A1:D1"/>
    <mergeCell ref="C11:D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24B6-3436-489E-A70C-9EE20A3E1862}">
  <dimension ref="A1:J70"/>
  <sheetViews>
    <sheetView workbookViewId="0">
      <selection activeCell="J57" sqref="J57"/>
    </sheetView>
  </sheetViews>
  <sheetFormatPr defaultRowHeight="17.399999999999999"/>
  <cols>
    <col min="1" max="4" width="13.69921875" customWidth="1"/>
    <col min="5" max="5" width="28.59765625" customWidth="1"/>
    <col min="6" max="9" width="13.69921875" customWidth="1"/>
  </cols>
  <sheetData>
    <row r="1" spans="1:9">
      <c r="A1" s="95" t="s">
        <v>33</v>
      </c>
      <c r="B1" s="89" t="s">
        <v>34</v>
      </c>
      <c r="C1" s="97" t="s">
        <v>35</v>
      </c>
      <c r="D1" s="28"/>
      <c r="E1" s="89" t="s">
        <v>98</v>
      </c>
      <c r="F1" s="99" t="s">
        <v>99</v>
      </c>
      <c r="G1" s="89" t="s">
        <v>100</v>
      </c>
      <c r="H1" s="91" t="s">
        <v>101</v>
      </c>
      <c r="I1" s="93" t="s">
        <v>142</v>
      </c>
    </row>
    <row r="2" spans="1:9" ht="18" thickBot="1">
      <c r="A2" s="96"/>
      <c r="B2" s="90"/>
      <c r="C2" s="98"/>
      <c r="D2" s="29" t="s">
        <v>88</v>
      </c>
      <c r="E2" s="90"/>
      <c r="F2" s="100"/>
      <c r="G2" s="90"/>
      <c r="H2" s="92"/>
      <c r="I2" s="94"/>
    </row>
    <row r="3" spans="1:9">
      <c r="A3" s="11" t="s">
        <v>36</v>
      </c>
      <c r="B3" s="12" t="s">
        <v>37</v>
      </c>
      <c r="C3" s="12" t="s">
        <v>38</v>
      </c>
      <c r="D3" s="30" t="s">
        <v>89</v>
      </c>
      <c r="E3" s="30" t="s">
        <v>102</v>
      </c>
      <c r="F3" s="30" t="s">
        <v>103</v>
      </c>
      <c r="G3" s="30" t="s">
        <v>104</v>
      </c>
      <c r="H3" s="34">
        <v>1.2</v>
      </c>
      <c r="I3" s="39">
        <v>60</v>
      </c>
    </row>
    <row r="4" spans="1:9">
      <c r="A4" s="13" t="s">
        <v>36</v>
      </c>
      <c r="B4" s="14" t="s">
        <v>37</v>
      </c>
      <c r="C4" s="14" t="s">
        <v>39</v>
      </c>
      <c r="D4" s="31" t="s">
        <v>90</v>
      </c>
      <c r="E4" s="31" t="s">
        <v>105</v>
      </c>
      <c r="F4" s="31" t="s">
        <v>106</v>
      </c>
      <c r="G4" s="31" t="s">
        <v>107</v>
      </c>
      <c r="H4" s="35">
        <v>1.38</v>
      </c>
      <c r="I4" s="40">
        <v>2068</v>
      </c>
    </row>
    <row r="5" spans="1:9">
      <c r="A5" s="13" t="s">
        <v>36</v>
      </c>
      <c r="B5" s="19" t="s">
        <v>40</v>
      </c>
      <c r="C5" s="14" t="s">
        <v>41</v>
      </c>
      <c r="D5" s="32" t="s">
        <v>92</v>
      </c>
      <c r="E5" s="14" t="s">
        <v>111</v>
      </c>
      <c r="F5" s="32" t="s">
        <v>108</v>
      </c>
      <c r="G5" s="32" t="s">
        <v>112</v>
      </c>
      <c r="H5" s="36">
        <v>1.02</v>
      </c>
      <c r="I5" s="40">
        <v>4800</v>
      </c>
    </row>
    <row r="6" spans="1:9">
      <c r="A6" s="13" t="s">
        <v>36</v>
      </c>
      <c r="B6" s="19" t="s">
        <v>40</v>
      </c>
      <c r="C6" s="19" t="s">
        <v>42</v>
      </c>
      <c r="D6" s="32" t="s">
        <v>92</v>
      </c>
      <c r="E6" s="32" t="s">
        <v>113</v>
      </c>
      <c r="F6" s="32" t="s">
        <v>108</v>
      </c>
      <c r="G6" s="32" t="s">
        <v>114</v>
      </c>
      <c r="H6" s="37">
        <v>1.21</v>
      </c>
      <c r="I6" s="40">
        <v>1788</v>
      </c>
    </row>
    <row r="7" spans="1:9">
      <c r="A7" s="13" t="s">
        <v>36</v>
      </c>
      <c r="B7" s="14" t="s">
        <v>44</v>
      </c>
      <c r="C7" s="15" t="s">
        <v>45</v>
      </c>
      <c r="D7" s="31" t="s">
        <v>92</v>
      </c>
      <c r="E7" s="31" t="s">
        <v>115</v>
      </c>
      <c r="F7" s="31" t="s">
        <v>109</v>
      </c>
      <c r="G7" s="31" t="s">
        <v>110</v>
      </c>
      <c r="H7" s="38">
        <v>0.89</v>
      </c>
      <c r="I7" s="40">
        <v>17400</v>
      </c>
    </row>
    <row r="8" spans="1:9">
      <c r="A8" s="13" t="s">
        <v>36</v>
      </c>
      <c r="B8" s="14" t="s">
        <v>46</v>
      </c>
      <c r="C8" s="15" t="s">
        <v>47</v>
      </c>
      <c r="D8" s="31" t="s">
        <v>92</v>
      </c>
      <c r="E8" s="31" t="s">
        <v>116</v>
      </c>
      <c r="F8" s="31" t="s">
        <v>108</v>
      </c>
      <c r="G8" s="31" t="s">
        <v>110</v>
      </c>
      <c r="H8" s="38">
        <v>1.17</v>
      </c>
      <c r="I8" s="40">
        <v>160</v>
      </c>
    </row>
    <row r="9" spans="1:9">
      <c r="A9" s="13" t="s">
        <v>36</v>
      </c>
      <c r="B9" s="14" t="s">
        <v>49</v>
      </c>
      <c r="C9" s="15" t="s">
        <v>50</v>
      </c>
      <c r="D9" s="31" t="s">
        <v>94</v>
      </c>
      <c r="E9" s="31" t="s">
        <v>118</v>
      </c>
      <c r="F9" s="31" t="s">
        <v>108</v>
      </c>
      <c r="G9" s="31" t="s">
        <v>119</v>
      </c>
      <c r="H9" s="35">
        <v>1.26</v>
      </c>
      <c r="I9" s="40">
        <v>36</v>
      </c>
    </row>
    <row r="10" spans="1:9">
      <c r="A10" s="13" t="s">
        <v>36</v>
      </c>
      <c r="B10" s="14" t="s">
        <v>51</v>
      </c>
      <c r="C10" s="14" t="s">
        <v>52</v>
      </c>
      <c r="D10" s="31" t="s">
        <v>89</v>
      </c>
      <c r="E10" s="31" t="s">
        <v>120</v>
      </c>
      <c r="F10" s="30" t="s">
        <v>103</v>
      </c>
      <c r="G10" s="31" t="s">
        <v>121</v>
      </c>
      <c r="H10" s="38">
        <v>1.1000000000000001</v>
      </c>
      <c r="I10" s="40">
        <v>1360</v>
      </c>
    </row>
    <row r="11" spans="1:9">
      <c r="A11" s="13" t="s">
        <v>36</v>
      </c>
      <c r="B11" s="14" t="s">
        <v>53</v>
      </c>
      <c r="C11" s="14" t="s">
        <v>54</v>
      </c>
      <c r="D11" s="31" t="s">
        <v>92</v>
      </c>
      <c r="E11" s="31" t="s">
        <v>122</v>
      </c>
      <c r="F11" s="31" t="s">
        <v>123</v>
      </c>
      <c r="G11" s="31" t="s">
        <v>110</v>
      </c>
      <c r="H11" s="38">
        <v>0.95</v>
      </c>
      <c r="I11" s="40">
        <v>704</v>
      </c>
    </row>
    <row r="12" spans="1:9">
      <c r="A12" s="13" t="s">
        <v>36</v>
      </c>
      <c r="B12" s="14" t="s">
        <v>55</v>
      </c>
      <c r="C12" s="14" t="s">
        <v>56</v>
      </c>
      <c r="D12" s="31" t="s">
        <v>92</v>
      </c>
      <c r="E12" s="31" t="s">
        <v>124</v>
      </c>
      <c r="F12" s="31" t="s">
        <v>108</v>
      </c>
      <c r="G12" s="31" t="s">
        <v>110</v>
      </c>
      <c r="H12" s="38">
        <v>0.96</v>
      </c>
      <c r="I12" s="40">
        <v>6000</v>
      </c>
    </row>
    <row r="13" spans="1:9">
      <c r="A13" s="13" t="s">
        <v>36</v>
      </c>
      <c r="B13" s="14" t="s">
        <v>57</v>
      </c>
      <c r="C13" s="21" t="s">
        <v>58</v>
      </c>
      <c r="D13" s="31" t="s">
        <v>92</v>
      </c>
      <c r="E13" s="31" t="s">
        <v>125</v>
      </c>
      <c r="F13" s="31" t="s">
        <v>109</v>
      </c>
      <c r="G13" s="31" t="s">
        <v>110</v>
      </c>
      <c r="H13" s="35">
        <v>1</v>
      </c>
      <c r="I13" s="40">
        <v>904</v>
      </c>
    </row>
    <row r="14" spans="1:9">
      <c r="A14" s="13" t="s">
        <v>36</v>
      </c>
      <c r="B14" s="14" t="s">
        <v>59</v>
      </c>
      <c r="C14" s="14" t="s">
        <v>60</v>
      </c>
      <c r="D14" s="31" t="s">
        <v>89</v>
      </c>
      <c r="E14" s="31" t="s">
        <v>126</v>
      </c>
      <c r="F14" s="31" t="s">
        <v>103</v>
      </c>
      <c r="G14" s="31" t="s">
        <v>110</v>
      </c>
      <c r="H14" s="38">
        <v>0.88</v>
      </c>
      <c r="I14" s="40">
        <v>4800</v>
      </c>
    </row>
    <row r="15" spans="1:9">
      <c r="A15" s="13" t="s">
        <v>36</v>
      </c>
      <c r="B15" s="14" t="s">
        <v>61</v>
      </c>
      <c r="C15" s="14" t="s">
        <v>62</v>
      </c>
      <c r="D15" s="31" t="s">
        <v>92</v>
      </c>
      <c r="E15" s="31" t="s">
        <v>127</v>
      </c>
      <c r="F15" s="31"/>
      <c r="G15" s="31" t="s">
        <v>110</v>
      </c>
      <c r="H15" s="38">
        <v>1.03</v>
      </c>
      <c r="I15" s="40">
        <v>9000</v>
      </c>
    </row>
    <row r="16" spans="1:9">
      <c r="A16" s="13" t="s">
        <v>36</v>
      </c>
      <c r="B16" s="14" t="s">
        <v>43</v>
      </c>
      <c r="C16" s="15" t="s">
        <v>63</v>
      </c>
      <c r="D16" s="31" t="s">
        <v>94</v>
      </c>
      <c r="E16" s="31" t="s">
        <v>128</v>
      </c>
      <c r="F16" s="31" t="s">
        <v>109</v>
      </c>
      <c r="G16" s="31" t="s">
        <v>110</v>
      </c>
      <c r="H16" s="38">
        <v>0.88</v>
      </c>
      <c r="I16" s="40">
        <v>628</v>
      </c>
    </row>
    <row r="17" spans="1:9">
      <c r="A17" s="72" t="s">
        <v>36</v>
      </c>
      <c r="B17" s="73" t="s">
        <v>64</v>
      </c>
      <c r="C17" s="79" t="s">
        <v>65</v>
      </c>
      <c r="D17" s="75" t="s">
        <v>93</v>
      </c>
      <c r="E17" s="74" t="s">
        <v>129</v>
      </c>
      <c r="F17" s="75" t="s">
        <v>256</v>
      </c>
      <c r="G17" s="75" t="s">
        <v>110</v>
      </c>
      <c r="H17" s="77">
        <v>2</v>
      </c>
      <c r="I17" s="78">
        <v>876</v>
      </c>
    </row>
    <row r="18" spans="1:9">
      <c r="A18" s="13" t="s">
        <v>36</v>
      </c>
      <c r="B18" s="22" t="s">
        <v>66</v>
      </c>
      <c r="C18" s="15" t="s">
        <v>67</v>
      </c>
      <c r="D18" s="31" t="s">
        <v>92</v>
      </c>
      <c r="E18" s="23" t="s">
        <v>130</v>
      </c>
      <c r="F18" s="31"/>
      <c r="G18" s="31" t="s">
        <v>110</v>
      </c>
      <c r="H18" s="38">
        <v>0.95</v>
      </c>
      <c r="I18" s="40">
        <v>9200</v>
      </c>
    </row>
    <row r="19" spans="1:9">
      <c r="A19" s="13" t="s">
        <v>36</v>
      </c>
      <c r="B19" s="22" t="s">
        <v>68</v>
      </c>
      <c r="C19" s="15" t="s">
        <v>69</v>
      </c>
      <c r="D19" s="31" t="s">
        <v>92</v>
      </c>
      <c r="E19" s="23" t="s">
        <v>131</v>
      </c>
      <c r="F19" s="31"/>
      <c r="G19" s="31" t="s">
        <v>110</v>
      </c>
      <c r="H19" s="38">
        <v>0.98</v>
      </c>
      <c r="I19" s="40">
        <v>5800</v>
      </c>
    </row>
    <row r="20" spans="1:9">
      <c r="A20" s="13" t="s">
        <v>36</v>
      </c>
      <c r="B20" s="22" t="s">
        <v>70</v>
      </c>
      <c r="C20" s="15" t="s">
        <v>71</v>
      </c>
      <c r="D20" s="31" t="s">
        <v>89</v>
      </c>
      <c r="E20" s="23" t="s">
        <v>132</v>
      </c>
      <c r="F20" s="31" t="s">
        <v>103</v>
      </c>
      <c r="G20" s="31" t="s">
        <v>110</v>
      </c>
      <c r="H20" s="38">
        <v>0.95</v>
      </c>
      <c r="I20" s="40">
        <v>664</v>
      </c>
    </row>
    <row r="21" spans="1:9">
      <c r="A21" s="13" t="s">
        <v>36</v>
      </c>
      <c r="B21" s="22" t="s">
        <v>72</v>
      </c>
      <c r="C21" s="15" t="s">
        <v>73</v>
      </c>
      <c r="D21" s="31" t="s">
        <v>92</v>
      </c>
      <c r="E21" s="23" t="s">
        <v>133</v>
      </c>
      <c r="F21" s="31" t="s">
        <v>109</v>
      </c>
      <c r="G21" s="31" t="s">
        <v>110</v>
      </c>
      <c r="H21" s="35">
        <v>1.06</v>
      </c>
      <c r="I21" s="40">
        <v>200</v>
      </c>
    </row>
    <row r="22" spans="1:9">
      <c r="A22" s="13" t="s">
        <v>36</v>
      </c>
      <c r="B22" s="23" t="s">
        <v>43</v>
      </c>
      <c r="C22" s="15" t="s">
        <v>74</v>
      </c>
      <c r="D22" s="31" t="s">
        <v>95</v>
      </c>
      <c r="E22" s="23" t="s">
        <v>134</v>
      </c>
      <c r="F22" s="31" t="s">
        <v>256</v>
      </c>
      <c r="G22" s="31" t="s">
        <v>110</v>
      </c>
      <c r="H22" s="38">
        <v>2.2999999999999998</v>
      </c>
      <c r="I22" s="40">
        <v>776</v>
      </c>
    </row>
    <row r="23" spans="1:9">
      <c r="A23" s="13" t="s">
        <v>36</v>
      </c>
      <c r="B23" s="23" t="s">
        <v>75</v>
      </c>
      <c r="C23" s="15" t="s">
        <v>76</v>
      </c>
      <c r="D23" s="31" t="s">
        <v>89</v>
      </c>
      <c r="E23" s="23" t="s">
        <v>135</v>
      </c>
      <c r="F23" s="31" t="s">
        <v>103</v>
      </c>
      <c r="G23" s="31" t="s">
        <v>110</v>
      </c>
      <c r="H23" s="35">
        <v>1.43</v>
      </c>
      <c r="I23" s="40">
        <v>36</v>
      </c>
    </row>
    <row r="24" spans="1:9">
      <c r="A24" s="13" t="s">
        <v>36</v>
      </c>
      <c r="B24" s="23" t="s">
        <v>64</v>
      </c>
      <c r="C24" s="15" t="s">
        <v>77</v>
      </c>
      <c r="D24" s="31" t="s">
        <v>92</v>
      </c>
      <c r="E24" s="23" t="s">
        <v>136</v>
      </c>
      <c r="F24" s="31"/>
      <c r="G24" s="31" t="s">
        <v>110</v>
      </c>
      <c r="H24" s="38">
        <v>1.1000000000000001</v>
      </c>
      <c r="I24" s="40">
        <v>150</v>
      </c>
    </row>
    <row r="25" spans="1:9">
      <c r="A25" s="13" t="s">
        <v>36</v>
      </c>
      <c r="B25" s="23" t="s">
        <v>78</v>
      </c>
      <c r="C25" s="15" t="s">
        <v>79</v>
      </c>
      <c r="D25" s="31" t="s">
        <v>92</v>
      </c>
      <c r="E25" s="23" t="s">
        <v>137</v>
      </c>
      <c r="F25" s="31"/>
      <c r="G25" s="31" t="s">
        <v>110</v>
      </c>
      <c r="H25" s="35">
        <v>1.07</v>
      </c>
      <c r="I25" s="40">
        <v>64</v>
      </c>
    </row>
    <row r="26" spans="1:9">
      <c r="A26" s="13" t="s">
        <v>36</v>
      </c>
      <c r="B26" s="26" t="s">
        <v>80</v>
      </c>
      <c r="C26" s="15" t="s">
        <v>81</v>
      </c>
      <c r="D26" s="31" t="s">
        <v>92</v>
      </c>
      <c r="E26" s="26" t="s">
        <v>138</v>
      </c>
      <c r="F26" s="31" t="s">
        <v>258</v>
      </c>
      <c r="G26" s="31" t="s">
        <v>110</v>
      </c>
      <c r="H26" s="38">
        <v>1.1299999999999999</v>
      </c>
      <c r="I26" s="40">
        <v>372</v>
      </c>
    </row>
    <row r="27" spans="1:9">
      <c r="A27" s="13" t="s">
        <v>36</v>
      </c>
      <c r="B27" s="25" t="s">
        <v>82</v>
      </c>
      <c r="C27" s="24" t="s">
        <v>83</v>
      </c>
      <c r="D27" s="33" t="s">
        <v>96</v>
      </c>
      <c r="E27" s="25" t="s">
        <v>139</v>
      </c>
      <c r="F27" s="31" t="s">
        <v>109</v>
      </c>
      <c r="G27" s="31" t="s">
        <v>110</v>
      </c>
      <c r="H27" s="38">
        <v>1.25</v>
      </c>
      <c r="I27" s="40">
        <v>340</v>
      </c>
    </row>
    <row r="28" spans="1:9">
      <c r="A28" s="13" t="s">
        <v>36</v>
      </c>
      <c r="B28" s="25" t="s">
        <v>84</v>
      </c>
      <c r="C28" s="27" t="s">
        <v>85</v>
      </c>
      <c r="D28" s="31" t="s">
        <v>97</v>
      </c>
      <c r="E28" s="25" t="s">
        <v>140</v>
      </c>
      <c r="F28" s="31"/>
      <c r="G28" s="31" t="s">
        <v>110</v>
      </c>
      <c r="H28" s="38">
        <v>1.25</v>
      </c>
      <c r="I28" s="40">
        <v>1740</v>
      </c>
    </row>
    <row r="29" spans="1:9">
      <c r="A29" s="13" t="s">
        <v>36</v>
      </c>
      <c r="B29" s="25" t="s">
        <v>86</v>
      </c>
      <c r="C29" s="24" t="s">
        <v>87</v>
      </c>
      <c r="D29" s="31" t="s">
        <v>94</v>
      </c>
      <c r="E29" s="25" t="s">
        <v>141</v>
      </c>
      <c r="F29" s="31" t="s">
        <v>109</v>
      </c>
      <c r="G29" s="31" t="s">
        <v>110</v>
      </c>
      <c r="H29" s="35">
        <v>1.25</v>
      </c>
      <c r="I29" s="40">
        <v>1280</v>
      </c>
    </row>
    <row r="30" spans="1:9">
      <c r="A30" s="20" t="s">
        <v>36</v>
      </c>
      <c r="B30" s="15" t="s">
        <v>143</v>
      </c>
      <c r="C30" s="15"/>
      <c r="D30" s="41" t="s">
        <v>94</v>
      </c>
      <c r="E30" s="14" t="s">
        <v>144</v>
      </c>
      <c r="F30" s="31" t="s">
        <v>109</v>
      </c>
      <c r="G30" s="31" t="s">
        <v>110</v>
      </c>
      <c r="H30" s="42">
        <v>1.33</v>
      </c>
      <c r="I30" s="40">
        <v>8</v>
      </c>
    </row>
    <row r="31" spans="1:9">
      <c r="A31" s="20" t="s">
        <v>36</v>
      </c>
      <c r="B31" s="15" t="s">
        <v>143</v>
      </c>
      <c r="C31" s="15"/>
      <c r="D31" s="41" t="s">
        <v>94</v>
      </c>
      <c r="E31" s="14" t="s">
        <v>145</v>
      </c>
      <c r="F31" s="31" t="s">
        <v>109</v>
      </c>
      <c r="G31" s="31" t="s">
        <v>110</v>
      </c>
      <c r="H31" s="42">
        <v>1.33</v>
      </c>
      <c r="I31" s="40">
        <v>8</v>
      </c>
    </row>
    <row r="32" spans="1:9">
      <c r="A32" s="13" t="s">
        <v>36</v>
      </c>
      <c r="B32" s="14" t="s">
        <v>146</v>
      </c>
      <c r="C32" s="14" t="s">
        <v>147</v>
      </c>
      <c r="D32" s="31" t="s">
        <v>92</v>
      </c>
      <c r="E32" s="44" t="s">
        <v>151</v>
      </c>
      <c r="F32" s="31" t="s">
        <v>108</v>
      </c>
      <c r="G32" s="31" t="s">
        <v>152</v>
      </c>
      <c r="H32" s="35">
        <v>1.17</v>
      </c>
      <c r="I32" s="40">
        <v>88</v>
      </c>
    </row>
    <row r="33" spans="1:9">
      <c r="A33" s="13" t="s">
        <v>36</v>
      </c>
      <c r="B33" s="14" t="s">
        <v>148</v>
      </c>
      <c r="C33" s="43" t="s">
        <v>149</v>
      </c>
      <c r="D33" s="31" t="s">
        <v>150</v>
      </c>
      <c r="E33" s="31" t="s">
        <v>153</v>
      </c>
      <c r="F33" s="31" t="s">
        <v>109</v>
      </c>
      <c r="G33" s="31" t="s">
        <v>110</v>
      </c>
      <c r="H33" s="38">
        <v>0.86</v>
      </c>
      <c r="I33" s="40">
        <v>124</v>
      </c>
    </row>
    <row r="34" spans="1:9">
      <c r="A34" s="13" t="s">
        <v>36</v>
      </c>
      <c r="B34" s="14" t="s">
        <v>154</v>
      </c>
      <c r="C34" s="14" t="s">
        <v>155</v>
      </c>
      <c r="D34" s="31" t="s">
        <v>92</v>
      </c>
      <c r="E34" s="31" t="s">
        <v>159</v>
      </c>
      <c r="F34" s="31"/>
      <c r="G34" s="31" t="s">
        <v>117</v>
      </c>
      <c r="H34" s="38">
        <v>1.2</v>
      </c>
      <c r="I34" s="40">
        <v>1600</v>
      </c>
    </row>
    <row r="35" spans="1:9">
      <c r="A35" s="13" t="s">
        <v>36</v>
      </c>
      <c r="B35" s="14" t="s">
        <v>143</v>
      </c>
      <c r="C35" s="14" t="s">
        <v>156</v>
      </c>
      <c r="D35" s="31" t="s">
        <v>94</v>
      </c>
      <c r="E35" s="31" t="s">
        <v>160</v>
      </c>
      <c r="F35" s="31" t="s">
        <v>109</v>
      </c>
      <c r="G35" s="31" t="s">
        <v>110</v>
      </c>
      <c r="H35" s="38">
        <v>1.01</v>
      </c>
      <c r="I35" s="40">
        <v>20</v>
      </c>
    </row>
    <row r="36" spans="1:9">
      <c r="A36" s="13" t="s">
        <v>36</v>
      </c>
      <c r="B36" s="14" t="s">
        <v>59</v>
      </c>
      <c r="C36" s="14" t="s">
        <v>157</v>
      </c>
      <c r="D36" s="31" t="s">
        <v>92</v>
      </c>
      <c r="E36" s="31" t="s">
        <v>161</v>
      </c>
      <c r="F36" s="31" t="s">
        <v>108</v>
      </c>
      <c r="G36" s="31" t="s">
        <v>110</v>
      </c>
      <c r="H36" s="38">
        <v>0.89</v>
      </c>
      <c r="I36" s="40">
        <v>1216</v>
      </c>
    </row>
    <row r="37" spans="1:9">
      <c r="A37" s="13" t="s">
        <v>36</v>
      </c>
      <c r="B37" s="14" t="s">
        <v>162</v>
      </c>
      <c r="C37" s="15" t="s">
        <v>163</v>
      </c>
      <c r="D37" s="31" t="s">
        <v>91</v>
      </c>
      <c r="E37" s="31" t="s">
        <v>158</v>
      </c>
      <c r="F37" s="31" t="s">
        <v>103</v>
      </c>
      <c r="G37" s="31" t="s">
        <v>175</v>
      </c>
      <c r="H37" s="38">
        <v>0.82</v>
      </c>
      <c r="I37" s="40">
        <v>1888</v>
      </c>
    </row>
    <row r="38" spans="1:9">
      <c r="A38" s="13" t="s">
        <v>36</v>
      </c>
      <c r="B38" s="18" t="s">
        <v>164</v>
      </c>
      <c r="C38" s="45" t="s">
        <v>165</v>
      </c>
      <c r="D38" s="31" t="s">
        <v>89</v>
      </c>
      <c r="E38" s="31" t="s">
        <v>176</v>
      </c>
      <c r="F38" s="31" t="s">
        <v>103</v>
      </c>
      <c r="G38" s="31" t="s">
        <v>175</v>
      </c>
      <c r="H38" s="42">
        <v>0.88</v>
      </c>
      <c r="I38" s="40">
        <v>3996</v>
      </c>
    </row>
    <row r="39" spans="1:9">
      <c r="A39" s="13" t="s">
        <v>36</v>
      </c>
      <c r="B39" s="18" t="s">
        <v>166</v>
      </c>
      <c r="C39" s="45" t="s">
        <v>167</v>
      </c>
      <c r="D39" s="31" t="s">
        <v>89</v>
      </c>
      <c r="E39" s="14" t="s">
        <v>177</v>
      </c>
      <c r="F39" s="31" t="s">
        <v>103</v>
      </c>
      <c r="G39" s="31" t="s">
        <v>175</v>
      </c>
      <c r="H39" s="42">
        <v>0.87</v>
      </c>
      <c r="I39" s="40">
        <v>3800</v>
      </c>
    </row>
    <row r="40" spans="1:9">
      <c r="A40" s="13" t="s">
        <v>36</v>
      </c>
      <c r="B40" s="46"/>
      <c r="C40" s="45" t="s">
        <v>168</v>
      </c>
      <c r="D40" s="31" t="s">
        <v>89</v>
      </c>
      <c r="E40" s="14" t="s">
        <v>178</v>
      </c>
      <c r="F40" s="31" t="s">
        <v>103</v>
      </c>
      <c r="G40" s="31" t="s">
        <v>175</v>
      </c>
      <c r="H40" s="42">
        <v>0.82</v>
      </c>
      <c r="I40" s="40">
        <v>40</v>
      </c>
    </row>
    <row r="41" spans="1:9">
      <c r="A41" s="13" t="s">
        <v>36</v>
      </c>
      <c r="B41" s="14" t="s">
        <v>48</v>
      </c>
      <c r="C41" s="15" t="s">
        <v>170</v>
      </c>
      <c r="D41" s="14" t="s">
        <v>89</v>
      </c>
      <c r="E41" s="31" t="s">
        <v>179</v>
      </c>
      <c r="F41" s="31" t="s">
        <v>103</v>
      </c>
      <c r="G41" s="31" t="s">
        <v>180</v>
      </c>
      <c r="H41" s="38">
        <v>0.85</v>
      </c>
      <c r="I41" s="40">
        <v>13600</v>
      </c>
    </row>
    <row r="42" spans="1:9">
      <c r="A42" s="13" t="s">
        <v>36</v>
      </c>
      <c r="B42" s="47" t="s">
        <v>169</v>
      </c>
      <c r="C42" s="48" t="s">
        <v>171</v>
      </c>
      <c r="D42" s="31" t="s">
        <v>92</v>
      </c>
      <c r="E42" s="17" t="s">
        <v>181</v>
      </c>
      <c r="F42" s="31" t="s">
        <v>109</v>
      </c>
      <c r="G42" s="17" t="s">
        <v>182</v>
      </c>
      <c r="H42" s="38">
        <v>0.91</v>
      </c>
      <c r="I42" s="40">
        <v>2804</v>
      </c>
    </row>
    <row r="43" spans="1:9">
      <c r="A43" s="13" t="s">
        <v>36</v>
      </c>
      <c r="B43" s="14" t="s">
        <v>172</v>
      </c>
      <c r="C43" s="49" t="s">
        <v>173</v>
      </c>
      <c r="D43" s="31" t="s">
        <v>150</v>
      </c>
      <c r="E43" s="17" t="s">
        <v>183</v>
      </c>
      <c r="F43" s="50"/>
      <c r="G43" s="17" t="s">
        <v>110</v>
      </c>
      <c r="H43" s="38">
        <v>0.91</v>
      </c>
      <c r="I43" s="40">
        <v>1228</v>
      </c>
    </row>
    <row r="44" spans="1:9">
      <c r="A44" s="13" t="s">
        <v>36</v>
      </c>
      <c r="B44" s="51" t="s">
        <v>184</v>
      </c>
      <c r="C44" s="15" t="s">
        <v>185</v>
      </c>
      <c r="D44" s="31" t="s">
        <v>92</v>
      </c>
      <c r="E44" s="51" t="s">
        <v>202</v>
      </c>
      <c r="F44" s="31" t="s">
        <v>258</v>
      </c>
      <c r="G44" s="31" t="s">
        <v>110</v>
      </c>
      <c r="H44" s="35">
        <v>1.46</v>
      </c>
      <c r="I44" s="40">
        <v>1116</v>
      </c>
    </row>
    <row r="45" spans="1:9">
      <c r="A45" s="13" t="s">
        <v>36</v>
      </c>
      <c r="B45" s="51" t="s">
        <v>186</v>
      </c>
      <c r="C45" s="52" t="s">
        <v>187</v>
      </c>
      <c r="D45" s="31" t="s">
        <v>92</v>
      </c>
      <c r="E45" s="51" t="s">
        <v>203</v>
      </c>
      <c r="F45" s="31"/>
      <c r="G45" s="31" t="s">
        <v>110</v>
      </c>
      <c r="H45" s="38">
        <v>1.25</v>
      </c>
      <c r="I45" s="40">
        <v>120</v>
      </c>
    </row>
    <row r="46" spans="1:9">
      <c r="A46" s="13" t="s">
        <v>36</v>
      </c>
      <c r="B46" s="53" t="s">
        <v>174</v>
      </c>
      <c r="C46" s="52" t="s">
        <v>188</v>
      </c>
      <c r="D46" s="31" t="s">
        <v>92</v>
      </c>
      <c r="E46" s="51" t="s">
        <v>204</v>
      </c>
      <c r="F46" s="31"/>
      <c r="G46" s="31" t="s">
        <v>110</v>
      </c>
      <c r="H46" s="38">
        <v>1.2</v>
      </c>
      <c r="I46" s="40">
        <v>14428</v>
      </c>
    </row>
    <row r="47" spans="1:9">
      <c r="A47" s="13" t="s">
        <v>36</v>
      </c>
      <c r="B47" s="54" t="s">
        <v>189</v>
      </c>
      <c r="C47" s="52" t="s">
        <v>190</v>
      </c>
      <c r="D47" s="31" t="s">
        <v>94</v>
      </c>
      <c r="E47" s="51" t="s">
        <v>205</v>
      </c>
      <c r="F47" s="31"/>
      <c r="G47" s="31" t="s">
        <v>110</v>
      </c>
      <c r="H47" s="38">
        <v>1.2</v>
      </c>
      <c r="I47" s="40">
        <v>1004</v>
      </c>
    </row>
    <row r="48" spans="1:9">
      <c r="A48" s="13" t="s">
        <v>36</v>
      </c>
      <c r="B48" s="54" t="s">
        <v>191</v>
      </c>
      <c r="C48" s="82" t="s">
        <v>192</v>
      </c>
      <c r="D48" s="31" t="s">
        <v>92</v>
      </c>
      <c r="E48" s="51" t="s">
        <v>206</v>
      </c>
      <c r="F48" s="31"/>
      <c r="G48" s="31" t="s">
        <v>110</v>
      </c>
      <c r="H48" s="38">
        <v>1.3</v>
      </c>
      <c r="I48" s="40">
        <v>3200</v>
      </c>
    </row>
    <row r="49" spans="1:10">
      <c r="A49" s="13" t="s">
        <v>36</v>
      </c>
      <c r="B49" s="54" t="s">
        <v>193</v>
      </c>
      <c r="C49" s="55" t="s">
        <v>194</v>
      </c>
      <c r="D49" s="31" t="s">
        <v>92</v>
      </c>
      <c r="E49" s="51" t="s">
        <v>207</v>
      </c>
      <c r="F49" s="31"/>
      <c r="G49" s="31" t="s">
        <v>110</v>
      </c>
      <c r="H49" s="38">
        <v>1.18</v>
      </c>
      <c r="I49" s="40">
        <v>4804</v>
      </c>
    </row>
    <row r="50" spans="1:10">
      <c r="A50" s="13" t="s">
        <v>36</v>
      </c>
      <c r="B50" s="54" t="s">
        <v>195</v>
      </c>
      <c r="C50" s="56" t="s">
        <v>196</v>
      </c>
      <c r="D50" s="31"/>
      <c r="E50" s="51" t="s">
        <v>208</v>
      </c>
      <c r="F50" s="31"/>
      <c r="G50" s="31" t="s">
        <v>110</v>
      </c>
      <c r="H50" s="38">
        <v>1.1200000000000001</v>
      </c>
      <c r="I50" s="40">
        <v>0</v>
      </c>
    </row>
    <row r="51" spans="1:10">
      <c r="A51" s="13" t="s">
        <v>36</v>
      </c>
      <c r="B51" s="54" t="s">
        <v>197</v>
      </c>
      <c r="C51" s="56" t="s">
        <v>198</v>
      </c>
      <c r="D51" s="31" t="s">
        <v>201</v>
      </c>
      <c r="E51" s="57" t="s">
        <v>209</v>
      </c>
      <c r="F51" s="31"/>
      <c r="G51" s="31" t="s">
        <v>110</v>
      </c>
      <c r="H51" s="38">
        <v>0.81</v>
      </c>
      <c r="I51" s="40">
        <v>444</v>
      </c>
    </row>
    <row r="52" spans="1:10">
      <c r="A52" s="13" t="s">
        <v>36</v>
      </c>
      <c r="B52" s="54" t="s">
        <v>199</v>
      </c>
      <c r="C52" s="56" t="s">
        <v>200</v>
      </c>
      <c r="D52" s="31" t="s">
        <v>94</v>
      </c>
      <c r="E52" s="57" t="s">
        <v>210</v>
      </c>
      <c r="F52" s="31"/>
      <c r="G52" s="31" t="s">
        <v>110</v>
      </c>
      <c r="H52" s="38">
        <v>1.25</v>
      </c>
      <c r="I52" s="40">
        <v>1332</v>
      </c>
    </row>
    <row r="53" spans="1:10">
      <c r="A53" s="20" t="s">
        <v>211</v>
      </c>
      <c r="B53" s="15" t="s">
        <v>212</v>
      </c>
      <c r="C53" s="15" t="s">
        <v>213</v>
      </c>
      <c r="D53" s="41">
        <v>515</v>
      </c>
      <c r="E53" s="31" t="s">
        <v>239</v>
      </c>
      <c r="F53" s="65"/>
      <c r="G53" s="41" t="s">
        <v>240</v>
      </c>
      <c r="H53" s="66">
        <v>21.4</v>
      </c>
      <c r="I53" s="40">
        <v>52</v>
      </c>
    </row>
    <row r="54" spans="1:10">
      <c r="A54" s="20" t="s">
        <v>211</v>
      </c>
      <c r="B54" s="15" t="s">
        <v>212</v>
      </c>
      <c r="C54" s="15" t="s">
        <v>213</v>
      </c>
      <c r="D54" s="41">
        <v>515</v>
      </c>
      <c r="E54" s="31" t="s">
        <v>239</v>
      </c>
      <c r="F54" s="65"/>
      <c r="G54" s="41" t="s">
        <v>240</v>
      </c>
      <c r="H54" s="66">
        <v>21.4</v>
      </c>
      <c r="I54" s="40">
        <v>52</v>
      </c>
    </row>
    <row r="55" spans="1:10">
      <c r="A55" s="20" t="s">
        <v>211</v>
      </c>
      <c r="B55" s="15" t="s">
        <v>214</v>
      </c>
      <c r="C55" s="58" t="s">
        <v>215</v>
      </c>
      <c r="D55" s="41">
        <v>515</v>
      </c>
      <c r="E55" s="41" t="s">
        <v>241</v>
      </c>
      <c r="F55" s="65"/>
      <c r="G55" s="41" t="s">
        <v>242</v>
      </c>
      <c r="H55" s="66">
        <v>21</v>
      </c>
      <c r="I55" s="40">
        <v>200</v>
      </c>
    </row>
    <row r="56" spans="1:10">
      <c r="A56" s="20" t="s">
        <v>211</v>
      </c>
      <c r="B56" s="15" t="s">
        <v>216</v>
      </c>
      <c r="C56" s="15" t="s">
        <v>217</v>
      </c>
      <c r="D56" s="41">
        <v>263</v>
      </c>
      <c r="E56" s="41" t="s">
        <v>243</v>
      </c>
      <c r="F56" s="65"/>
      <c r="G56" s="41" t="s">
        <v>242</v>
      </c>
      <c r="H56" s="66">
        <v>13.7</v>
      </c>
      <c r="I56" s="40">
        <v>656</v>
      </c>
      <c r="J56">
        <f>13.7/263</f>
        <v>5.2091254752851708E-2</v>
      </c>
    </row>
    <row r="57" spans="1:10">
      <c r="A57" s="20" t="s">
        <v>211</v>
      </c>
      <c r="B57" s="15" t="s">
        <v>216</v>
      </c>
      <c r="C57" s="59" t="s">
        <v>218</v>
      </c>
      <c r="D57" s="41">
        <v>263</v>
      </c>
      <c r="E57" s="41" t="s">
        <v>243</v>
      </c>
      <c r="F57" s="65"/>
      <c r="G57" s="41" t="s">
        <v>242</v>
      </c>
      <c r="H57" s="66">
        <v>13.7</v>
      </c>
      <c r="I57" s="40">
        <v>656</v>
      </c>
    </row>
    <row r="58" spans="1:10">
      <c r="A58" s="13" t="s">
        <v>211</v>
      </c>
      <c r="B58" s="14" t="s">
        <v>219</v>
      </c>
      <c r="C58" s="12" t="s">
        <v>220</v>
      </c>
      <c r="D58" s="31">
        <v>305</v>
      </c>
      <c r="E58" s="31" t="s">
        <v>244</v>
      </c>
      <c r="F58" s="63"/>
      <c r="G58" s="31" t="s">
        <v>242</v>
      </c>
      <c r="H58" s="38">
        <v>16.8</v>
      </c>
      <c r="I58" s="40">
        <v>172</v>
      </c>
    </row>
    <row r="59" spans="1:10">
      <c r="A59" s="13" t="s">
        <v>211</v>
      </c>
      <c r="B59" s="14" t="s">
        <v>219</v>
      </c>
      <c r="C59" s="16" t="s">
        <v>221</v>
      </c>
      <c r="D59" s="31">
        <v>305</v>
      </c>
      <c r="E59" s="31" t="s">
        <v>244</v>
      </c>
      <c r="F59" s="63"/>
      <c r="G59" s="31" t="s">
        <v>242</v>
      </c>
      <c r="H59" s="38">
        <v>16.8</v>
      </c>
      <c r="I59" s="40">
        <v>172</v>
      </c>
    </row>
    <row r="60" spans="1:10">
      <c r="A60" s="72" t="s">
        <v>211</v>
      </c>
      <c r="B60" s="79" t="s">
        <v>222</v>
      </c>
      <c r="C60" s="79" t="s">
        <v>223</v>
      </c>
      <c r="D60" s="75">
        <v>310</v>
      </c>
      <c r="E60" s="75" t="s">
        <v>245</v>
      </c>
      <c r="F60" s="80"/>
      <c r="G60" s="75" t="s">
        <v>110</v>
      </c>
      <c r="H60" s="81" t="s">
        <v>246</v>
      </c>
      <c r="I60" s="78">
        <v>196</v>
      </c>
      <c r="J60">
        <f>85/310</f>
        <v>0.27419354838709675</v>
      </c>
    </row>
    <row r="61" spans="1:10">
      <c r="A61" s="13" t="s">
        <v>211</v>
      </c>
      <c r="B61" s="14" t="s">
        <v>224</v>
      </c>
      <c r="C61" s="14" t="s">
        <v>225</v>
      </c>
      <c r="D61" s="61">
        <v>500</v>
      </c>
      <c r="E61" s="31" t="s">
        <v>247</v>
      </c>
      <c r="F61" s="67"/>
      <c r="G61" s="31" t="s">
        <v>110</v>
      </c>
      <c r="H61" s="64" t="s">
        <v>248</v>
      </c>
      <c r="I61" s="71">
        <v>64</v>
      </c>
    </row>
    <row r="62" spans="1:10">
      <c r="A62" s="13" t="s">
        <v>211</v>
      </c>
      <c r="B62" s="14" t="s">
        <v>224</v>
      </c>
      <c r="C62" s="14" t="s">
        <v>225</v>
      </c>
      <c r="D62" s="61">
        <v>500</v>
      </c>
      <c r="E62" s="31" t="s">
        <v>247</v>
      </c>
      <c r="F62" s="67"/>
      <c r="G62" s="31" t="s">
        <v>110</v>
      </c>
      <c r="H62" s="64" t="s">
        <v>248</v>
      </c>
      <c r="I62" s="71">
        <v>64</v>
      </c>
    </row>
    <row r="63" spans="1:10">
      <c r="A63" s="20" t="s">
        <v>211</v>
      </c>
      <c r="B63" s="60" t="s">
        <v>226</v>
      </c>
      <c r="C63" s="14" t="s">
        <v>227</v>
      </c>
      <c r="D63" s="62">
        <v>500</v>
      </c>
      <c r="E63" s="23" t="s">
        <v>249</v>
      </c>
      <c r="F63" s="67"/>
      <c r="G63" s="31" t="s">
        <v>110</v>
      </c>
      <c r="H63" s="38">
        <v>59</v>
      </c>
      <c r="I63" s="71">
        <v>76</v>
      </c>
    </row>
    <row r="64" spans="1:10">
      <c r="A64" s="20" t="s">
        <v>211</v>
      </c>
      <c r="B64" s="15" t="s">
        <v>228</v>
      </c>
      <c r="C64" s="15" t="s">
        <v>229</v>
      </c>
      <c r="D64" s="62">
        <v>89</v>
      </c>
      <c r="E64" s="23" t="s">
        <v>250</v>
      </c>
      <c r="F64" s="67"/>
      <c r="G64" s="31" t="s">
        <v>110</v>
      </c>
      <c r="H64" s="38">
        <v>26.1</v>
      </c>
      <c r="I64" s="40">
        <v>196</v>
      </c>
      <c r="J64">
        <f>26.1/89</f>
        <v>0.29325842696629217</v>
      </c>
    </row>
    <row r="65" spans="1:9">
      <c r="A65" s="20" t="s">
        <v>211</v>
      </c>
      <c r="B65" s="15" t="s">
        <v>228</v>
      </c>
      <c r="C65" s="15" t="s">
        <v>229</v>
      </c>
      <c r="D65" s="62">
        <v>89</v>
      </c>
      <c r="E65" s="23" t="s">
        <v>250</v>
      </c>
      <c r="F65" s="67"/>
      <c r="G65" s="31" t="s">
        <v>110</v>
      </c>
      <c r="H65" s="38">
        <v>26.1</v>
      </c>
      <c r="I65" s="40">
        <v>196</v>
      </c>
    </row>
    <row r="66" spans="1:9">
      <c r="A66" s="20" t="s">
        <v>211</v>
      </c>
      <c r="B66" s="23" t="s">
        <v>230</v>
      </c>
      <c r="C66" s="14" t="s">
        <v>231</v>
      </c>
      <c r="D66" s="41">
        <v>300</v>
      </c>
      <c r="E66" s="22" t="s">
        <v>251</v>
      </c>
      <c r="F66" s="68"/>
      <c r="G66" s="41" t="s">
        <v>110</v>
      </c>
      <c r="H66" s="66">
        <v>55.18</v>
      </c>
      <c r="I66" s="40">
        <v>8</v>
      </c>
    </row>
    <row r="67" spans="1:9">
      <c r="A67" s="20" t="s">
        <v>211</v>
      </c>
      <c r="B67" s="22" t="s">
        <v>232</v>
      </c>
      <c r="C67" s="16" t="s">
        <v>233</v>
      </c>
      <c r="D67" s="41">
        <v>500</v>
      </c>
      <c r="E67" s="69" t="s">
        <v>252</v>
      </c>
      <c r="F67" s="68"/>
      <c r="G67" s="41" t="s">
        <v>110</v>
      </c>
      <c r="H67" s="66">
        <v>43.6</v>
      </c>
      <c r="I67" s="40">
        <v>24</v>
      </c>
    </row>
    <row r="68" spans="1:9">
      <c r="A68" s="20" t="s">
        <v>211</v>
      </c>
      <c r="B68" s="23" t="s">
        <v>234</v>
      </c>
      <c r="C68" s="14" t="s">
        <v>235</v>
      </c>
      <c r="D68" s="41">
        <v>515</v>
      </c>
      <c r="E68" s="69" t="s">
        <v>253</v>
      </c>
      <c r="F68" s="68"/>
      <c r="G68" s="41" t="s">
        <v>110</v>
      </c>
      <c r="H68" s="66">
        <v>57.58</v>
      </c>
      <c r="I68" s="40">
        <v>30</v>
      </c>
    </row>
    <row r="69" spans="1:9">
      <c r="A69" s="20" t="s">
        <v>211</v>
      </c>
      <c r="B69" s="22" t="s">
        <v>236</v>
      </c>
      <c r="C69" s="23" t="s">
        <v>237</v>
      </c>
      <c r="D69" s="41">
        <v>400</v>
      </c>
      <c r="E69" s="23" t="s">
        <v>254</v>
      </c>
      <c r="F69" s="68"/>
      <c r="G69" s="41" t="s">
        <v>110</v>
      </c>
      <c r="H69" s="70" t="s">
        <v>246</v>
      </c>
      <c r="I69" s="40">
        <v>12</v>
      </c>
    </row>
    <row r="70" spans="1:9">
      <c r="A70" s="72" t="s">
        <v>211</v>
      </c>
      <c r="B70" s="73" t="s">
        <v>238</v>
      </c>
      <c r="C70" s="74"/>
      <c r="D70" s="75">
        <v>1000</v>
      </c>
      <c r="E70" s="74" t="s">
        <v>255</v>
      </c>
      <c r="F70" s="76"/>
      <c r="G70" s="75" t="s">
        <v>110</v>
      </c>
      <c r="H70" s="77">
        <v>79</v>
      </c>
      <c r="I70" s="78">
        <v>4</v>
      </c>
    </row>
  </sheetData>
  <mergeCells count="8">
    <mergeCell ref="G1:G2"/>
    <mergeCell ref="H1:H2"/>
    <mergeCell ref="I1:I2"/>
    <mergeCell ref="A1:A2"/>
    <mergeCell ref="B1:B2"/>
    <mergeCell ref="C1:C2"/>
    <mergeCell ref="E1:E2"/>
    <mergeCell ref="F1:F2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신규가격견적 STANDARD</vt:lpstr>
      <vt:lpstr>ATP ITEM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sam kim SAM</cp:lastModifiedBy>
  <cp:revision>1</cp:revision>
  <dcterms:created xsi:type="dcterms:W3CDTF">2019-10-09T00:00:00Z</dcterms:created>
  <dcterms:modified xsi:type="dcterms:W3CDTF">2026-07-08T06:25:33Z</dcterms:modified>
  <cp:version>1100.0100.01</cp:version>
</cp:coreProperties>
</file>